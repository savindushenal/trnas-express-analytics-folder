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ashboard" sheetId="2" r:id="rId6"/>
    <sheet state="hidden" name="Calc_Data" sheetId="3" r:id="rId7"/>
  </sheets>
  <definedNames>
    <definedName hidden="1" localSheetId="1" name="_xlnm._FilterDatabase">Dashboard!$B$43:$L$1000</definedName>
  </definedNames>
  <calcPr/>
</workbook>
</file>

<file path=xl/sharedStrings.xml><?xml version="1.0" encoding="utf-8"?>
<sst xmlns="http://schemas.openxmlformats.org/spreadsheetml/2006/main" count="10092" uniqueCount="1809">
  <si>
    <t>Id</t>
  </si>
  <si>
    <t>Operator</t>
  </si>
  <si>
    <t>Client No</t>
  </si>
  <si>
    <t>Client Y / N</t>
  </si>
  <si>
    <t>Customer / Client Name</t>
  </si>
  <si>
    <t>Waybill</t>
  </si>
  <si>
    <t>Complaint / Inquiry</t>
  </si>
  <si>
    <t>Branch</t>
  </si>
  <si>
    <t>Total Inquiries</t>
  </si>
  <si>
    <t>Total Branches</t>
  </si>
  <si>
    <t>Total Operators</t>
  </si>
  <si>
    <t>Status</t>
  </si>
  <si>
    <t>Department</t>
  </si>
  <si>
    <t>Solution</t>
  </si>
  <si>
    <t>1</t>
  </si>
  <si>
    <t>Mandari</t>
  </si>
  <si>
    <t>775942384</t>
  </si>
  <si>
    <t>N</t>
  </si>
  <si>
    <t>Megha 1 Palace (Pvt) Ltd</t>
  </si>
  <si>
    <t>A4248931</t>
  </si>
  <si>
    <t>Arrange To Deliver Today / Top Urgant</t>
  </si>
  <si>
    <t>Thalawathugoda</t>
  </si>
  <si>
    <t>Returned To Branch Rescheduled</t>
  </si>
  <si>
    <t>Branch Operations</t>
  </si>
  <si>
    <t>Informed Branch</t>
  </si>
  <si>
    <t>2</t>
  </si>
  <si>
    <t>764300731</t>
  </si>
  <si>
    <t>Plusmart.Lk</t>
  </si>
  <si>
    <t>BE039645</t>
  </si>
  <si>
    <t>Re-Delivery</t>
  </si>
  <si>
    <t>3</t>
  </si>
  <si>
    <t>760053626</t>
  </si>
  <si>
    <t>Ceylon Store</t>
  </si>
  <si>
    <t>BE086979</t>
  </si>
  <si>
    <t>Colombo Metro</t>
  </si>
  <si>
    <t>Informed Branch / Informed Mr Faizer</t>
  </si>
  <si>
    <t>4</t>
  </si>
  <si>
    <t>765810932</t>
  </si>
  <si>
    <t>Ceylon Ayura</t>
  </si>
  <si>
    <t>BE081169</t>
  </si>
  <si>
    <t>Baddagama</t>
  </si>
  <si>
    <t>5</t>
  </si>
  <si>
    <t>755379990</t>
  </si>
  <si>
    <t>Y</t>
  </si>
  <si>
    <t>Dark Grace.Lk</t>
  </si>
  <si>
    <t>A4387801</t>
  </si>
  <si>
    <t>Return Package</t>
  </si>
  <si>
    <t>Returned To Client</t>
  </si>
  <si>
    <t>Customer Care</t>
  </si>
  <si>
    <t>Done</t>
  </si>
  <si>
    <t>6</t>
  </si>
  <si>
    <t>773490515</t>
  </si>
  <si>
    <t>Basues.Lk</t>
  </si>
  <si>
    <t>A3029315</t>
  </si>
  <si>
    <t>Horana</t>
  </si>
  <si>
    <t>7</t>
  </si>
  <si>
    <t>783611906</t>
  </si>
  <si>
    <t>Etre Blanc</t>
  </si>
  <si>
    <t>BA771156</t>
  </si>
  <si>
    <t>Pilimathlawa</t>
  </si>
  <si>
    <t>8</t>
  </si>
  <si>
    <t>774840108</t>
  </si>
  <si>
    <t>Firstry'S Mart</t>
  </si>
  <si>
    <t>A3231841</t>
  </si>
  <si>
    <t>9</t>
  </si>
  <si>
    <t>777610615</t>
  </si>
  <si>
    <t>Subito.Lk</t>
  </si>
  <si>
    <t>BE077969</t>
  </si>
  <si>
    <t>Check &amp; Call Back</t>
  </si>
  <si>
    <t>Wennappuwa</t>
  </si>
  <si>
    <t>10</t>
  </si>
  <si>
    <t>781567200</t>
  </si>
  <si>
    <t>Asked Some Details</t>
  </si>
  <si>
    <t>11</t>
  </si>
  <si>
    <t>762184570</t>
  </si>
  <si>
    <t>Bhashi Products</t>
  </si>
  <si>
    <t>BE094811</t>
  </si>
  <si>
    <t>Ratnapura</t>
  </si>
  <si>
    <t>12</t>
  </si>
  <si>
    <t>767785517</t>
  </si>
  <si>
    <t>New Register</t>
  </si>
  <si>
    <t>Sales</t>
  </si>
  <si>
    <t>Transfer Call</t>
  </si>
  <si>
    <t>13</t>
  </si>
  <si>
    <t>777314702</t>
  </si>
  <si>
    <t>Veerasundara</t>
  </si>
  <si>
    <t>WD257569</t>
  </si>
  <si>
    <t>Monaragala</t>
  </si>
  <si>
    <t>Dispatched By Ho</t>
  </si>
  <si>
    <t>Domestic</t>
  </si>
  <si>
    <t>Informed Domestic Department</t>
  </si>
  <si>
    <t>14</t>
  </si>
  <si>
    <t>714630455</t>
  </si>
  <si>
    <t>Jenny Fashion</t>
  </si>
  <si>
    <t>90596745</t>
  </si>
  <si>
    <t>Re Delivery - 7/1</t>
  </si>
  <si>
    <t>Avissawella</t>
  </si>
  <si>
    <t>Returned To Branch Failed To Deliver</t>
  </si>
  <si>
    <t>Not Responding</t>
  </si>
  <si>
    <t>15</t>
  </si>
  <si>
    <t>779806123</t>
  </si>
  <si>
    <t>Tropical.Lk</t>
  </si>
  <si>
    <t>BE098016</t>
  </si>
  <si>
    <t>Customer Want Return This Package</t>
  </si>
  <si>
    <t>Rajagiriya</t>
  </si>
  <si>
    <t>Delivered</t>
  </si>
  <si>
    <t>Informed Deepika Genzo</t>
  </si>
  <si>
    <t>16</t>
  </si>
  <si>
    <t>719890478</t>
  </si>
  <si>
    <t>Cherri.Lk</t>
  </si>
  <si>
    <t xml:space="preserve">A4525771 </t>
  </si>
  <si>
    <t>Arrange The Package</t>
  </si>
  <si>
    <t>Puttalam</t>
  </si>
  <si>
    <t>Dispatched To Destination</t>
  </si>
  <si>
    <t>17</t>
  </si>
  <si>
    <t>710513897</t>
  </si>
  <si>
    <t>Craft Helper</t>
  </si>
  <si>
    <t>A4621005</t>
  </si>
  <si>
    <t>Kaduwela</t>
  </si>
  <si>
    <t>18</t>
  </si>
  <si>
    <t>760534977</t>
  </si>
  <si>
    <t>Kio Holdings</t>
  </si>
  <si>
    <t>BE090386</t>
  </si>
  <si>
    <t>Gampaha</t>
  </si>
  <si>
    <t>19</t>
  </si>
  <si>
    <t>112622082</t>
  </si>
  <si>
    <t>702</t>
  </si>
  <si>
    <t xml:space="preserve">BA773640 </t>
  </si>
  <si>
    <t>Arrange To Deliver Tomorrow / Top Urgant</t>
  </si>
  <si>
    <t>Ratmalana</t>
  </si>
  <si>
    <t>Received At Destination</t>
  </si>
  <si>
    <t>20</t>
  </si>
  <si>
    <t>767766102</t>
  </si>
  <si>
    <t>BE082307</t>
  </si>
  <si>
    <t>21</t>
  </si>
  <si>
    <t>769061669</t>
  </si>
  <si>
    <t>Lh Calligraphy</t>
  </si>
  <si>
    <t>A3845095</t>
  </si>
  <si>
    <t>22</t>
  </si>
  <si>
    <t>705248186</t>
  </si>
  <si>
    <t>Florenza Blooms</t>
  </si>
  <si>
    <t>A4706450</t>
  </si>
  <si>
    <t>Mahiyanganaya</t>
  </si>
  <si>
    <t>23</t>
  </si>
  <si>
    <t>764470818</t>
  </si>
  <si>
    <t>Answerd &amp; Cut The Line</t>
  </si>
  <si>
    <t>Disconnect</t>
  </si>
  <si>
    <t>24</t>
  </si>
  <si>
    <t>761419742</t>
  </si>
  <si>
    <t>25</t>
  </si>
  <si>
    <t>26</t>
  </si>
  <si>
    <t>754346379</t>
  </si>
  <si>
    <t>Uvi Cosmetics By Iresha</t>
  </si>
  <si>
    <t>A4202033</t>
  </si>
  <si>
    <t>Trincomalee</t>
  </si>
  <si>
    <t>27</t>
  </si>
  <si>
    <t>755572364</t>
  </si>
  <si>
    <t>28</t>
  </si>
  <si>
    <t>702672294</t>
  </si>
  <si>
    <t>Dream Skin</t>
  </si>
  <si>
    <t>A4601856</t>
  </si>
  <si>
    <t>0756388317 - Re Delivery - 7/1</t>
  </si>
  <si>
    <t>Kegalle</t>
  </si>
  <si>
    <t>Piliyandala</t>
  </si>
  <si>
    <t>Number Busy</t>
  </si>
  <si>
    <t>29</t>
  </si>
  <si>
    <t>767996043</t>
  </si>
  <si>
    <t>Aurex Core</t>
  </si>
  <si>
    <t>BE090458</t>
  </si>
  <si>
    <t>Informed Cline</t>
  </si>
  <si>
    <t>30</t>
  </si>
  <si>
    <t>724344762</t>
  </si>
  <si>
    <t>31</t>
  </si>
  <si>
    <t>114412000</t>
  </si>
  <si>
    <t>Uhome</t>
  </si>
  <si>
    <t>BA769778</t>
  </si>
  <si>
    <t>32</t>
  </si>
  <si>
    <t>779820678</t>
  </si>
  <si>
    <t>L Bandara</t>
  </si>
  <si>
    <t>WD058645</t>
  </si>
  <si>
    <t>Imaduwa</t>
  </si>
  <si>
    <t>33</t>
  </si>
  <si>
    <t>772447877</t>
  </si>
  <si>
    <t>Carter Skin Care</t>
  </si>
  <si>
    <t>BA779577</t>
  </si>
  <si>
    <t>34</t>
  </si>
  <si>
    <t>776224505</t>
  </si>
  <si>
    <t>Azac Hub</t>
  </si>
  <si>
    <t>A4051542</t>
  </si>
  <si>
    <t>Customer Collect At Branch</t>
  </si>
  <si>
    <t>Chilaw</t>
  </si>
  <si>
    <t>35</t>
  </si>
  <si>
    <t>750941179</t>
  </si>
  <si>
    <t>Shopymore.Lk</t>
  </si>
  <si>
    <t>BE108332</t>
  </si>
  <si>
    <t>36</t>
  </si>
  <si>
    <t>707777289</t>
  </si>
  <si>
    <t>Dlw Computers Pvt (Ltd)</t>
  </si>
  <si>
    <t>A4553107</t>
  </si>
  <si>
    <t>Cod Issuse</t>
  </si>
  <si>
    <t>Kalutara</t>
  </si>
  <si>
    <t>Out For Delivery</t>
  </si>
  <si>
    <t>37</t>
  </si>
  <si>
    <t>757715579</t>
  </si>
  <si>
    <t>Swasthi</t>
  </si>
  <si>
    <t>A3821395</t>
  </si>
  <si>
    <t>38</t>
  </si>
  <si>
    <t>751195546</t>
  </si>
  <si>
    <t>Lansa Express</t>
  </si>
  <si>
    <t>BE100080</t>
  </si>
  <si>
    <t>Embilipitiya</t>
  </si>
  <si>
    <t>Customer No Answer</t>
  </si>
  <si>
    <t>39</t>
  </si>
  <si>
    <t>765792009</t>
  </si>
  <si>
    <t>Rooby Marketing</t>
  </si>
  <si>
    <t>BE025902</t>
  </si>
  <si>
    <t>40</t>
  </si>
  <si>
    <t>716928816</t>
  </si>
  <si>
    <t>Sales Department</t>
  </si>
  <si>
    <t>41</t>
  </si>
  <si>
    <t>742249207</t>
  </si>
  <si>
    <t>WD3331521</t>
  </si>
  <si>
    <t>Not In System</t>
  </si>
  <si>
    <t>42</t>
  </si>
  <si>
    <t>352265997</t>
  </si>
  <si>
    <t>BE090447</t>
  </si>
  <si>
    <t>Arrange To Deliver Today</t>
  </si>
  <si>
    <t>43</t>
  </si>
  <si>
    <t>782354351</t>
  </si>
  <si>
    <t>Monaragala Branch No</t>
  </si>
  <si>
    <t>Given No</t>
  </si>
  <si>
    <t>44</t>
  </si>
  <si>
    <t>719991233</t>
  </si>
  <si>
    <t>Dolly'Fashion</t>
  </si>
  <si>
    <t>BA766431</t>
  </si>
  <si>
    <t>45</t>
  </si>
  <si>
    <t>778799854</t>
  </si>
  <si>
    <t>46</t>
  </si>
  <si>
    <t>756335640</t>
  </si>
  <si>
    <t>The Axon</t>
  </si>
  <si>
    <t>BD935969</t>
  </si>
  <si>
    <t>Nuwara Eliya</t>
  </si>
  <si>
    <t>47</t>
  </si>
  <si>
    <t>716612485</t>
  </si>
  <si>
    <t>48</t>
  </si>
  <si>
    <t>762584307</t>
  </si>
  <si>
    <t>Neha Skin</t>
  </si>
  <si>
    <t>BE098496</t>
  </si>
  <si>
    <t>Padukka</t>
  </si>
  <si>
    <t>49</t>
  </si>
  <si>
    <t>710757047</t>
  </si>
  <si>
    <t>50</t>
  </si>
  <si>
    <t>702435932</t>
  </si>
  <si>
    <t>Sparkly Design House Pvt Ltd</t>
  </si>
  <si>
    <t>A1106495</t>
  </si>
  <si>
    <t>Kadawatha</t>
  </si>
  <si>
    <t>52</t>
  </si>
  <si>
    <t>706924934</t>
  </si>
  <si>
    <t>Dominion.Lk</t>
  </si>
  <si>
    <t>BE085378</t>
  </si>
  <si>
    <t>53</t>
  </si>
  <si>
    <t>778273462</t>
  </si>
  <si>
    <t>Horana Branch No</t>
  </si>
  <si>
    <t>54</t>
  </si>
  <si>
    <t>769140589</t>
  </si>
  <si>
    <t>Expert Lanka New</t>
  </si>
  <si>
    <t>BE024503</t>
  </si>
  <si>
    <t>Kahatagasdigiliya</t>
  </si>
  <si>
    <t>55</t>
  </si>
  <si>
    <t>779989148</t>
  </si>
  <si>
    <t>Victoriaceyloan.Lk</t>
  </si>
  <si>
    <t>BD568906</t>
  </si>
  <si>
    <t>56</t>
  </si>
  <si>
    <t>711767694</t>
  </si>
  <si>
    <t>Happyfly</t>
  </si>
  <si>
    <t>BE134651</t>
  </si>
  <si>
    <t>Wattala</t>
  </si>
  <si>
    <t>Key Accounts</t>
  </si>
  <si>
    <t>Informed Key Ecc</t>
  </si>
  <si>
    <t>57</t>
  </si>
  <si>
    <t>705558488</t>
  </si>
  <si>
    <t>Mathara Branch Location</t>
  </si>
  <si>
    <t>58</t>
  </si>
  <si>
    <t>702595357</t>
  </si>
  <si>
    <t>59</t>
  </si>
  <si>
    <t>764967953</t>
  </si>
  <si>
    <t>Spell Haven</t>
  </si>
  <si>
    <t>BE089266</t>
  </si>
  <si>
    <t>Minuwangoda</t>
  </si>
  <si>
    <t>60</t>
  </si>
  <si>
    <t>701952286</t>
  </si>
  <si>
    <t>Shani Co.</t>
  </si>
  <si>
    <t>A4409255</t>
  </si>
  <si>
    <t>Akuressa</t>
  </si>
  <si>
    <t>61</t>
  </si>
  <si>
    <t>778101147</t>
  </si>
  <si>
    <t>Tamil</t>
  </si>
  <si>
    <t>Transfer Call Jeni</t>
  </si>
  <si>
    <t>62</t>
  </si>
  <si>
    <t>771372365</t>
  </si>
  <si>
    <t>63</t>
  </si>
  <si>
    <t>773506842</t>
  </si>
  <si>
    <t>Aishwarya Cosmetics</t>
  </si>
  <si>
    <t>BA766395</t>
  </si>
  <si>
    <t>Customer Refused</t>
  </si>
  <si>
    <t>64</t>
  </si>
  <si>
    <t>762297498</t>
  </si>
  <si>
    <t>Cosmetics By Dill</t>
  </si>
  <si>
    <t>A4376180</t>
  </si>
  <si>
    <t>65</t>
  </si>
  <si>
    <t>742826926</t>
  </si>
  <si>
    <t>66</t>
  </si>
  <si>
    <t>705815614</t>
  </si>
  <si>
    <t>Mona'S Closet</t>
  </si>
  <si>
    <t>A4309144</t>
  </si>
  <si>
    <t>0702412739 - Re Delivery - 7/1</t>
  </si>
  <si>
    <t>Negombo</t>
  </si>
  <si>
    <t>67</t>
  </si>
  <si>
    <t>770444584</t>
  </si>
  <si>
    <t>68</t>
  </si>
  <si>
    <t>701017804</t>
  </si>
  <si>
    <t>69</t>
  </si>
  <si>
    <t>762064417</t>
  </si>
  <si>
    <t>70</t>
  </si>
  <si>
    <t>701768257</t>
  </si>
  <si>
    <t>Anamaduwa Branch No</t>
  </si>
  <si>
    <t>71</t>
  </si>
  <si>
    <t>777874374</t>
  </si>
  <si>
    <t>72</t>
  </si>
  <si>
    <t>777285846</t>
  </si>
  <si>
    <t>Dorado</t>
  </si>
  <si>
    <t>BE133979</t>
  </si>
  <si>
    <t>Panadura</t>
  </si>
  <si>
    <t>73</t>
  </si>
  <si>
    <t>713159005</t>
  </si>
  <si>
    <t>74</t>
  </si>
  <si>
    <t>773403193</t>
  </si>
  <si>
    <t>Kadawatha Branch Location</t>
  </si>
  <si>
    <t>75</t>
  </si>
  <si>
    <t>779499619</t>
  </si>
  <si>
    <t>Lotus Online Boutique</t>
  </si>
  <si>
    <t>A4564238</t>
  </si>
  <si>
    <t>76</t>
  </si>
  <si>
    <t>775327877</t>
  </si>
  <si>
    <t>Gampola Branch No</t>
  </si>
  <si>
    <t>77</t>
  </si>
  <si>
    <t>779369026</t>
  </si>
  <si>
    <t>Mangala Holdings</t>
  </si>
  <si>
    <t>BE112942</t>
  </si>
  <si>
    <t>Kandy</t>
  </si>
  <si>
    <t>78</t>
  </si>
  <si>
    <t>773705652</t>
  </si>
  <si>
    <t>79</t>
  </si>
  <si>
    <t>741852301</t>
  </si>
  <si>
    <t>80</t>
  </si>
  <si>
    <t>777557368</t>
  </si>
  <si>
    <t>Super Ayurvedic</t>
  </si>
  <si>
    <t>BD982980</t>
  </si>
  <si>
    <t>Dd Rajagiriya</t>
  </si>
  <si>
    <t>Kuliyapitiya</t>
  </si>
  <si>
    <t>81</t>
  </si>
  <si>
    <t>760789073</t>
  </si>
  <si>
    <t>Wennappuwa Branch Location</t>
  </si>
  <si>
    <t>82</t>
  </si>
  <si>
    <t>761490856</t>
  </si>
  <si>
    <t>Stylefix</t>
  </si>
  <si>
    <t>A4565150</t>
  </si>
  <si>
    <t>83</t>
  </si>
  <si>
    <t>777587301</t>
  </si>
  <si>
    <t>Santhawa Prakashana</t>
  </si>
  <si>
    <t>BA761271</t>
  </si>
  <si>
    <t>84</t>
  </si>
  <si>
    <t>779026215</t>
  </si>
  <si>
    <t>Dewkith Coloting</t>
  </si>
  <si>
    <t>90815443</t>
  </si>
  <si>
    <t>85</t>
  </si>
  <si>
    <t>Lakshani</t>
  </si>
  <si>
    <t>779107164</t>
  </si>
  <si>
    <t>BE108403</t>
  </si>
  <si>
    <t>Urgent Today</t>
  </si>
  <si>
    <t>86</t>
  </si>
  <si>
    <t>770304833</t>
  </si>
  <si>
    <t>Didn'T Know The Tracking Number</t>
  </si>
  <si>
    <t>Check And Call Back</t>
  </si>
  <si>
    <t>87</t>
  </si>
  <si>
    <t>767449279</t>
  </si>
  <si>
    <t>Belihuloya Branch</t>
  </si>
  <si>
    <t>Balangoda Branch</t>
  </si>
  <si>
    <t>88</t>
  </si>
  <si>
    <t>763770209</t>
  </si>
  <si>
    <t>Sumexholding</t>
  </si>
  <si>
    <t>BE082366</t>
  </si>
  <si>
    <t>Customer Req Open The Package</t>
  </si>
  <si>
    <t>Informed Genzo Team</t>
  </si>
  <si>
    <t>89</t>
  </si>
  <si>
    <t>702552143</t>
  </si>
  <si>
    <t>Want To Know Some Details</t>
  </si>
  <si>
    <t>Informed</t>
  </si>
  <si>
    <t>90</t>
  </si>
  <si>
    <t>754476205</t>
  </si>
  <si>
    <t>Awaymonk.Lk</t>
  </si>
  <si>
    <t>BE096306</t>
  </si>
  <si>
    <t>Re Deliver Today</t>
  </si>
  <si>
    <t>91</t>
  </si>
  <si>
    <t>770765802</t>
  </si>
  <si>
    <t>Camera Lanka.Lk</t>
  </si>
  <si>
    <t>A4526260</t>
  </si>
  <si>
    <t>D/D Anamduwa Branch</t>
  </si>
  <si>
    <t>Maho</t>
  </si>
  <si>
    <t>Return To Ho (Invalid Destination)</t>
  </si>
  <si>
    <t>Informed Customer About That</t>
  </si>
  <si>
    <t>92</t>
  </si>
  <si>
    <t>772648277</t>
  </si>
  <si>
    <t>Sasindu Aqua Farm</t>
  </si>
  <si>
    <t>A4705463</t>
  </si>
  <si>
    <t>Welimada</t>
  </si>
  <si>
    <t>93</t>
  </si>
  <si>
    <t>BE070737</t>
  </si>
  <si>
    <t>Re Deliver</t>
  </si>
  <si>
    <t>94</t>
  </si>
  <si>
    <t>Sippi Clothing</t>
  </si>
  <si>
    <t>BA780702</t>
  </si>
  <si>
    <t>Customer Want Return The Package</t>
  </si>
  <si>
    <t>Informed Client</t>
  </si>
  <si>
    <t>95</t>
  </si>
  <si>
    <t>Tiny Tush Diapers</t>
  </si>
  <si>
    <t>Gampha Branch Number</t>
  </si>
  <si>
    <t>96</t>
  </si>
  <si>
    <t>Infinity Woodstore</t>
  </si>
  <si>
    <t>Kalmunai Branch Rm Number</t>
  </si>
  <si>
    <t>97</t>
  </si>
  <si>
    <t>Neth Fashion Clothing</t>
  </si>
  <si>
    <t>A4470093</t>
  </si>
  <si>
    <t>Homagama</t>
  </si>
  <si>
    <t>98</t>
  </si>
  <si>
    <t>A4203074</t>
  </si>
  <si>
    <t>99</t>
  </si>
  <si>
    <t>Cool Stuff</t>
  </si>
  <si>
    <t>A3329429</t>
  </si>
  <si>
    <t>Customer Already Recived The Package</t>
  </si>
  <si>
    <t>Informed Rm</t>
  </si>
  <si>
    <t>100</t>
  </si>
  <si>
    <t>A4598750</t>
  </si>
  <si>
    <t>101</t>
  </si>
  <si>
    <t>Happiness</t>
  </si>
  <si>
    <t>A4622607</t>
  </si>
  <si>
    <t>Customer Compline</t>
  </si>
  <si>
    <t>Kurunegala</t>
  </si>
  <si>
    <t>102</t>
  </si>
  <si>
    <t>Sency Kids</t>
  </si>
  <si>
    <t>A3919534</t>
  </si>
  <si>
    <t>Re Deliver After 10 Days</t>
  </si>
  <si>
    <t>103</t>
  </si>
  <si>
    <t>BE103029</t>
  </si>
  <si>
    <t>104</t>
  </si>
  <si>
    <t>BA752662</t>
  </si>
  <si>
    <t>105</t>
  </si>
  <si>
    <t>360° Online.Lk</t>
  </si>
  <si>
    <t>BE107327</t>
  </si>
  <si>
    <t>106</t>
  </si>
  <si>
    <t>Shore</t>
  </si>
  <si>
    <t>WD383528</t>
  </si>
  <si>
    <t>107</t>
  </si>
  <si>
    <t>Samanali Products</t>
  </si>
  <si>
    <t>A4366984</t>
  </si>
  <si>
    <t>Urgent Package</t>
  </si>
  <si>
    <t>108</t>
  </si>
  <si>
    <t>A4470065</t>
  </si>
  <si>
    <t>Customer Said Check Andcall Back</t>
  </si>
  <si>
    <t>109</t>
  </si>
  <si>
    <t>Lakshini Dilrukshi</t>
  </si>
  <si>
    <t>A4533142</t>
  </si>
  <si>
    <t>Re Deliver Tomorrow</t>
  </si>
  <si>
    <t>110</t>
  </si>
  <si>
    <t>Hemadema Aduwata.Lk</t>
  </si>
  <si>
    <t>A4387799</t>
  </si>
  <si>
    <t>Cod Amount Is 0.00</t>
  </si>
  <si>
    <t>Dambulla</t>
  </si>
  <si>
    <t>111</t>
  </si>
  <si>
    <t>A4533171</t>
  </si>
  <si>
    <t>Rikillagaskada</t>
  </si>
  <si>
    <t>112</t>
  </si>
  <si>
    <t>Global Language Academy</t>
  </si>
  <si>
    <t>BA783928</t>
  </si>
  <si>
    <t>Deliver Date ?</t>
  </si>
  <si>
    <t>Processing</t>
  </si>
  <si>
    <t>Ware House - Colombo</t>
  </si>
  <si>
    <t>Informed Clien</t>
  </si>
  <si>
    <t>113</t>
  </si>
  <si>
    <t>Zeena</t>
  </si>
  <si>
    <t>BA779612</t>
  </si>
  <si>
    <t>114</t>
  </si>
  <si>
    <t>704268551</t>
  </si>
  <si>
    <t>Req Hr Department</t>
  </si>
  <si>
    <t>Hr</t>
  </si>
  <si>
    <t>115</t>
  </si>
  <si>
    <t>742747520</t>
  </si>
  <si>
    <t>Helloherb.Lk</t>
  </si>
  <si>
    <t>BE104870</t>
  </si>
  <si>
    <t>Deliver Tomorrow</t>
  </si>
  <si>
    <t>Matale</t>
  </si>
  <si>
    <t>116</t>
  </si>
  <si>
    <t>770536323</t>
  </si>
  <si>
    <t>117</t>
  </si>
  <si>
    <t>705310444</t>
  </si>
  <si>
    <t>Akila Holdings</t>
  </si>
  <si>
    <t>BA770726</t>
  </si>
  <si>
    <t>118</t>
  </si>
  <si>
    <t>786141242</t>
  </si>
  <si>
    <t>Expro Dtf Solution</t>
  </si>
  <si>
    <t>A3656541</t>
  </si>
  <si>
    <t>Urgent Package /Customer Didn'T Get Any Calls</t>
  </si>
  <si>
    <t>Digana</t>
  </si>
  <si>
    <t>119</t>
  </si>
  <si>
    <t>776059873</t>
  </si>
  <si>
    <t>Future Home Electronics</t>
  </si>
  <si>
    <t>A4364264</t>
  </si>
  <si>
    <t>120</t>
  </si>
  <si>
    <t>777343572</t>
  </si>
  <si>
    <t>A4598730</t>
  </si>
  <si>
    <t>121</t>
  </si>
  <si>
    <t>Jeni</t>
  </si>
  <si>
    <t>76 629 5793</t>
  </si>
  <si>
    <t>Given Details</t>
  </si>
  <si>
    <t>122</t>
  </si>
  <si>
    <t>Tsk E-Mart</t>
  </si>
  <si>
    <t>BA773730</t>
  </si>
  <si>
    <t>Arrange To Deliver Today /Top Urgent</t>
  </si>
  <si>
    <t>Informed Branch Number Via A Whatsapp</t>
  </si>
  <si>
    <t>123</t>
  </si>
  <si>
    <t>BE032728</t>
  </si>
  <si>
    <t>124</t>
  </si>
  <si>
    <t>P &amp; S Help Investment Pvt(Ltd)</t>
  </si>
  <si>
    <t>A4702183</t>
  </si>
  <si>
    <t>Re Deliver On Today</t>
  </si>
  <si>
    <t>Ja-Ela</t>
  </si>
  <si>
    <t>125</t>
  </si>
  <si>
    <t>BE046645</t>
  </si>
  <si>
    <t>126</t>
  </si>
  <si>
    <t>Ad Happines (Hettipola)</t>
  </si>
  <si>
    <t>A4208269</t>
  </si>
  <si>
    <t>Jaffna</t>
  </si>
  <si>
    <t>On Route</t>
  </si>
  <si>
    <t>A4208210</t>
  </si>
  <si>
    <t>Ambalangoda</t>
  </si>
  <si>
    <t>127</t>
  </si>
  <si>
    <t>BE065289</t>
  </si>
  <si>
    <t>128</t>
  </si>
  <si>
    <t>Baby Max</t>
  </si>
  <si>
    <t>A4463595</t>
  </si>
  <si>
    <t>The Cflient Said This Order Already Delivered</t>
  </si>
  <si>
    <t>Delivered Not Updated</t>
  </si>
  <si>
    <t>Informed Branch Rm Number Via A Whatsapp</t>
  </si>
  <si>
    <t>129</t>
  </si>
  <si>
    <t>Sahasra Ayurwedaya</t>
  </si>
  <si>
    <t>A4700828</t>
  </si>
  <si>
    <t>Order Status</t>
  </si>
  <si>
    <t>Kalmunai</t>
  </si>
  <si>
    <t>131</t>
  </si>
  <si>
    <t>Thara Clothing</t>
  </si>
  <si>
    <t>A3980140</t>
  </si>
  <si>
    <t>Batticaloa</t>
  </si>
  <si>
    <t>Return</t>
  </si>
  <si>
    <t>Return Item</t>
  </si>
  <si>
    <t>133</t>
  </si>
  <si>
    <t>Livora Online Store</t>
  </si>
  <si>
    <t>A4319621</t>
  </si>
  <si>
    <t>134</t>
  </si>
  <si>
    <t>A3858169</t>
  </si>
  <si>
    <t>Anamaduwa</t>
  </si>
  <si>
    <t>Still Not Received Branch</t>
  </si>
  <si>
    <t>135</t>
  </si>
  <si>
    <t>Bella Natural Wellness (Pvt) Ltd</t>
  </si>
  <si>
    <t>A4203380</t>
  </si>
  <si>
    <t>Customer Said Want To Change Addess -We Said Contact The Customer</t>
  </si>
  <si>
    <t>136</t>
  </si>
  <si>
    <t>A4366980</t>
  </si>
  <si>
    <t>Morawaka</t>
  </si>
  <si>
    <t>138</t>
  </si>
  <si>
    <t>C&amp;L Markerting</t>
  </si>
  <si>
    <t>A4636218</t>
  </si>
  <si>
    <t>Mirigama</t>
  </si>
  <si>
    <t>139</t>
  </si>
  <si>
    <t>BA751829</t>
  </si>
  <si>
    <t>140</t>
  </si>
  <si>
    <t>A4366972</t>
  </si>
  <si>
    <t>141</t>
  </si>
  <si>
    <t>BA751890</t>
  </si>
  <si>
    <t>142</t>
  </si>
  <si>
    <t>BE055649</t>
  </si>
  <si>
    <t>137</t>
  </si>
  <si>
    <t>Dcl Marketing Pvt</t>
  </si>
  <si>
    <t>BA772727</t>
  </si>
  <si>
    <t>144</t>
  </si>
  <si>
    <t>Royal Angels Online Business Pvt.Com</t>
  </si>
  <si>
    <t>BE085788</t>
  </si>
  <si>
    <t>BA751144</t>
  </si>
  <si>
    <t>Maradana</t>
  </si>
  <si>
    <t>146</t>
  </si>
  <si>
    <t>A4702117</t>
  </si>
  <si>
    <t>Client Want Return This Order</t>
  </si>
  <si>
    <t>Its Delivered /Cant Back Return This Order</t>
  </si>
  <si>
    <t>147</t>
  </si>
  <si>
    <t>A4591385</t>
  </si>
  <si>
    <t>BA754114</t>
  </si>
  <si>
    <t>1St Number Busy / 2Nd Number No Answer</t>
  </si>
  <si>
    <t>150</t>
  </si>
  <si>
    <t>777949984</t>
  </si>
  <si>
    <t>Baloreena</t>
  </si>
  <si>
    <t>BA769381</t>
  </si>
  <si>
    <t>Kahawatta</t>
  </si>
  <si>
    <t>153</t>
  </si>
  <si>
    <t>751681330</t>
  </si>
  <si>
    <t>Dd Holding</t>
  </si>
  <si>
    <t>BE109206</t>
  </si>
  <si>
    <t>Customer Want Return This Order</t>
  </si>
  <si>
    <t>Informed Genzo Nethmi</t>
  </si>
  <si>
    <t>143</t>
  </si>
  <si>
    <t>90060088</t>
  </si>
  <si>
    <t>90060089</t>
  </si>
  <si>
    <t>Informed Branch Supervisor Number Via A Whatsapp</t>
  </si>
  <si>
    <t>156</t>
  </si>
  <si>
    <t>145</t>
  </si>
  <si>
    <t>Oneshop</t>
  </si>
  <si>
    <t>BA774761</t>
  </si>
  <si>
    <t>Customer Said Check And Call Back</t>
  </si>
  <si>
    <t>BA772017</t>
  </si>
  <si>
    <t>Bandarawela</t>
  </si>
  <si>
    <t>BA764231</t>
  </si>
  <si>
    <t>162</t>
  </si>
  <si>
    <t>742614427</t>
  </si>
  <si>
    <t>Sadana</t>
  </si>
  <si>
    <t>BE100619</t>
  </si>
  <si>
    <t>New Order ?</t>
  </si>
  <si>
    <t>No</t>
  </si>
  <si>
    <t>149</t>
  </si>
  <si>
    <t>Golden House</t>
  </si>
  <si>
    <t>A4364655</t>
  </si>
  <si>
    <t>164</t>
  </si>
  <si>
    <t>774868808</t>
  </si>
  <si>
    <t>Elenorabyro</t>
  </si>
  <si>
    <t>A3794234</t>
  </si>
  <si>
    <t>Re Deliver -Call Back 1 Pm</t>
  </si>
  <si>
    <t>Received At Ho (Returned Item)</t>
  </si>
  <si>
    <t>Client Said Already Contact About Return Departmnet They Will Said Re Arrange This Order</t>
  </si>
  <si>
    <t>165</t>
  </si>
  <si>
    <t>Asked Return Department No</t>
  </si>
  <si>
    <t>152</t>
  </si>
  <si>
    <t>777385190</t>
  </si>
  <si>
    <t>Sd Marketing</t>
  </si>
  <si>
    <t>BE108807</t>
  </si>
  <si>
    <t>168</t>
  </si>
  <si>
    <t>779449477</t>
  </si>
  <si>
    <t>BE072786</t>
  </si>
  <si>
    <t>Answered</t>
  </si>
  <si>
    <t>Line Disconnected</t>
  </si>
  <si>
    <t>155</t>
  </si>
  <si>
    <t>774306540</t>
  </si>
  <si>
    <t>BE099303</t>
  </si>
  <si>
    <t>171</t>
  </si>
  <si>
    <t>701967913</t>
  </si>
  <si>
    <t>Clickify.Lk</t>
  </si>
  <si>
    <t>BE032098</t>
  </si>
  <si>
    <t>158</t>
  </si>
  <si>
    <t>770305314</t>
  </si>
  <si>
    <t>Memorybox</t>
  </si>
  <si>
    <t>64298889</t>
  </si>
  <si>
    <t>Top Urgent</t>
  </si>
  <si>
    <t>159</t>
  </si>
  <si>
    <t>778749643</t>
  </si>
  <si>
    <t>Bella Flower</t>
  </si>
  <si>
    <t>A4601910</t>
  </si>
  <si>
    <t>161</t>
  </si>
  <si>
    <t>742968007</t>
  </si>
  <si>
    <t>176</t>
  </si>
  <si>
    <t>715245677</t>
  </si>
  <si>
    <t>Ziponlilne</t>
  </si>
  <si>
    <t>BE065549</t>
  </si>
  <si>
    <t>Mathugama</t>
  </si>
  <si>
    <t>178</t>
  </si>
  <si>
    <t>166</t>
  </si>
  <si>
    <t>706972689</t>
  </si>
  <si>
    <t>Nd Clothing</t>
  </si>
  <si>
    <t>A3149166</t>
  </si>
  <si>
    <t>Informed Branch Incharge Via A Whatsapp</t>
  </si>
  <si>
    <t>167</t>
  </si>
  <si>
    <t>779781609</t>
  </si>
  <si>
    <t>183</t>
  </si>
  <si>
    <t>768804852</t>
  </si>
  <si>
    <t>BE017200</t>
  </si>
  <si>
    <t>Informed The Client Via A Whatsapp</t>
  </si>
  <si>
    <t>170</t>
  </si>
  <si>
    <t>710761576</t>
  </si>
  <si>
    <t>Winpro Holdings</t>
  </si>
  <si>
    <t>BE096418</t>
  </si>
  <si>
    <t>185</t>
  </si>
  <si>
    <t>703333441</t>
  </si>
  <si>
    <t>Shopq.Lk</t>
  </si>
  <si>
    <t>BE062660</t>
  </si>
  <si>
    <t>Cant Find Tracking No</t>
  </si>
  <si>
    <t>Client Said Send Details On Wp</t>
  </si>
  <si>
    <t>186</t>
  </si>
  <si>
    <t>772172443</t>
  </si>
  <si>
    <t>The Perfume Stories</t>
  </si>
  <si>
    <t>A3965626</t>
  </si>
  <si>
    <t>Dd Order</t>
  </si>
  <si>
    <t>173</t>
  </si>
  <si>
    <t>776170867</t>
  </si>
  <si>
    <t>Elegant Bags</t>
  </si>
  <si>
    <t>A4293204</t>
  </si>
  <si>
    <t>188</t>
  </si>
  <si>
    <t>759686432</t>
  </si>
  <si>
    <t>Kilinochchi</t>
  </si>
  <si>
    <t>189</t>
  </si>
  <si>
    <t>722590507</t>
  </si>
  <si>
    <t>Flexi Store</t>
  </si>
  <si>
    <t>BE081097</t>
  </si>
  <si>
    <t>Collect From Return Shuttle</t>
  </si>
  <si>
    <t>Already Return Item</t>
  </si>
  <si>
    <t>177</t>
  </si>
  <si>
    <t>322254795</t>
  </si>
  <si>
    <t>Lotus Beauty</t>
  </si>
  <si>
    <t>WD336453</t>
  </si>
  <si>
    <t>179</t>
  </si>
  <si>
    <t>763326339</t>
  </si>
  <si>
    <t>BE105042</t>
  </si>
  <si>
    <t>Beauty Miss &amp; Mrs</t>
  </si>
  <si>
    <t>BE084359</t>
  </si>
  <si>
    <t>181</t>
  </si>
  <si>
    <t>755171711</t>
  </si>
  <si>
    <t>Colour Eyes</t>
  </si>
  <si>
    <t>A4595241</t>
  </si>
  <si>
    <t>196</t>
  </si>
  <si>
    <t>763081103</t>
  </si>
  <si>
    <t>BD993595</t>
  </si>
  <si>
    <t>198</t>
  </si>
  <si>
    <t>200</t>
  </si>
  <si>
    <t>Faith Store</t>
  </si>
  <si>
    <t>A4432497</t>
  </si>
  <si>
    <t>Returned To Ho</t>
  </si>
  <si>
    <t>Damage Item</t>
  </si>
  <si>
    <t>192</t>
  </si>
  <si>
    <t>704092215</t>
  </si>
  <si>
    <t>BE119595</t>
  </si>
  <si>
    <t>190</t>
  </si>
  <si>
    <t>778291778</t>
  </si>
  <si>
    <t>Miraci Holdings</t>
  </si>
  <si>
    <t>BE123801</t>
  </si>
  <si>
    <t>Informed Genzo Amanthi</t>
  </si>
  <si>
    <t>191</t>
  </si>
  <si>
    <t>728389232</t>
  </si>
  <si>
    <t>Informed Genzo Deepika</t>
  </si>
  <si>
    <t>193</t>
  </si>
  <si>
    <t>194</t>
  </si>
  <si>
    <t>Top Urgent -Call Request Management</t>
  </si>
  <si>
    <t>Informed /Transfered Call</t>
  </si>
  <si>
    <t>A4161018</t>
  </si>
  <si>
    <t>A4432392</t>
  </si>
  <si>
    <t>A4432025</t>
  </si>
  <si>
    <t>A4431681</t>
  </si>
  <si>
    <t>A4432282</t>
  </si>
  <si>
    <t>Recovery</t>
  </si>
  <si>
    <t>Already Returned Order</t>
  </si>
  <si>
    <t>A4432175</t>
  </si>
  <si>
    <t>A4431757</t>
  </si>
  <si>
    <t>201</t>
  </si>
  <si>
    <t>A1106394</t>
  </si>
  <si>
    <t>202</t>
  </si>
  <si>
    <t>BE015822</t>
  </si>
  <si>
    <t>203</t>
  </si>
  <si>
    <t>BE031429</t>
  </si>
  <si>
    <t>205</t>
  </si>
  <si>
    <t>Mahaovita Hela Osu</t>
  </si>
  <si>
    <t>A3698576</t>
  </si>
  <si>
    <t>Cleint Want Return Order</t>
  </si>
  <si>
    <t>Already Branch Put Return To Ho Update</t>
  </si>
  <si>
    <t>207</t>
  </si>
  <si>
    <t>A4432454</t>
  </si>
  <si>
    <t>Re Deliver On Friday</t>
  </si>
  <si>
    <t>Nexwin</t>
  </si>
  <si>
    <t>BE081708</t>
  </si>
  <si>
    <t>210</t>
  </si>
  <si>
    <t>74 008 3702</t>
  </si>
  <si>
    <t>BE131495</t>
  </si>
  <si>
    <t>Cant Loggin System</t>
  </si>
  <si>
    <t>211</t>
  </si>
  <si>
    <t>72 244 8617</t>
  </si>
  <si>
    <t>212</t>
  </si>
  <si>
    <t>BE079034</t>
  </si>
  <si>
    <t>Ware House - Kurunegala</t>
  </si>
  <si>
    <t>Still Hol,D Warehouse</t>
  </si>
  <si>
    <t>BE083483</t>
  </si>
  <si>
    <t>219</t>
  </si>
  <si>
    <t>Ceyshopz</t>
  </si>
  <si>
    <t>BE054464</t>
  </si>
  <si>
    <t>220</t>
  </si>
  <si>
    <t>70 254 2717</t>
  </si>
  <si>
    <t>How Arrange Refudn For Damage Item ?</t>
  </si>
  <si>
    <t>230</t>
  </si>
  <si>
    <t>206</t>
  </si>
  <si>
    <t>Kw Holdings</t>
  </si>
  <si>
    <t>BE129344</t>
  </si>
  <si>
    <t>A4170424</t>
  </si>
  <si>
    <t>BE067050</t>
  </si>
  <si>
    <t>209</t>
  </si>
  <si>
    <t>Herb Essence V2</t>
  </si>
  <si>
    <t>Customer Receivede Empty Package</t>
  </si>
  <si>
    <t>Informed Key Acc Safna</t>
  </si>
  <si>
    <t>2202 Active</t>
  </si>
  <si>
    <t>BA767712</t>
  </si>
  <si>
    <t>213</t>
  </si>
  <si>
    <t>Saku Fashion</t>
  </si>
  <si>
    <t>A4322051</t>
  </si>
  <si>
    <t>Cod Amount Mismatch</t>
  </si>
  <si>
    <t>Cod</t>
  </si>
  <si>
    <t>Cleint Add Remark /Informed</t>
  </si>
  <si>
    <t>214</t>
  </si>
  <si>
    <t>E-Shop.Lk Matara</t>
  </si>
  <si>
    <t>BA773376</t>
  </si>
  <si>
    <t>Re Deliver On Tomarrow</t>
  </si>
  <si>
    <t>215</t>
  </si>
  <si>
    <t>BA779806</t>
  </si>
  <si>
    <t>Cant Find Client Number</t>
  </si>
  <si>
    <t>232</t>
  </si>
  <si>
    <t>A3373703</t>
  </si>
  <si>
    <t>BE085145</t>
  </si>
  <si>
    <t>BE083066</t>
  </si>
  <si>
    <t>Req Jeni</t>
  </si>
  <si>
    <t>234</t>
  </si>
  <si>
    <t>Req Tamil Agent</t>
  </si>
  <si>
    <t>Doctor Wasantha Lal</t>
  </si>
  <si>
    <t>WD346416</t>
  </si>
  <si>
    <t>Crown.Lk</t>
  </si>
  <si>
    <t>BE039457</t>
  </si>
  <si>
    <t>Not Responded</t>
  </si>
  <si>
    <t>BA760477</t>
  </si>
  <si>
    <t>223</t>
  </si>
  <si>
    <t>A4248731</t>
  </si>
  <si>
    <t>Customer Out Of The City / The Customer Said To Call Back</t>
  </si>
  <si>
    <t>245</t>
  </si>
  <si>
    <t>246</t>
  </si>
  <si>
    <t>Dw Enterprises</t>
  </si>
  <si>
    <t>BE055923</t>
  </si>
  <si>
    <t>235</t>
  </si>
  <si>
    <t>Splash.Lk</t>
  </si>
  <si>
    <t>A4599362</t>
  </si>
  <si>
    <t>228</t>
  </si>
  <si>
    <t>714542452</t>
  </si>
  <si>
    <t>Mobilware Mobiles</t>
  </si>
  <si>
    <t>WD300546</t>
  </si>
  <si>
    <t>Informed Domestic Sayni</t>
  </si>
  <si>
    <t>229</t>
  </si>
  <si>
    <t>762380553</t>
  </si>
  <si>
    <t>A1127756</t>
  </si>
  <si>
    <t>255</t>
  </si>
  <si>
    <t>777687231</t>
  </si>
  <si>
    <t>Rea Tamil Agent</t>
  </si>
  <si>
    <t>Tranfer Cll</t>
  </si>
  <si>
    <t>256</t>
  </si>
  <si>
    <t>772131099</t>
  </si>
  <si>
    <t>Line Not Clear</t>
  </si>
  <si>
    <t>Disconected The Line</t>
  </si>
  <si>
    <t>257</t>
  </si>
  <si>
    <t>712311134</t>
  </si>
  <si>
    <t>258</t>
  </si>
  <si>
    <t>768953933</t>
  </si>
  <si>
    <t>Tranfer Call</t>
  </si>
  <si>
    <t>261</t>
  </si>
  <si>
    <t>703270505</t>
  </si>
  <si>
    <t>262</t>
  </si>
  <si>
    <t>778978202</t>
  </si>
  <si>
    <t>264</t>
  </si>
  <si>
    <t>760486453</t>
  </si>
  <si>
    <t>Netwave.Lk</t>
  </si>
  <si>
    <t>A4086806</t>
  </si>
  <si>
    <t>Metro Branch Number</t>
  </si>
  <si>
    <t>Given Incharge Number</t>
  </si>
  <si>
    <t>266</t>
  </si>
  <si>
    <t>763519253</t>
  </si>
  <si>
    <t>A6565839</t>
  </si>
  <si>
    <t>249</t>
  </si>
  <si>
    <t>Package Show In 18200.00</t>
  </si>
  <si>
    <t>269</t>
  </si>
  <si>
    <t>771744713</t>
  </si>
  <si>
    <t>252</t>
  </si>
  <si>
    <t>BE045569</t>
  </si>
  <si>
    <t>A4599442</t>
  </si>
  <si>
    <t>Customer Request -Deliver On Friday</t>
  </si>
  <si>
    <t>254</t>
  </si>
  <si>
    <t>703320004</t>
  </si>
  <si>
    <t>Luxury Beauty</t>
  </si>
  <si>
    <t>BA778333</t>
  </si>
  <si>
    <t>Disconeced The Line</t>
  </si>
  <si>
    <t>Mr. Vitamin Online Store</t>
  </si>
  <si>
    <t>BA766368</t>
  </si>
  <si>
    <t>241</t>
  </si>
  <si>
    <t>BA770155</t>
  </si>
  <si>
    <t>D/D Kandy Branch</t>
  </si>
  <si>
    <t>Informed Client About That</t>
  </si>
  <si>
    <t>242</t>
  </si>
  <si>
    <t>Alpha.Com(Pvt)Ltd</t>
  </si>
  <si>
    <t>15126322</t>
  </si>
  <si>
    <t>Sr Center</t>
  </si>
  <si>
    <t>A4715695</t>
  </si>
  <si>
    <t>290</t>
  </si>
  <si>
    <t>Umesha</t>
  </si>
  <si>
    <t>772994325</t>
  </si>
  <si>
    <t>Disconnected</t>
  </si>
  <si>
    <t>293</t>
  </si>
  <si>
    <t>750850157</t>
  </si>
  <si>
    <t>251</t>
  </si>
  <si>
    <t>A4702119</t>
  </si>
  <si>
    <t>298</t>
  </si>
  <si>
    <t>772853693</t>
  </si>
  <si>
    <t>271</t>
  </si>
  <si>
    <t>English Call</t>
  </si>
  <si>
    <t>Call Transfer Jeni</t>
  </si>
  <si>
    <t>300</t>
  </si>
  <si>
    <t>740541293</t>
  </si>
  <si>
    <t>301</t>
  </si>
  <si>
    <t>754916035</t>
  </si>
  <si>
    <t>WD246578</t>
  </si>
  <si>
    <t>Way Bill Not To The System</t>
  </si>
  <si>
    <t>Call Transfer Domestic Department</t>
  </si>
  <si>
    <t>259</t>
  </si>
  <si>
    <t>704685191</t>
  </si>
  <si>
    <t>Dv Clothing</t>
  </si>
  <si>
    <t>BA777024</t>
  </si>
  <si>
    <t>New Registration</t>
  </si>
  <si>
    <t>306</t>
  </si>
  <si>
    <t>BE075435</t>
  </si>
  <si>
    <t>Tamil Call</t>
  </si>
  <si>
    <t>Nittambuwa</t>
  </si>
  <si>
    <t>263</t>
  </si>
  <si>
    <t>770369310</t>
  </si>
  <si>
    <t>310</t>
  </si>
  <si>
    <t>702269260</t>
  </si>
  <si>
    <t>Ask Nilesha</t>
  </si>
  <si>
    <t>283</t>
  </si>
  <si>
    <t>711966347</t>
  </si>
  <si>
    <t>Modern Venture</t>
  </si>
  <si>
    <t>RA04229376</t>
  </si>
  <si>
    <t>Informed Customer</t>
  </si>
  <si>
    <t>313</t>
  </si>
  <si>
    <t>767699998</t>
  </si>
  <si>
    <t>Call Transfer Sales Department</t>
  </si>
  <si>
    <t>268</t>
  </si>
  <si>
    <t>727494566</t>
  </si>
  <si>
    <t>Janitha Kumari</t>
  </si>
  <si>
    <t>WD212718</t>
  </si>
  <si>
    <t>Urgent Today /0743614933-Customer New Number</t>
  </si>
  <si>
    <t>Cutie Gifts</t>
  </si>
  <si>
    <t>90954741</t>
  </si>
  <si>
    <t>287</t>
  </si>
  <si>
    <t>Kanro Enterprises</t>
  </si>
  <si>
    <t>A4456082</t>
  </si>
  <si>
    <t>288</t>
  </si>
  <si>
    <t>717968784</t>
  </si>
  <si>
    <t>Pallet One</t>
  </si>
  <si>
    <t>A4064999</t>
  </si>
  <si>
    <t>Still Processing</t>
  </si>
  <si>
    <t>318</t>
  </si>
  <si>
    <t>718555295</t>
  </si>
  <si>
    <t>Call Transfer Return Department</t>
  </si>
  <si>
    <t>Win Lanka</t>
  </si>
  <si>
    <t>BD902615</t>
  </si>
  <si>
    <t>274</t>
  </si>
  <si>
    <t>751580385</t>
  </si>
  <si>
    <t>Mexmy.Lk</t>
  </si>
  <si>
    <t>A4389924</t>
  </si>
  <si>
    <t>Top Urgent Today</t>
  </si>
  <si>
    <t>Polonnaruwa</t>
  </si>
  <si>
    <t>321</t>
  </si>
  <si>
    <t>323</t>
  </si>
  <si>
    <t>729394331</t>
  </si>
  <si>
    <t>278</t>
  </si>
  <si>
    <t>740750103</t>
  </si>
  <si>
    <t>Flora Natural</t>
  </si>
  <si>
    <t>A1124299</t>
  </si>
  <si>
    <t>Arrange Delivery Today / Top Urgent</t>
  </si>
  <si>
    <t>279</t>
  </si>
  <si>
    <t>763770209 -Customer Requested Re-Delivery. Please Arrange It For Tomorrow.</t>
  </si>
  <si>
    <t>Karawanella</t>
  </si>
  <si>
    <t>280</t>
  </si>
  <si>
    <t>768931820</t>
  </si>
  <si>
    <t>Dona Shireen</t>
  </si>
  <si>
    <t>A3998689</t>
  </si>
  <si>
    <t>Urgent Return Package</t>
  </si>
  <si>
    <t>327</t>
  </si>
  <si>
    <t>764260766</t>
  </si>
  <si>
    <t>The Client Is Asking Whether It Is Possible To Deliver A Package That Is 4 Feet Long.</t>
  </si>
  <si>
    <t>328</t>
  </si>
  <si>
    <t>769357268</t>
  </si>
  <si>
    <t>Coco Leaf</t>
  </si>
  <si>
    <t>A4338583</t>
  </si>
  <si>
    <t>Clothing Brands</t>
  </si>
  <si>
    <t>302</t>
  </si>
  <si>
    <t>740350585</t>
  </si>
  <si>
    <t>Ask Some Details</t>
  </si>
  <si>
    <t>285</t>
  </si>
  <si>
    <t>761930973</t>
  </si>
  <si>
    <t>286</t>
  </si>
  <si>
    <t>760189186</t>
  </si>
  <si>
    <t>A4456089</t>
  </si>
  <si>
    <t>344</t>
  </si>
  <si>
    <t>777595849</t>
  </si>
  <si>
    <t>345</t>
  </si>
  <si>
    <t>778694249</t>
  </si>
  <si>
    <t>Call Transfer Malik</t>
  </si>
  <si>
    <t>Bluetex Pvt Ltd</t>
  </si>
  <si>
    <t>A4584065</t>
  </si>
  <si>
    <t>348</t>
  </si>
  <si>
    <t>741005782</t>
  </si>
  <si>
    <t>Quick Mart.Lk</t>
  </si>
  <si>
    <t>BE091724</t>
  </si>
  <si>
    <t>System Issue</t>
  </si>
  <si>
    <t>295</t>
  </si>
  <si>
    <t>764268748</t>
  </si>
  <si>
    <t>Wasana Nishpadana</t>
  </si>
  <si>
    <t>A3948772</t>
  </si>
  <si>
    <t>353</t>
  </si>
  <si>
    <t>Ask Malik</t>
  </si>
  <si>
    <t>Informed Malik</t>
  </si>
  <si>
    <t>297</t>
  </si>
  <si>
    <t>770096508</t>
  </si>
  <si>
    <t>371</t>
  </si>
  <si>
    <t>77 956 2259</t>
  </si>
  <si>
    <t>BE100437</t>
  </si>
  <si>
    <t>Branch Number List</t>
  </si>
  <si>
    <t>374</t>
  </si>
  <si>
    <t>Vethu Fashion</t>
  </si>
  <si>
    <t>BA771537</t>
  </si>
  <si>
    <t>Re Delivery</t>
  </si>
  <si>
    <t>375</t>
  </si>
  <si>
    <t>BE056181</t>
  </si>
  <si>
    <t>303</t>
  </si>
  <si>
    <t>Customer Collect At The Branch</t>
  </si>
  <si>
    <t>305</t>
  </si>
  <si>
    <t>776111666</t>
  </si>
  <si>
    <t>Arrange Delivery Tomorrow / Urgent</t>
  </si>
  <si>
    <t>379</t>
  </si>
  <si>
    <t>Rosi Luggage &amp; Bags</t>
  </si>
  <si>
    <t>BA733879</t>
  </si>
  <si>
    <t>380</t>
  </si>
  <si>
    <t>BE080625</t>
  </si>
  <si>
    <t>Senik Cushion Works</t>
  </si>
  <si>
    <t>A3929133</t>
  </si>
  <si>
    <t>383</t>
  </si>
  <si>
    <t>Malik</t>
  </si>
  <si>
    <t>720108485</t>
  </si>
  <si>
    <t>Angel Attic</t>
  </si>
  <si>
    <t>A3536683</t>
  </si>
  <si>
    <t>Call Wrapped</t>
  </si>
  <si>
    <t>311</t>
  </si>
  <si>
    <t>779702469</t>
  </si>
  <si>
    <t>Ruhunu Weda Gedara</t>
  </si>
  <si>
    <t>BA764795</t>
  </si>
  <si>
    <t>312</t>
  </si>
  <si>
    <t>764219459</t>
  </si>
  <si>
    <t>Domestic Rate</t>
  </si>
  <si>
    <t>388</t>
  </si>
  <si>
    <t>710607191</t>
  </si>
  <si>
    <t>BE010314</t>
  </si>
  <si>
    <t>Some Details / Return To Client</t>
  </si>
  <si>
    <t>Galle</t>
  </si>
  <si>
    <t>Details Given</t>
  </si>
  <si>
    <t xml:space="preserve">BE007011 </t>
  </si>
  <si>
    <t>316</t>
  </si>
  <si>
    <t>757578955</t>
  </si>
  <si>
    <t>A1109105</t>
  </si>
  <si>
    <t>317</t>
  </si>
  <si>
    <t>759440573</t>
  </si>
  <si>
    <t>Saleway.Lk</t>
  </si>
  <si>
    <t>319</t>
  </si>
  <si>
    <t>320</t>
  </si>
  <si>
    <t>Informed Branch And Rm</t>
  </si>
  <si>
    <t>400</t>
  </si>
  <si>
    <t>766979286</t>
  </si>
  <si>
    <t>Hk Fashion Mirigama</t>
  </si>
  <si>
    <t>A4157598</t>
  </si>
  <si>
    <t>No Proper Details</t>
  </si>
  <si>
    <t>Ask To Call Back With Proper Details</t>
  </si>
  <si>
    <t>401</t>
  </si>
  <si>
    <t>765462824</t>
  </si>
  <si>
    <t>Sahasra Team</t>
  </si>
  <si>
    <t>324</t>
  </si>
  <si>
    <t>A4713289</t>
  </si>
  <si>
    <t>330</t>
  </si>
  <si>
    <t>765462634</t>
  </si>
  <si>
    <t>D&amp;N Fashion</t>
  </si>
  <si>
    <t>A3716658</t>
  </si>
  <si>
    <t>The Package Was Delivered To The Customer, But The Payment Was Not Collected From The Customer.</t>
  </si>
  <si>
    <t>409</t>
  </si>
  <si>
    <t>Thiyora Boutique</t>
  </si>
  <si>
    <t>A4395705</t>
  </si>
  <si>
    <t>No Responce Mid Way</t>
  </si>
  <si>
    <t>Call Wrapped And Call Back Number Is Nusy</t>
  </si>
  <si>
    <t>332</t>
  </si>
  <si>
    <t>764181863</t>
  </si>
  <si>
    <t>Lakmali</t>
  </si>
  <si>
    <t>WD301133</t>
  </si>
  <si>
    <t>352</t>
  </si>
  <si>
    <t>779019892</t>
  </si>
  <si>
    <t>354</t>
  </si>
  <si>
    <t>777531213</t>
  </si>
  <si>
    <t>Call Hold</t>
  </si>
  <si>
    <t>336</t>
  </si>
  <si>
    <t>787147221</t>
  </si>
  <si>
    <t>Praveen Randeniya Books</t>
  </si>
  <si>
    <t>BA774767</t>
  </si>
  <si>
    <t>337</t>
  </si>
  <si>
    <t>716365283</t>
  </si>
  <si>
    <t>Salehub.Lk</t>
  </si>
  <si>
    <t>BE081770</t>
  </si>
  <si>
    <t>716365283 - Customer Requested Re-Delivery. Please Arrange It For Tomorrow.</t>
  </si>
  <si>
    <t>416</t>
  </si>
  <si>
    <t>705130700</t>
  </si>
  <si>
    <t>Onelink.Lk</t>
  </si>
  <si>
    <t>BE066365</t>
  </si>
  <si>
    <t>339</t>
  </si>
  <si>
    <t>Trendify</t>
  </si>
  <si>
    <t>BE117555</t>
  </si>
  <si>
    <t>Informed Genzo Amandi</t>
  </si>
  <si>
    <t>418</t>
  </si>
  <si>
    <t>702337422</t>
  </si>
  <si>
    <t>Lesa Fashion</t>
  </si>
  <si>
    <t>A4581256</t>
  </si>
  <si>
    <t>Some Details/Exchange Barcode Number</t>
  </si>
  <si>
    <t>Number Given</t>
  </si>
  <si>
    <t>341</t>
  </si>
  <si>
    <t>BE095056</t>
  </si>
  <si>
    <t>342</t>
  </si>
  <si>
    <t>712354035</t>
  </si>
  <si>
    <t>Sahasra Products</t>
  </si>
  <si>
    <t>BE073829</t>
  </si>
  <si>
    <t>712354035 - Customer Requested Re-Delivery. Please Arrange It For Tomorrow.</t>
  </si>
  <si>
    <t>343</t>
  </si>
  <si>
    <t>765660973</t>
  </si>
  <si>
    <t>765660973 - Customer Requested Re-Delivery. Please Arrange It For Tomorrow.</t>
  </si>
  <si>
    <t>423</t>
  </si>
  <si>
    <t>765779370</t>
  </si>
  <si>
    <t>Details Given/ Info Branch</t>
  </si>
  <si>
    <t>424</t>
  </si>
  <si>
    <t>Location Send</t>
  </si>
  <si>
    <t>365</t>
  </si>
  <si>
    <t>773770294</t>
  </si>
  <si>
    <t>BE134469</t>
  </si>
  <si>
    <t>Ask Nuwara Eliya Branch Number</t>
  </si>
  <si>
    <t>Given Number</t>
  </si>
  <si>
    <t>426</t>
  </si>
  <si>
    <t>774296560</t>
  </si>
  <si>
    <t>Some Details /Delivery</t>
  </si>
  <si>
    <t>Details Given/ Info Branch Phone</t>
  </si>
  <si>
    <t>428</t>
  </si>
  <si>
    <t>743530160</t>
  </si>
  <si>
    <t>Some Details /Destination</t>
  </si>
  <si>
    <t>Details Given/ Called Back Number Busy</t>
  </si>
  <si>
    <t>429</t>
  </si>
  <si>
    <t>351</t>
  </si>
  <si>
    <t>777805753</t>
  </si>
  <si>
    <t>431</t>
  </si>
  <si>
    <t>771273759</t>
  </si>
  <si>
    <t>Milano Holdings</t>
  </si>
  <si>
    <t>BD691709</t>
  </si>
  <si>
    <t>Customer Want Return This Package/ Already Informed/Remark Issue</t>
  </si>
  <si>
    <t>433</t>
  </si>
  <si>
    <t>773719168</t>
  </si>
  <si>
    <t>BA770261</t>
  </si>
  <si>
    <t>Details Given/ Call Transfered</t>
  </si>
  <si>
    <t>434</t>
  </si>
  <si>
    <t>776346403</t>
  </si>
  <si>
    <t>357</t>
  </si>
  <si>
    <t>773096392</t>
  </si>
  <si>
    <t>BE095939</t>
  </si>
  <si>
    <t>377</t>
  </si>
  <si>
    <t>Dream Cart</t>
  </si>
  <si>
    <t>BE097832</t>
  </si>
  <si>
    <t>378</t>
  </si>
  <si>
    <t>BE054423</t>
  </si>
  <si>
    <t>440</t>
  </si>
  <si>
    <t>710149136</t>
  </si>
  <si>
    <t>A4051539</t>
  </si>
  <si>
    <t>Vacancy Call/ Askto Connect Hr</t>
  </si>
  <si>
    <t>Call Transfered</t>
  </si>
  <si>
    <t>362</t>
  </si>
  <si>
    <t>764664631</t>
  </si>
  <si>
    <t>A4533300</t>
  </si>
  <si>
    <t>Ask Horana Branch Number</t>
  </si>
  <si>
    <t>442</t>
  </si>
  <si>
    <t>761106948</t>
  </si>
  <si>
    <t>A3698571</t>
  </si>
  <si>
    <t>Call Backed/ Number Busy</t>
  </si>
  <si>
    <t>443</t>
  </si>
  <si>
    <t>771954106</t>
  </si>
  <si>
    <t>Hp Dreams Online Store</t>
  </si>
  <si>
    <t>A4586721</t>
  </si>
  <si>
    <t>Re-Assign Rider</t>
  </si>
  <si>
    <t>384</t>
  </si>
  <si>
    <t>775329387</t>
  </si>
  <si>
    <t>Zee Max Holdings</t>
  </si>
  <si>
    <t>BD829345</t>
  </si>
  <si>
    <t>Avissawela Branch Number</t>
  </si>
  <si>
    <t>366</t>
  </si>
  <si>
    <t>728334618</t>
  </si>
  <si>
    <t>15127120</t>
  </si>
  <si>
    <t>Add A Re - Mark</t>
  </si>
  <si>
    <t>386</t>
  </si>
  <si>
    <t>770082611</t>
  </si>
  <si>
    <t>Byte Boost Marketing</t>
  </si>
  <si>
    <t>BE110464</t>
  </si>
  <si>
    <t>368</t>
  </si>
  <si>
    <t>779335697</t>
  </si>
  <si>
    <t>D Mine Shop</t>
  </si>
  <si>
    <t>79564297</t>
  </si>
  <si>
    <t>391</t>
  </si>
  <si>
    <t>715171873</t>
  </si>
  <si>
    <t>A4557314</t>
  </si>
  <si>
    <t>Some Details / Delivery</t>
  </si>
  <si>
    <t>392</t>
  </si>
  <si>
    <t>756081207</t>
  </si>
  <si>
    <t>BD910852</t>
  </si>
  <si>
    <t>Customer Wants To Return The Parcel</t>
  </si>
  <si>
    <t>Info Deepika</t>
  </si>
  <si>
    <t>395</t>
  </si>
  <si>
    <t>741693627</t>
  </si>
  <si>
    <t>Manjistha Hair Oil</t>
  </si>
  <si>
    <t>A4383823</t>
  </si>
  <si>
    <t>Some Details</t>
  </si>
  <si>
    <t>396</t>
  </si>
  <si>
    <t>Domestic Call</t>
  </si>
  <si>
    <t>Call Transfer</t>
  </si>
  <si>
    <t>397</t>
  </si>
  <si>
    <t>714695400</t>
  </si>
  <si>
    <t>Call Transfered To Finance</t>
  </si>
  <si>
    <t>403</t>
  </si>
  <si>
    <t>773896655</t>
  </si>
  <si>
    <t>385</t>
  </si>
  <si>
    <t>701618102</t>
  </si>
  <si>
    <t>Customer Toldhe Will Pick Thje Parcel At Branch</t>
  </si>
  <si>
    <t>Call Transfered To Branh And Informed To Them</t>
  </si>
  <si>
    <t>405</t>
  </si>
  <si>
    <t>770063998</t>
  </si>
  <si>
    <t>Sent A Msg To Genzo Madushika</t>
  </si>
  <si>
    <t>387</t>
  </si>
  <si>
    <t>717127550</t>
  </si>
  <si>
    <t>BE108407</t>
  </si>
  <si>
    <t>Delivery Today</t>
  </si>
  <si>
    <t>Info Branch</t>
  </si>
  <si>
    <t>BE078767</t>
  </si>
  <si>
    <t>410</t>
  </si>
  <si>
    <t>770877270</t>
  </si>
  <si>
    <t>Bussiness Name Change</t>
  </si>
  <si>
    <t>Marketing Department Number Given</t>
  </si>
  <si>
    <t>413</t>
  </si>
  <si>
    <t>Skyline</t>
  </si>
  <si>
    <t>BE096087</t>
  </si>
  <si>
    <t>394</t>
  </si>
  <si>
    <t>778839082</t>
  </si>
  <si>
    <t>Primex.Lk</t>
  </si>
  <si>
    <t>BE092398</t>
  </si>
  <si>
    <t>90978952</t>
  </si>
  <si>
    <t>Payment Issue</t>
  </si>
  <si>
    <t>419</t>
  </si>
  <si>
    <t>768046805</t>
  </si>
  <si>
    <t>422</t>
  </si>
  <si>
    <t>755865990</t>
  </si>
  <si>
    <t>A3698540</t>
  </si>
  <si>
    <t>Cod Registration</t>
  </si>
  <si>
    <t>Marketing Number Given</t>
  </si>
  <si>
    <t>Zunna.Lk</t>
  </si>
  <si>
    <t>BD470027</t>
  </si>
  <si>
    <t>406</t>
  </si>
  <si>
    <t>714108884</t>
  </si>
  <si>
    <t>Fleximold Silicone Pvt Ltd</t>
  </si>
  <si>
    <t>A4464814</t>
  </si>
  <si>
    <t>432</t>
  </si>
  <si>
    <t>770896992</t>
  </si>
  <si>
    <t>Megha Caring (Pvt) Ltd</t>
  </si>
  <si>
    <t>BE062157</t>
  </si>
  <si>
    <t>Customer Wants To Know How To Use The Product</t>
  </si>
  <si>
    <t>414</t>
  </si>
  <si>
    <t>Exchange Parcel</t>
  </si>
  <si>
    <t>Called Back Line Is Busy</t>
  </si>
  <si>
    <t>415</t>
  </si>
  <si>
    <t>761051545</t>
  </si>
  <si>
    <t>Info Client</t>
  </si>
  <si>
    <t>417</t>
  </si>
  <si>
    <t>Futurefind Marketing</t>
  </si>
  <si>
    <t>BE091014</t>
  </si>
  <si>
    <t>Re Delivery Today</t>
  </si>
  <si>
    <t>420</t>
  </si>
  <si>
    <t>765597071</t>
  </si>
  <si>
    <t>BE091473</t>
  </si>
  <si>
    <t>425</t>
  </si>
  <si>
    <t>719551229</t>
  </si>
  <si>
    <t>Easytech Solutions</t>
  </si>
  <si>
    <t>A4600825</t>
  </si>
  <si>
    <t>Delivery 5/7/2026</t>
  </si>
  <si>
    <t>427</t>
  </si>
  <si>
    <t>743866343</t>
  </si>
  <si>
    <t xml:space="preserve">BE110591 </t>
  </si>
  <si>
    <t>430</t>
  </si>
  <si>
    <t>779134698</t>
  </si>
  <si>
    <t>Win Glow Sri Lanka</t>
  </si>
  <si>
    <t>BA761425</t>
  </si>
  <si>
    <t>Re Delivery 4/7/2026 - Customer Confirmed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</si>
  <si>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</si>
  <si>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</si>
  <si>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</si>
  <si>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</si>
  <si>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</si>
  <si>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</si>
  <si>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</si>
  <si>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</si>
  <si>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</si>
  <si>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</si>
  <si>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</si>
  <si>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</si>
  <si>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</si>
  <si>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</si>
  <si>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</si>
  <si>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</si>
  <si>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</si>
  <si>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</si>
  <si>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</si>
  <si>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</si>
  <si>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</si>
  <si>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</si>
  <si>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</si>
  <si>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</si>
  <si>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</si>
  <si>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</si>
  <si>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</si>
  <si>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</si>
  <si>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</si>
  <si>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</si>
  <si>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/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</si>
  <si>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</si>
  <si>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</si>
  <si>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</si>
  <si>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</si>
  <si>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</si>
  <si>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</si>
  <si>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</si>
  <si>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</si>
  <si>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</si>
  <si>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</si>
  <si>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</si>
  <si>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</si>
  <si>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</si>
  <si>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</si>
  <si>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</si>
  <si>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</si>
  <si>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</si>
  <si>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</si>
  <si>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</si>
  <si>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</si>
  <si>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</si>
  <si>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</si>
  <si>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</si>
  <si>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</si>
  <si>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</si>
  <si>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</si>
  <si>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</si>
  <si>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</si>
  <si>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</si>
  <si>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</si>
  <si>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</si>
  <si>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</si>
  <si>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</si>
  <si>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</si>
  <si>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</si>
  <si>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</si>
  <si>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</si>
  <si>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</si>
  <si>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</si>
  <si>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</si>
  <si>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</si>
  <si>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</si>
  <si>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</si>
  <si>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</si>
  <si>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</si>
  <si>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</si>
  <si>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</si>
  <si>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</si>
  <si>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</si>
  <si>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</si>
  <si>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</si>
  <si>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</si>
  <si>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</si>
  <si>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</si>
  <si>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</si>
  <si>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</si>
  <si>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</si>
  <si>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</si>
  <si>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</si>
  <si>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</si>
  <si>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</si>
  <si>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</si>
  <si>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</si>
  <si>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</si>
  <si>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</si>
  <si>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</si>
  <si>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</si>
  <si>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</si>
  <si>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</si>
  <si>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</si>
  <si>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</si>
  <si>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</si>
  <si>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</si>
  <si>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</si>
  <si>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</si>
  <si>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</si>
  <si>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</si>
  <si>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</si>
  <si>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</si>
  <si>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</si>
  <si>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</si>
  <si>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</si>
  <si>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</si>
  <si>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</si>
  <si>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</si>
  <si>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</si>
  <si>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</si>
  <si>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</si>
  <si>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</si>
  <si>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</si>
  <si>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</si>
  <si>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</si>
  <si>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</si>
  <si>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</si>
  <si>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</si>
  <si>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</si>
  <si>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</si>
  <si>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</si>
  <si>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</si>
  <si>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</si>
  <si>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</si>
  <si>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</si>
  <si>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</si>
  <si>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</si>
  <si>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</si>
  <si>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</si>
  <si>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</si>
  <si>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</si>
  <si>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</si>
  <si>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</si>
  <si>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</si>
  <si>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</si>
  <si>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</si>
  <si>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</si>
  <si>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</si>
  <si>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</si>
  <si>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</si>
  <si>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</si>
  <si>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</si>
  <si>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</si>
  <si>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</si>
  <si>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</si>
  <si>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</si>
  <si>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</si>
  <si>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</si>
  <si>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</si>
  <si>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</si>
  <si>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</si>
  <si>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</si>
  <si>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</si>
  <si>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</si>
  <si>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</si>
  <si>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</si>
  <si>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</si>
  <si>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</si>
  <si>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</si>
  <si>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</si>
  <si>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</si>
  <si>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</si>
  <si>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</si>
  <si>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</si>
  <si>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</si>
  <si>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</si>
  <si>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</si>
  <si>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</si>
  <si>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</si>
  <si>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</si>
  <si>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</si>
  <si>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</si>
  <si>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</si>
  <si>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</si>
  <si>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</si>
  <si>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</si>
  <si>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</si>
  <si>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</si>
  <si>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</si>
  <si>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</si>
  <si>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</si>
  <si>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</si>
  <si>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</si>
  <si>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</si>
  <si>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</si>
  <si>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</si>
  <si>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</si>
  <si>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</si>
  <si>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</si>
  <si>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</si>
  <si>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</si>
  <si>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</si>
  <si>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</si>
  <si>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</si>
  <si>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</si>
  <si>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</si>
  <si>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</si>
  <si>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</si>
  <si>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</si>
  <si>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</si>
  <si>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</si>
  <si>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</si>
  <si>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</si>
  <si>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</si>
  <si>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</si>
  <si>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</si>
  <si>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</si>
  <si>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</si>
  <si>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</si>
  <si>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</si>
  <si>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</si>
  <si>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</si>
  <si>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</si>
  <si>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</si>
  <si>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</si>
  <si>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</si>
  <si>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</si>
  <si>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</si>
  <si>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</si>
  <si>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</si>
  <si>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</si>
  <si>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</si>
  <si>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</si>
  <si>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</si>
  <si>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</si>
  <si>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</si>
  <si>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</si>
  <si>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</si>
  <si>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</si>
  <si>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</si>
  <si>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</si>
  <si>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</si>
  <si>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</si>
  <si>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</si>
  <si>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</si>
  <si>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</si>
  <si>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</si>
  <si>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</si>
  <si>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</si>
  <si>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</si>
  <si>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</si>
  <si>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</si>
  <si>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</si>
  <si>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</si>
  <si>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</si>
  <si>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</si>
  <si>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</si>
  <si>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</si>
  <si>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</si>
  <si>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</si>
  <si>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</si>
  <si>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</si>
  <si>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</si>
  <si>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</si>
  <si>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</si>
  <si>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</si>
  <si>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</si>
  <si>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</si>
  <si>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</si>
  <si>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</si>
  <si>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</si>
  <si>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</si>
  <si>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</si>
  <si>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</si>
  <si>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</si>
  <si>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</si>
  <si>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</si>
  <si>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</si>
  <si>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</si>
  <si>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</si>
  <si>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</si>
  <si>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</si>
  <si>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</si>
  <si>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</si>
  <si>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</si>
  <si>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</si>
  <si>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</si>
  <si>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</si>
  <si>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</si>
  <si>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</si>
  <si>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</si>
  <si>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</si>
  <si>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</si>
  <si>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</si>
  <si>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</si>
  <si>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</si>
  <si>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</si>
  <si>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</si>
  <si>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</si>
  <si>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</si>
  <si>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</si>
  <si>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</si>
  <si>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</si>
  <si>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</si>
  <si>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</si>
  <si>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</si>
  <si>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</si>
  <si>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</si>
  <si>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</si>
  <si>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</si>
  <si>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</si>
  <si>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</si>
  <si>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</si>
  <si>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</si>
  <si>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</si>
  <si>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</si>
  <si>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</si>
  <si>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</si>
  <si>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</si>
  <si>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</si>
  <si>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</si>
  <si>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</si>
  <si>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</si>
  <si>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</si>
  <si>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</si>
  <si>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</si>
  <si>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</si>
  <si>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</si>
  <si>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</si>
  <si>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</si>
  <si>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</si>
  <si>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</si>
  <si>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</si>
  <si>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</si>
  <si>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</si>
  <si>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</si>
  <si>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</si>
  <si>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</si>
  <si>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</si>
  <si>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</si>
  <si>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</si>
  <si>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</si>
  <si>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</si>
  <si>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</si>
  <si>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</si>
  <si>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</si>
  <si>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</si>
  <si>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</si>
  <si>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</si>
  <si>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</si>
  <si>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</si>
  <si>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</si>
  <si>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</si>
  <si>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</si>
  <si>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</si>
  <si>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</si>
  <si>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</si>
  <si>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</si>
  <si>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</si>
  <si>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</si>
  <si>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</si>
  <si>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</si>
  <si>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</si>
  <si>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</si>
  <si>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</si>
  <si>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</si>
  <si>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</si>
  <si>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</si>
  <si>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</si>
  <si>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</si>
  <si>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</si>
  <si>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</si>
  <si>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</si>
  <si>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</si>
  <si>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</si>
  <si>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</si>
  <si>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</si>
  <si>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</si>
  <si>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</si>
  <si>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</si>
  <si>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</si>
  <si>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</si>
  <si>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</si>
  <si>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</si>
  <si>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</si>
  <si>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</si>
  <si>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</si>
  <si>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</si>
  <si>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</si>
  <si>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</si>
  <si>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</si>
  <si>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</si>
  <si>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</si>
  <si>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</si>
  <si>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</si>
  <si>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</si>
  <si>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</si>
  <si>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</si>
  <si>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</si>
  <si>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</si>
  <si>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</si>
  <si>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</si>
  <si>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</si>
  <si>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</si>
  <si>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</si>
  <si>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</si>
  <si>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</si>
  <si>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</si>
  <si>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</si>
  <si>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</si>
  <si>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</si>
  <si>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</si>
  <si>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</si>
  <si>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</si>
  <si>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</si>
  <si>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</si>
  <si>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</si>
  <si>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</si>
  <si>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</si>
  <si>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</si>
  <si>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</si>
  <si>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</si>
  <si>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</si>
  <si>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</si>
  <si>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</si>
  <si>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</si>
  <si>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</si>
  <si>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</si>
  <si>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</si>
  <si>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</si>
  <si>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</si>
  <si>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</si>
  <si>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</si>
  <si>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</si>
  <si>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</si>
  <si>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</si>
  <si>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</si>
  <si>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</si>
  <si>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</si>
  <si>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</si>
  <si>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</si>
  <si>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</si>
  <si>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</si>
  <si>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</si>
  <si>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</si>
  <si>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</si>
  <si>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</si>
  <si>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</si>
  <si>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</si>
  <si>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</si>
  <si>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</si>
  <si>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</si>
  <si>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</si>
  <si>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</si>
  <si>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</si>
  <si>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</si>
  <si>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</si>
  <si>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</si>
  <si>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</si>
  <si>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</si>
  <si>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</si>
  <si>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</si>
  <si>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</si>
  <si>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</si>
  <si>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</si>
  <si>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</si>
  <si>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</si>
  <si>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</si>
  <si>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</si>
  <si>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</si>
  <si>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</si>
  <si>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</si>
  <si>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</si>
  <si>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</si>
  <si>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</si>
  <si>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</si>
  <si>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</si>
  <si>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</si>
  <si>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</si>
  <si>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</si>
  <si>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</si>
  <si>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</si>
  <si>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</si>
  <si>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</si>
  <si>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</si>
  <si>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</si>
  <si>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</si>
  <si>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</si>
  <si>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</si>
  <si>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</si>
  <si>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</si>
  <si>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</si>
  <si>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</si>
  <si>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</si>
  <si>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</si>
  <si>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</si>
  <si>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</si>
  <si>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</si>
  <si>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</si>
  <si>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</si>
  <si>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</si>
  <si>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</si>
  <si>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</si>
  <si>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Customer Service Operations Dashboard</t>
  </si>
  <si>
    <t>Detailed Records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</si>
</sst>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theme="1"/>
      <name val="Calibri"/>
      <scheme val="minor"/>
    </font>
    <font>
      <color theme="1"/>
      <name val="Calibri"/>
      <scheme val="minor"/>
    </font>
    <font>
      <sz val="10.0"/>
      <color theme="1"/>
      <name val="Arial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000000"/>
      <name val="Arial"/>
    </font>
    <font>
      <b/>
      <sz val="10.0"/>
      <color rgb="FF000000"/>
      <name val="Arial"/>
    </font>
    <font>
      <sz val="11.0"/>
      <color theme="10"/>
      <name val="Calibri"/>
    </font>
    <font>
      <sz val="10.0"/>
      <color rgb="FF473821"/>
      <name val="Arial"/>
    </font>
    <font>
      <sz val="10.0"/>
      <color rgb="FFB10202"/>
      <name val="Arial"/>
    </font>
    <font>
      <u/>
      <sz val="10.0"/>
      <color rgb="FF1155CC"/>
      <name val="Arial"/>
    </font>
    <font>
      <sz val="10.0"/>
      <color rgb="FF0A53A8"/>
      <name val="Arial"/>
    </font>
    <font>
      <u/>
      <sz val="10.0"/>
      <color rgb="FF1155CC"/>
      <name val="Arial"/>
    </font>
    <font>
      <sz val="10.0"/>
      <color rgb="FF3D3D3D"/>
      <name val="Arial"/>
    </font>
    <font>
      <sz val="10.0"/>
      <color theme="1"/>
      <name val="Roboto"/>
    </font>
    <font>
      <sz val="10.0"/>
      <color rgb="FF374151"/>
      <name val="Roboto"/>
    </font>
    <font>
      <color theme="1"/>
      <name val="Roboto"/>
    </font>
    <font>
      <b/>
      <sz val="24.0"/>
      <color rgb="FF3C5F90"/>
      <name val="Roboto"/>
    </font>
    <font/>
    <font>
      <sz val="12.0"/>
      <color rgb="FF74777E"/>
      <name val="Roboto"/>
    </font>
    <font>
      <b/>
      <sz val="28.0"/>
      <color rgb="FF181C1F"/>
      <name val="Roboto"/>
    </font>
    <font>
      <b/>
      <sz val="14.0"/>
      <color rgb="FFFFFFFF"/>
      <name val="Roboto"/>
    </font>
    <font>
      <color rgb="FFFFFFFF"/>
      <name val="Roboto"/>
    </font>
    <font>
      <b/>
      <color rgb="FFFFFFFF"/>
      <name val="Roboto"/>
    </font>
    <font>
      <u/>
      <color rgb="FF0000FF"/>
      <name val="Roboto"/>
    </font>
    <font>
      <u/>
      <color rgb="FF0000FF"/>
      <name val="Roboto"/>
    </font>
  </fonts>
  <fills count="22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6E6E6"/>
        <bgColor rgb="FFE6E6E6"/>
      </patternFill>
    </fill>
    <fill>
      <patternFill patternType="solid">
        <fgColor rgb="FFFFE5A0"/>
        <bgColor rgb="FFFFE5A0"/>
      </patternFill>
    </fill>
    <fill>
      <patternFill patternType="solid">
        <fgColor rgb="FFFFCFC9"/>
        <bgColor rgb="FFFFCFC9"/>
      </patternFill>
    </fill>
    <fill>
      <patternFill patternType="solid">
        <fgColor rgb="FF0A53A8"/>
        <bgColor rgb="FF0A53A8"/>
      </patternFill>
    </fill>
    <fill>
      <patternFill patternType="solid">
        <fgColor rgb="FF3D3D3D"/>
        <bgColor rgb="FF3D3D3D"/>
      </patternFill>
    </fill>
    <fill>
      <patternFill patternType="solid">
        <fgColor rgb="FFE6CFF2"/>
        <bgColor rgb="FFE6CFF2"/>
      </patternFill>
    </fill>
    <fill>
      <patternFill patternType="solid">
        <fgColor rgb="FF11734B"/>
        <bgColor rgb="FF11734B"/>
      </patternFill>
    </fill>
    <fill>
      <patternFill patternType="solid">
        <fgColor rgb="FF5A3286"/>
        <bgColor rgb="FF5A3286"/>
      </patternFill>
    </fill>
    <fill>
      <patternFill patternType="solid">
        <fgColor rgb="FFBFE1F6"/>
        <bgColor rgb="FFBFE1F6"/>
      </patternFill>
    </fill>
    <fill>
      <patternFill patternType="solid">
        <fgColor rgb="FFFFFF00"/>
        <bgColor rgb="FFFFFF00"/>
      </patternFill>
    </fill>
    <fill>
      <patternFill patternType="solid">
        <fgColor rgb="FF70ABEF"/>
        <bgColor rgb="FF70ABEF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ECECF4"/>
        <bgColor rgb="FFECECF4"/>
      </patternFill>
    </fill>
    <fill>
      <patternFill patternType="solid">
        <fgColor rgb="FF3C5F90"/>
        <bgColor rgb="FF3C5F90"/>
      </patternFill>
    </fill>
    <fill>
      <patternFill patternType="solid">
        <fgColor rgb="FFF8F8FF"/>
        <bgColor rgb="FFF8F8FF"/>
      </patternFill>
    </fill>
  </fills>
  <borders count="1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thin">
        <color rgb="FF74777E"/>
      </left>
      <top style="thin">
        <color rgb="FF74777E"/>
      </top>
    </border>
    <border>
      <top style="thin">
        <color rgb="FF74777E"/>
      </top>
    </border>
    <border>
      <left style="thin">
        <color rgb="FF74777E"/>
      </left>
      <bottom style="thin">
        <color rgb="FF74777E"/>
      </bottom>
    </border>
    <border>
      <bottom style="thin">
        <color rgb="FF74777E"/>
      </bottom>
    </border>
    <border>
      <right style="thin">
        <color rgb="FF74777E"/>
      </right>
      <top style="thin">
        <color rgb="FF74777E"/>
      </top>
    </border>
    <border>
      <left style="thin">
        <color rgb="FF74777E"/>
      </left>
    </border>
    <border>
      <right style="thin">
        <color rgb="FF74777E"/>
      </right>
    </border>
    <border>
      <right style="thin">
        <color rgb="FF74777E"/>
      </right>
      <bottom style="thin">
        <color rgb="FF74777E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 shrinkToFit="0" wrapText="1"/>
    </xf>
    <xf borderId="0" fillId="0" fontId="1" numFmtId="0" xfId="0" applyFont="1"/>
    <xf borderId="2" fillId="2" fontId="3" numFmtId="0" xfId="0" applyAlignment="1" applyBorder="1" applyFill="1" applyFont="1">
      <alignment readingOrder="0" shrinkToFit="0" wrapText="1"/>
    </xf>
    <xf borderId="3" fillId="2" fontId="3" numFmtId="0" xfId="0" applyAlignment="1" applyBorder="1" applyFill="1" applyFont="1">
      <alignment horizontal="center" readingOrder="0" shrinkToFit="0" wrapText="1"/>
    </xf>
    <xf borderId="2" fillId="2" fontId="4" numFmtId="0" xfId="0" applyAlignment="1" applyBorder="1" applyFill="1" applyFont="1">
      <alignment readingOrder="0" shrinkToFit="0" wrapText="1"/>
    </xf>
    <xf borderId="4" fillId="2" fontId="4" numFmtId="0" xfId="0" applyAlignment="1" applyBorder="1" applyFill="1" applyFont="1">
      <alignment horizontal="center" readingOrder="0" shrinkToFit="0" wrapText="1"/>
    </xf>
    <xf borderId="3" fillId="2" fontId="4" numFmtId="0" xfId="0" applyAlignment="1" applyBorder="1" applyFill="1" applyFont="1">
      <alignment horizontal="center" readingOrder="0" shrinkToFit="0" wrapText="1"/>
    </xf>
    <xf borderId="3" fillId="3" fontId="5" numFmtId="0" xfId="0" applyAlignment="1" applyBorder="1" applyFill="1" applyFont="1">
      <alignment readingOrder="0" shrinkToFit="0" wrapText="1"/>
    </xf>
    <xf borderId="5" fillId="2" fontId="6" numFmtId="0" xfId="0" applyAlignment="1" applyBorder="1" applyFill="1" applyFont="1">
      <alignment readingOrder="0" shrinkToFit="0" wrapText="1"/>
    </xf>
    <xf borderId="3" fillId="2" fontId="3" numFmtId="0" xfId="0" applyAlignment="1" applyBorder="1" applyFill="1" applyFont="1">
      <alignment readingOrder="0" shrinkToFit="0" wrapText="1"/>
    </xf>
    <xf borderId="6" fillId="0" fontId="2" numFmtId="0" xfId="0" applyAlignment="1" applyBorder="1" applyFont="1">
      <alignment horizontal="center" shrinkToFit="0" wrapText="1"/>
    </xf>
    <xf borderId="2" fillId="4" fontId="2" numFmtId="0" xfId="0" applyAlignment="1" applyBorder="1" applyFill="1" applyFont="1">
      <alignment shrinkToFit="0" wrapText="1"/>
    </xf>
    <xf borderId="2" fillId="4" fontId="2" numFmtId="0" xfId="0" applyAlignment="1" applyBorder="1" applyFill="1" applyFont="1">
      <alignment horizontal="center" shrinkToFit="0" wrapText="1"/>
    </xf>
    <xf borderId="2" fillId="0" fontId="5" numFmtId="0" xfId="0" applyAlignment="1" applyBorder="1" applyFont="1">
      <alignment shrinkToFit="0" wrapText="1"/>
    </xf>
    <xf borderId="2" fillId="0" fontId="2" numFmtId="0" xfId="0" applyAlignment="1" applyBorder="1" applyFont="1">
      <alignment shrinkToFit="0" wrapText="1"/>
    </xf>
    <xf borderId="7" fillId="0" fontId="2" numFmtId="0" xfId="0" applyAlignment="1" applyBorder="1" applyFont="1">
      <alignment horizontal="center" shrinkToFit="0" wrapText="1"/>
    </xf>
    <xf borderId="8" fillId="4" fontId="2" numFmtId="0" xfId="0" applyAlignment="1" applyBorder="1" applyFill="1" applyFont="1">
      <alignment shrinkToFit="0" wrapText="1"/>
    </xf>
    <xf borderId="8" fillId="4" fontId="2" numFmtId="0" xfId="0" applyAlignment="1" applyBorder="1" applyFill="1" applyFont="1">
      <alignment horizontal="center" shrinkToFit="0" wrapText="1"/>
    </xf>
    <xf borderId="8" fillId="0" fontId="5" numFmtId="0" xfId="0" applyAlignment="1" applyBorder="1" applyFont="1">
      <alignment shrinkToFit="0" wrapText="1"/>
    </xf>
    <xf borderId="8" fillId="0" fontId="2" numFmtId="0" xfId="0" applyAlignment="1" applyBorder="1" applyFont="1">
      <alignment shrinkToFit="0" wrapText="1"/>
    </xf>
    <xf borderId="8" fillId="0" fontId="5" numFmtId="0" xfId="0" applyAlignment="1" applyBorder="1" applyFont="1">
      <alignment shrinkToFit="0" wrapText="1"/>
    </xf>
    <xf borderId="7" fillId="0" fontId="2" numFmtId="0" xfId="0" applyAlignment="1" applyBorder="1" applyFont="1">
      <alignment horizontal="center" shrinkToFit="0" wrapText="1"/>
    </xf>
    <xf borderId="8" fillId="4" fontId="2" numFmtId="0" xfId="0" applyAlignment="1" applyBorder="1" applyFill="1" applyFont="1">
      <alignment shrinkToFit="0" wrapText="1"/>
    </xf>
    <xf borderId="8" fillId="4" fontId="2" numFmtId="0" xfId="0" applyAlignment="1" applyBorder="1" applyFill="1" applyFont="1">
      <alignment horizontal="center" shrinkToFit="0" wrapText="1"/>
    </xf>
    <xf borderId="8" fillId="0" fontId="2" numFmtId="0" xfId="0" applyAlignment="1" applyBorder="1" applyFont="1">
      <alignment shrinkToFit="0" wrapText="1"/>
    </xf>
    <xf borderId="8" fillId="5" fontId="5" numFmtId="0" xfId="0" applyAlignment="1" applyBorder="1" applyFill="1" applyFont="1">
      <alignment shrinkToFit="0" wrapText="1"/>
    </xf>
    <xf borderId="8" fillId="4" fontId="7" numFmtId="0" xfId="0" applyAlignment="1" applyBorder="1" applyFill="1" applyFont="1">
      <alignment shrinkToFit="0" wrapText="1"/>
    </xf>
    <xf borderId="8" fillId="0" fontId="2" numFmtId="0" xfId="0" applyAlignment="1" applyBorder="1" applyFont="1">
      <alignment horizontal="center" shrinkToFit="0" wrapText="1"/>
    </xf>
    <xf borderId="8" fillId="0" fontId="2" numFmtId="0" xfId="0" applyAlignment="1" applyBorder="1" applyFont="1">
      <alignment horizontal="center" shrinkToFit="0" wrapText="1"/>
    </xf>
    <xf borderId="8" fillId="6" fontId="8" numFmtId="0" xfId="0" applyAlignment="1" applyBorder="1" applyFill="1" applyFont="1">
      <alignment shrinkToFit="0" wrapText="1"/>
    </xf>
    <xf borderId="8" fillId="7" fontId="9" numFmtId="0" xfId="0" applyAlignment="1" applyBorder="1" applyFill="1" applyFont="1">
      <alignment shrinkToFit="0" wrapText="1"/>
    </xf>
    <xf borderId="8" fillId="7" fontId="5" numFmtId="0" xfId="0" applyAlignment="1" applyBorder="1" applyFill="1" applyFont="1">
      <alignment shrinkToFit="0" wrapText="1"/>
    </xf>
    <xf borderId="8" fillId="8" fontId="5" numFmtId="0" xfId="0" applyAlignment="1" applyBorder="1" applyFill="1" applyFont="1">
      <alignment shrinkToFit="0" wrapText="1"/>
    </xf>
    <xf borderId="8" fillId="9" fontId="5" numFmtId="0" xfId="0" applyAlignment="1" applyBorder="1" applyFill="1" applyFont="1">
      <alignment shrinkToFit="0" wrapText="1"/>
    </xf>
    <xf borderId="8" fillId="8" fontId="5" numFmtId="0" xfId="0" applyAlignment="1" applyBorder="1" applyFill="1" applyFont="1">
      <alignment shrinkToFit="0" wrapText="1"/>
    </xf>
    <xf borderId="8" fillId="10" fontId="5" numFmtId="0" xfId="0" applyAlignment="1" applyBorder="1" applyFill="1" applyFont="1">
      <alignment shrinkToFit="0" wrapText="1"/>
    </xf>
    <xf borderId="8" fillId="7" fontId="9" numFmtId="0" xfId="0" applyAlignment="1" applyBorder="1" applyFill="1" applyFont="1">
      <alignment shrinkToFit="0" wrapText="1"/>
    </xf>
    <xf borderId="8" fillId="11" fontId="5" numFmtId="0" xfId="0" applyAlignment="1" applyBorder="1" applyFill="1" applyFont="1">
      <alignment shrinkToFit="0" wrapText="1"/>
    </xf>
    <xf borderId="8" fillId="12" fontId="5" numFmtId="0" xfId="0" applyAlignment="1" applyBorder="1" applyFill="1" applyFont="1">
      <alignment shrinkToFit="0" wrapText="1"/>
    </xf>
    <xf borderId="8" fillId="0" fontId="10" numFmtId="0" xfId="0" applyAlignment="1" applyBorder="1" applyFont="1">
      <alignment shrinkToFit="0" wrapText="1"/>
    </xf>
    <xf borderId="8" fillId="11" fontId="5" numFmtId="0" xfId="0" applyAlignment="1" applyBorder="1" applyFill="1" applyFont="1">
      <alignment shrinkToFit="0" wrapText="1"/>
    </xf>
    <xf borderId="8" fillId="7" fontId="5" numFmtId="0" xfId="0" applyAlignment="1" applyBorder="1" applyFill="1" applyFont="1">
      <alignment shrinkToFit="0" wrapText="1"/>
    </xf>
    <xf borderId="8" fillId="13" fontId="11" numFmtId="0" xfId="0" applyAlignment="1" applyBorder="1" applyFill="1" applyFont="1">
      <alignment shrinkToFit="0" wrapText="1"/>
    </xf>
    <xf borderId="8" fillId="4" fontId="12" numFmtId="0" xfId="0" applyAlignment="1" applyBorder="1" applyFill="1" applyFont="1">
      <alignment shrinkToFit="0" wrapText="1"/>
    </xf>
    <xf borderId="7" fillId="0" fontId="2" numFmtId="0" xfId="0" applyAlignment="1" applyBorder="1" applyFont="1">
      <alignment shrinkToFit="0" wrapText="1"/>
    </xf>
    <xf borderId="7" fillId="4" fontId="2" numFmtId="0" xfId="0" applyAlignment="1" applyBorder="1" applyFill="1" applyFont="1">
      <alignment horizontal="center" shrinkToFit="0" wrapText="1"/>
    </xf>
    <xf borderId="8" fillId="4" fontId="5" numFmtId="0" xfId="0" applyAlignment="1" applyBorder="1" applyFill="1" applyFont="1">
      <alignment shrinkToFit="0" wrapText="1"/>
    </xf>
    <xf borderId="7" fillId="4" fontId="2" numFmtId="0" xfId="0" applyAlignment="1" applyBorder="1" applyFill="1" applyFont="1">
      <alignment horizontal="center" shrinkToFit="0" wrapText="1"/>
    </xf>
    <xf borderId="9" fillId="4" fontId="2" numFmtId="0" xfId="0" applyAlignment="1" applyBorder="1" applyFill="1" applyFont="1">
      <alignment shrinkToFit="0" wrapText="1"/>
    </xf>
    <xf borderId="8" fillId="14" fontId="2" numFmtId="0" xfId="0" applyAlignment="1" applyBorder="1" applyFill="1" applyFont="1">
      <alignment shrinkToFit="0" wrapText="1"/>
    </xf>
    <xf borderId="8" fillId="4" fontId="5" numFmtId="0" xfId="0" applyAlignment="1" applyBorder="1" applyFill="1" applyFont="1">
      <alignment shrinkToFit="0" wrapText="1"/>
    </xf>
    <xf borderId="8" fillId="12" fontId="5" numFmtId="0" xfId="0" applyAlignment="1" applyBorder="1" applyFill="1" applyFont="1">
      <alignment shrinkToFit="0" wrapText="1"/>
    </xf>
    <xf borderId="8" fillId="15" fontId="5" numFmtId="0" xfId="0" applyAlignment="1" applyBorder="1" applyFill="1" applyFont="1">
      <alignment shrinkToFit="0" wrapText="1"/>
    </xf>
    <xf borderId="7" fillId="14" fontId="2" numFmtId="0" xfId="0" applyAlignment="1" applyBorder="1" applyFill="1" applyFont="1">
      <alignment horizontal="center" shrinkToFit="0" wrapText="1"/>
    </xf>
    <xf borderId="8" fillId="14" fontId="2" numFmtId="0" xfId="0" applyAlignment="1" applyBorder="1" applyFill="1" applyFont="1">
      <alignment horizontal="center" shrinkToFit="0" wrapText="1"/>
    </xf>
    <xf borderId="8" fillId="14" fontId="5" numFmtId="0" xfId="0" applyAlignment="1" applyBorder="1" applyFill="1" applyFont="1">
      <alignment shrinkToFit="0" wrapText="1"/>
    </xf>
    <xf borderId="8" fillId="9" fontId="5" numFmtId="0" xfId="0" applyAlignment="1" applyBorder="1" applyFill="1" applyFont="1">
      <alignment shrinkToFit="0" wrapText="1"/>
    </xf>
    <xf borderId="8" fillId="16" fontId="2" numFmtId="0" xfId="0" applyAlignment="1" applyBorder="1" applyFill="1" applyFont="1">
      <alignment shrinkToFit="0" wrapText="1"/>
    </xf>
    <xf borderId="8" fillId="5" fontId="13" numFmtId="0" xfId="0" applyAlignment="1" applyBorder="1" applyFill="1" applyFont="1">
      <alignment shrinkToFit="0" wrapText="1"/>
    </xf>
    <xf borderId="8" fillId="4" fontId="7" numFmtId="0" xfId="0" applyAlignment="1" applyBorder="1" applyFill="1" applyFont="1">
      <alignment shrinkToFit="0" wrapText="1"/>
    </xf>
    <xf borderId="8" fillId="5" fontId="5" numFmtId="0" xfId="0" applyAlignment="1" applyBorder="1" applyFill="1" applyFont="1">
      <alignment shrinkToFit="0" wrapText="1"/>
    </xf>
    <xf borderId="8" fillId="6" fontId="8" numFmtId="0" xfId="0" applyAlignment="1" applyBorder="1" applyFill="1" applyFont="1">
      <alignment shrinkToFit="0" wrapText="1"/>
    </xf>
    <xf borderId="8" fillId="4" fontId="14" numFmtId="0" xfId="0" applyAlignment="1" applyBorder="1" applyFill="1" applyFont="1">
      <alignment shrinkToFit="0" wrapText="1"/>
    </xf>
    <xf borderId="8" fillId="4" fontId="14" numFmtId="0" xfId="0" applyAlignment="1" applyBorder="1" applyFill="1" applyFont="1">
      <alignment horizontal="center" shrinkToFit="0" wrapText="1"/>
    </xf>
    <xf borderId="8" fillId="4" fontId="14" numFmtId="0" xfId="0" applyAlignment="1" applyBorder="1" applyFill="1" applyFont="1">
      <alignment shrinkToFit="0" wrapText="1"/>
    </xf>
    <xf borderId="8" fillId="17" fontId="2" numFmtId="0" xfId="0" applyAlignment="1" applyBorder="1" applyFill="1" applyFont="1">
      <alignment shrinkToFit="0" wrapText="1"/>
    </xf>
    <xf borderId="8" fillId="14" fontId="14" numFmtId="0" xfId="0" applyAlignment="1" applyBorder="1" applyFill="1" applyFont="1">
      <alignment shrinkToFit="0" wrapText="1"/>
    </xf>
    <xf borderId="8" fillId="17" fontId="2" numFmtId="0" xfId="0" applyAlignment="1" applyBorder="1" applyFill="1" applyFont="1">
      <alignment shrinkToFit="0" wrapText="1"/>
    </xf>
    <xf borderId="8" fillId="4" fontId="15" numFmtId="0" xfId="0" applyAlignment="1" applyBorder="1" applyFill="1" applyFont="1">
      <alignment horizontal="center" shrinkToFit="0" wrapText="1"/>
    </xf>
    <xf borderId="8" fillId="0" fontId="14" numFmtId="0" xfId="0" applyAlignment="1" applyBorder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4" fontId="2" numFmtId="0" xfId="0" applyAlignment="1" applyFill="1" applyFont="1">
      <alignment shrinkToFit="0" wrapText="1"/>
    </xf>
    <xf borderId="0" fillId="4" fontId="2" numFmtId="0" xfId="0" applyAlignment="1" applyFill="1" applyFont="1">
      <alignment horizontal="center" shrinkToFit="0" wrapText="1"/>
    </xf>
    <xf borderId="0" fillId="0" fontId="14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18" fontId="14" numFmtId="0" xfId="0" applyAlignment="1" applyFill="1" applyFont="1">
      <alignment shrinkToFit="0" wrapText="1"/>
    </xf>
    <xf borderId="0" fillId="18" fontId="2" numFmtId="0" xfId="0" applyAlignment="1" applyFill="1" applyFont="1">
      <alignment horizontal="center" shrinkToFit="0" wrapText="1"/>
    </xf>
    <xf borderId="0" fillId="12" fontId="5" numFmtId="0" xfId="0" applyAlignment="1" applyFill="1" applyFont="1">
      <alignment shrinkToFit="0" wrapText="1"/>
    </xf>
    <xf borderId="0" fillId="7" fontId="5" numFmtId="0" xfId="0" applyAlignment="1" applyFill="1" applyFont="1">
      <alignment shrinkToFit="0" wrapText="1"/>
    </xf>
    <xf borderId="0" fillId="19" fontId="16" numFmtId="0" xfId="0" applyFill="1" applyFont="1"/>
    <xf borderId="10" fillId="4" fontId="17" numFmtId="0" xfId="0" applyAlignment="1" applyBorder="1" applyFill="1" applyFont="1">
      <alignment horizontal="center" vertical="center"/>
    </xf>
    <xf borderId="11" fillId="0" fontId="18" numFmtId="0" xfId="0" applyBorder="1" applyFont="1"/>
    <xf borderId="12" fillId="0" fontId="18" numFmtId="0" xfId="0" applyBorder="1" applyFont="1"/>
    <xf borderId="13" fillId="0" fontId="18" numFmtId="0" xfId="0" applyBorder="1" applyFont="1"/>
    <xf borderId="10" fillId="4" fontId="19" numFmtId="0" xfId="0" applyBorder="1" applyFill="1" applyFont="1"/>
    <xf borderId="11" fillId="4" fontId="16" numFmtId="0" xfId="0" applyBorder="1" applyFill="1" applyFont="1"/>
    <xf borderId="14" fillId="4" fontId="16" numFmtId="0" xfId="0" applyBorder="1" applyFill="1" applyFont="1"/>
    <xf borderId="15" fillId="4" fontId="20" numFmtId="0" xfId="0" applyBorder="1" applyFill="1" applyFont="1"/>
    <xf borderId="0" fillId="4" fontId="20" numFmtId="0" xfId="0" applyFill="1" applyFont="1"/>
    <xf borderId="16" fillId="4" fontId="20" numFmtId="0" xfId="0" applyBorder="1" applyFill="1" applyFont="1"/>
    <xf borderId="12" fillId="4" fontId="20" numFmtId="0" xfId="0" applyBorder="1" applyFill="1" applyFont="1"/>
    <xf borderId="13" fillId="4" fontId="20" numFmtId="0" xfId="0" applyBorder="1" applyFill="1" applyFont="1"/>
    <xf borderId="17" fillId="4" fontId="20" numFmtId="0" xfId="0" applyBorder="1" applyFill="1" applyFont="1"/>
    <xf borderId="10" fillId="4" fontId="16" numFmtId="0" xfId="0" applyBorder="1" applyFill="1" applyFont="1"/>
    <xf borderId="15" fillId="4" fontId="16" numFmtId="0" xfId="0" applyBorder="1" applyFill="1" applyFont="1"/>
    <xf borderId="0" fillId="4" fontId="16" numFmtId="0" xfId="0" applyFill="1" applyFont="1"/>
    <xf borderId="16" fillId="4" fontId="16" numFmtId="0" xfId="0" applyBorder="1" applyFill="1" applyFont="1"/>
    <xf borderId="12" fillId="4" fontId="16" numFmtId="0" xfId="0" applyBorder="1" applyFill="1" applyFont="1"/>
    <xf borderId="13" fillId="4" fontId="16" numFmtId="0" xfId="0" applyBorder="1" applyFill="1" applyFont="1"/>
    <xf borderId="17" fillId="4" fontId="16" numFmtId="0" xfId="0" applyBorder="1" applyFill="1" applyFont="1"/>
    <xf borderId="0" fillId="20" fontId="21" numFmtId="0" xfId="0" applyFill="1" applyFont="1"/>
    <xf borderId="0" fillId="20" fontId="22" numFmtId="0" xfId="0" applyFill="1" applyFont="1"/>
    <xf borderId="0" fillId="20" fontId="23" numFmtId="0" xfId="0" applyFill="1" applyFont="1"/>
    <xf borderId="0" fillId="21" fontId="16" numFmtId="0" xfId="0" applyFill="1" applyFont="1"/>
    <xf borderId="0" fillId="21" fontId="24" numFmtId="0" xfId="0" applyFill="1" applyFont="1"/>
    <xf borderId="0" fillId="4" fontId="25" numFmtId="0" xfId="0" applyFill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Google Sans"/>
              </a:defRPr>
            </a:pPr>
            <a:r>
              <a:rPr b="1">
                <a:solidFill>
                  <a:srgbClr val="757575"/>
                </a:solidFill>
                <a:latin typeface="Google Sans"/>
              </a:rPr>
              <a:t>Top 10 Complaints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Calc_Data!$B$1</c:f>
            </c:strRef>
          </c:tx>
          <c:spPr>
            <a:solidFill>
              <a:srgbClr val="3B5F90"/>
            </a:solidFill>
            <a:ln cmpd="sng">
              <a:noFill/>
            </a:ln>
          </c:spPr>
          <c:cat>
            <c:strRef>
              <c:f>Calc_Data!$A$2:$A$11</c:f>
            </c:strRef>
          </c:cat>
          <c:val>
            <c:numRef>
              <c:f>Calc_Data!$B$2:$B$11</c:f>
              <c:numCache/>
            </c:numRef>
          </c:val>
        </c:ser>
        <c:axId val="903998653"/>
        <c:axId val="1995152393"/>
      </c:barChart>
      <c:catAx>
        <c:axId val="90399865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Complaint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5152393"/>
      </c:catAx>
      <c:valAx>
        <c:axId val="199515239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3998653"/>
        <c:crosses val="max"/>
      </c:valAx>
    </c:plotArea>
    <c:plotVisOnly val="1"/>
  </c:chart>
  <c:spPr>
    <a:solidFill>
      <a:srgbClr val="F8F8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Google Sans"/>
              </a:defRPr>
            </a:pPr>
            <a:r>
              <a:rPr b="1">
                <a:solidFill>
                  <a:srgbClr val="757575"/>
                </a:solidFill>
                <a:latin typeface="Google Sans"/>
              </a:rPr>
              <a:t>Inquiries by Status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Pt>
            <c:idx val="11"/>
            <c:spPr>
              <a:solidFill>
                <a:srgbClr val="9BC67E"/>
              </a:solidFill>
            </c:spPr>
          </c:dPt>
          <c:dPt>
            <c:idx val="12"/>
            <c:spPr>
              <a:solidFill>
                <a:srgbClr val="B4C7E7"/>
              </a:solidFill>
            </c:spPr>
          </c:dPt>
          <c:dPt>
            <c:idx val="13"/>
            <c:spPr>
              <a:solidFill>
                <a:srgbClr val="F8CBAD"/>
              </a:solidFill>
            </c:spPr>
          </c:dPt>
          <c:dPt>
            <c:idx val="14"/>
            <c:spPr>
              <a:solidFill>
                <a:srgbClr val="DBDBDB"/>
              </a:solidFill>
            </c:spPr>
          </c:dPt>
          <c:dPt>
            <c:idx val="15"/>
            <c:spPr>
              <a:solidFill>
                <a:srgbClr val="FFE699"/>
              </a:solidFill>
            </c:spPr>
          </c:dPt>
          <c:dPt>
            <c:idx val="16"/>
            <c:spPr>
              <a:solidFill>
                <a:srgbClr val="BDD7E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Calc_Data!$D$1:$D$17</c:f>
            </c:strRef>
          </c:cat>
          <c:val>
            <c:numRef>
              <c:f>Calc_Data!$E$1:$E$17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8F8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Google Sans"/>
              </a:defRPr>
            </a:pPr>
            <a:r>
              <a:rPr b="1">
                <a:solidFill>
                  <a:srgbClr val="757575"/>
                </a:solidFill>
                <a:latin typeface="Google Sans"/>
              </a:rPr>
              <a:t>Top 10 Branches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Calc_Data!$H$1</c:f>
            </c:strRef>
          </c:tx>
          <c:spPr>
            <a:solidFill>
              <a:srgbClr val="3B5F90"/>
            </a:solidFill>
            <a:ln cmpd="sng">
              <a:noFill/>
            </a:ln>
          </c:spPr>
          <c:cat>
            <c:strRef>
              <c:f>Calc_Data!$G$2:$G$11</c:f>
            </c:strRef>
          </c:cat>
          <c:val>
            <c:numRef>
              <c:f>Calc_Data!$H$2:$H$11</c:f>
              <c:numCache/>
            </c:numRef>
          </c:val>
        </c:ser>
        <c:axId val="1214202306"/>
        <c:axId val="878316406"/>
      </c:barChart>
      <c:catAx>
        <c:axId val="12142023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Branch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8316406"/>
      </c:catAx>
      <c:valAx>
        <c:axId val="8783164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4202306"/>
      </c:valAx>
    </c:plotArea>
    <c:plotVisOnly val="1"/>
  </c:chart>
  <c:spPr>
    <a:solidFill>
      <a:srgbClr val="F8F8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Google Sans"/>
              </a:defRPr>
            </a:pPr>
            <a:r>
              <a:rPr b="1">
                <a:solidFill>
                  <a:srgbClr val="757575"/>
                </a:solidFill>
                <a:latin typeface="Google Sans"/>
              </a:rPr>
              <a:t>Operator Workload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Calc_Data!$K$1</c:f>
            </c:strRef>
          </c:tx>
          <c:spPr>
            <a:solidFill>
              <a:srgbClr val="3B5F90"/>
            </a:solidFill>
            <a:ln cmpd="sng">
              <a:noFill/>
            </a:ln>
          </c:spPr>
          <c:cat>
            <c:strRef>
              <c:f>Calc_Data!$J$2:$J$6</c:f>
            </c:strRef>
          </c:cat>
          <c:val>
            <c:numRef>
              <c:f>Calc_Data!$K$2:$K$6</c:f>
              <c:numCache/>
            </c:numRef>
          </c:val>
        </c:ser>
        <c:axId val="985568311"/>
        <c:axId val="1816060238"/>
      </c:barChart>
      <c:catAx>
        <c:axId val="9855683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Operator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6060238"/>
      </c:catAx>
      <c:valAx>
        <c:axId val="181606023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5568311"/>
        <c:crosses val="max"/>
      </c:valAx>
    </c:plotArea>
    <c:plotVisOnly val="1"/>
  </c:chart>
  <c:spPr>
    <a:solidFill>
      <a:srgbClr val="F8F8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chart" Target="../charts/chart1.xml"/><Relationship Id="rId5" Type="http://schemas.openxmlformats.org/officeDocument/2006/relationships/chart" Target="../charts/chart2.xml"/><Relationship Id="rId6" Type="http://schemas.openxmlformats.org/officeDocument/2006/relationships/chart" Target="../charts/chart3.xml"/><Relationship Id="rId7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</xdr:row>
      <xdr:rowOff>0</xdr:rowOff>
    </xdr:from>
    <xdr:ext cx="3086100" cy="952500"/>
    <xdr:pic>
      <xdr:nvPicPr>
        <xdr:cNvPr id="217914612" name="Chart1" title="Total Inquiries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3857625" cy="952500"/>
    <xdr:pic>
      <xdr:nvPicPr>
        <xdr:cNvPr id="800384048" name="Chart2" title="Total Branches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</xdr:row>
      <xdr:rowOff>0</xdr:rowOff>
    </xdr:from>
    <xdr:ext cx="3810000" cy="952500"/>
    <xdr:pic>
      <xdr:nvPicPr>
        <xdr:cNvPr id="1831124983" name="Chart3" title="Total Operators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5400675" cy="3000375"/>
    <xdr:graphicFrame>
      <xdr:nvGraphicFramePr>
        <xdr:cNvPr id="4" name="Chart 4" title="Top 10 Complain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0</xdr:colOff>
      <xdr:row>9</xdr:row>
      <xdr:rowOff>0</xdr:rowOff>
    </xdr:from>
    <xdr:ext cx="5353050" cy="3000375"/>
    <xdr:graphicFrame>
      <xdr:nvGraphicFramePr>
        <xdr:cNvPr id="5" name="Chart 5" title="Inquiries by Statu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0</xdr:colOff>
      <xdr:row>24</xdr:row>
      <xdr:rowOff>142875</xdr:rowOff>
    </xdr:from>
    <xdr:ext cx="5400675" cy="3048000"/>
    <xdr:graphicFrame>
      <xdr:nvGraphicFramePr>
        <xdr:cNvPr id="6" name="Chart 6" title="Top 10 Branch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8</xdr:col>
      <xdr:colOff>0</xdr:colOff>
      <xdr:row>24</xdr:row>
      <xdr:rowOff>142875</xdr:rowOff>
    </xdr:from>
    <xdr:ext cx="5353050" cy="3048000"/>
    <xdr:graphicFrame>
      <xdr:nvGraphicFramePr>
        <xdr:cNvPr id="7" name="Chart 7" title="Operator Workloa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saleway.lk" TargetMode="External"/><Relationship Id="rId42" Type="http://schemas.openxmlformats.org/officeDocument/2006/relationships/hyperlink" Target="http://saleway.lk" TargetMode="External"/><Relationship Id="rId41" Type="http://schemas.openxmlformats.org/officeDocument/2006/relationships/hyperlink" Target="http://saleway.lk" TargetMode="External"/><Relationship Id="rId44" Type="http://schemas.openxmlformats.org/officeDocument/2006/relationships/hyperlink" Target="http://saleway.lk" TargetMode="External"/><Relationship Id="rId43" Type="http://schemas.openxmlformats.org/officeDocument/2006/relationships/hyperlink" Target="http://onelink.lk" TargetMode="External"/><Relationship Id="rId46" Type="http://schemas.openxmlformats.org/officeDocument/2006/relationships/hyperlink" Target="http://onelink.lk" TargetMode="External"/><Relationship Id="rId45" Type="http://schemas.openxmlformats.org/officeDocument/2006/relationships/hyperlink" Target="http://primex.lk" TargetMode="External"/><Relationship Id="rId107" Type="http://schemas.openxmlformats.org/officeDocument/2006/relationships/hyperlink" Target="http://crown.lk" TargetMode="External"/><Relationship Id="rId106" Type="http://schemas.openxmlformats.org/officeDocument/2006/relationships/hyperlink" Target="http://plusmart.lk" TargetMode="External"/><Relationship Id="rId105" Type="http://schemas.openxmlformats.org/officeDocument/2006/relationships/hyperlink" Target="http://netwave.lk" TargetMode="External"/><Relationship Id="rId104" Type="http://schemas.openxmlformats.org/officeDocument/2006/relationships/hyperlink" Target="http://shopq.lk" TargetMode="External"/><Relationship Id="rId109" Type="http://schemas.openxmlformats.org/officeDocument/2006/relationships/hyperlink" Target="http://helloherb.lk" TargetMode="External"/><Relationship Id="rId108" Type="http://schemas.openxmlformats.org/officeDocument/2006/relationships/hyperlink" Target="http://saleway.lk" TargetMode="External"/><Relationship Id="rId48" Type="http://schemas.openxmlformats.org/officeDocument/2006/relationships/hyperlink" Target="http://onelink.lk" TargetMode="External"/><Relationship Id="rId47" Type="http://schemas.openxmlformats.org/officeDocument/2006/relationships/hyperlink" Target="http://zunna.lk" TargetMode="External"/><Relationship Id="rId49" Type="http://schemas.openxmlformats.org/officeDocument/2006/relationships/hyperlink" Target="http://onelink.lk" TargetMode="External"/><Relationship Id="rId103" Type="http://schemas.openxmlformats.org/officeDocument/2006/relationships/hyperlink" Target="http://crown.lk" TargetMode="External"/><Relationship Id="rId102" Type="http://schemas.openxmlformats.org/officeDocument/2006/relationships/hyperlink" Target="http://primex.lk" TargetMode="External"/><Relationship Id="rId101" Type="http://schemas.openxmlformats.org/officeDocument/2006/relationships/hyperlink" Target="http://saleway.lk" TargetMode="External"/><Relationship Id="rId100" Type="http://schemas.openxmlformats.org/officeDocument/2006/relationships/hyperlink" Target="http://dominion.lk" TargetMode="External"/><Relationship Id="rId31" Type="http://schemas.openxmlformats.org/officeDocument/2006/relationships/hyperlink" Target="http://netwave.lk" TargetMode="External"/><Relationship Id="rId30" Type="http://schemas.openxmlformats.org/officeDocument/2006/relationships/hyperlink" Target="http://crown.lk" TargetMode="External"/><Relationship Id="rId33" Type="http://schemas.openxmlformats.org/officeDocument/2006/relationships/hyperlink" Target="http://saleway.lk" TargetMode="External"/><Relationship Id="rId32" Type="http://schemas.openxmlformats.org/officeDocument/2006/relationships/hyperlink" Target="http://mexmy.lk" TargetMode="External"/><Relationship Id="rId35" Type="http://schemas.openxmlformats.org/officeDocument/2006/relationships/hyperlink" Target="http://salehub.lk" TargetMode="External"/><Relationship Id="rId34" Type="http://schemas.openxmlformats.org/officeDocument/2006/relationships/hyperlink" Target="http://saleway.lk" TargetMode="External"/><Relationship Id="rId37" Type="http://schemas.openxmlformats.org/officeDocument/2006/relationships/hyperlink" Target="http://basues.lk" TargetMode="External"/><Relationship Id="rId36" Type="http://schemas.openxmlformats.org/officeDocument/2006/relationships/hyperlink" Target="http://onelink.lk" TargetMode="External"/><Relationship Id="rId39" Type="http://schemas.openxmlformats.org/officeDocument/2006/relationships/hyperlink" Target="http://onelink.lk" TargetMode="External"/><Relationship Id="rId38" Type="http://schemas.openxmlformats.org/officeDocument/2006/relationships/hyperlink" Target="http://basues.lk" TargetMode="External"/><Relationship Id="rId20" Type="http://schemas.openxmlformats.org/officeDocument/2006/relationships/hyperlink" Target="http://splash.lk" TargetMode="External"/><Relationship Id="rId22" Type="http://schemas.openxmlformats.org/officeDocument/2006/relationships/hyperlink" Target="http://crown.lk" TargetMode="External"/><Relationship Id="rId21" Type="http://schemas.openxmlformats.org/officeDocument/2006/relationships/hyperlink" Target="http://crown.lk" TargetMode="External"/><Relationship Id="rId24" Type="http://schemas.openxmlformats.org/officeDocument/2006/relationships/hyperlink" Target="http://netwave.lk" TargetMode="External"/><Relationship Id="rId23" Type="http://schemas.openxmlformats.org/officeDocument/2006/relationships/hyperlink" Target="http://netwave.lk" TargetMode="External"/><Relationship Id="rId26" Type="http://schemas.openxmlformats.org/officeDocument/2006/relationships/hyperlink" Target="http://splash.lk" TargetMode="External"/><Relationship Id="rId25" Type="http://schemas.openxmlformats.org/officeDocument/2006/relationships/hyperlink" Target="http://tropical.lk" TargetMode="External"/><Relationship Id="rId28" Type="http://schemas.openxmlformats.org/officeDocument/2006/relationships/hyperlink" Target="http://tropical.lk" TargetMode="External"/><Relationship Id="rId27" Type="http://schemas.openxmlformats.org/officeDocument/2006/relationships/hyperlink" Target="http://netwave.lk" TargetMode="External"/><Relationship Id="rId29" Type="http://schemas.openxmlformats.org/officeDocument/2006/relationships/hyperlink" Target="http://crown.lk" TargetMode="External"/><Relationship Id="rId95" Type="http://schemas.openxmlformats.org/officeDocument/2006/relationships/hyperlink" Target="http://shopymore.lk" TargetMode="External"/><Relationship Id="rId94" Type="http://schemas.openxmlformats.org/officeDocument/2006/relationships/hyperlink" Target="http://saleway.lk" TargetMode="External"/><Relationship Id="rId97" Type="http://schemas.openxmlformats.org/officeDocument/2006/relationships/hyperlink" Target="http://crown.lk" TargetMode="External"/><Relationship Id="rId96" Type="http://schemas.openxmlformats.org/officeDocument/2006/relationships/hyperlink" Target="http://netwave.lk" TargetMode="External"/><Relationship Id="rId11" Type="http://schemas.openxmlformats.org/officeDocument/2006/relationships/hyperlink" Target="http://victoriaceyloan.lk" TargetMode="External"/><Relationship Id="rId99" Type="http://schemas.openxmlformats.org/officeDocument/2006/relationships/hyperlink" Target="http://primex.lk" TargetMode="External"/><Relationship Id="rId10" Type="http://schemas.openxmlformats.org/officeDocument/2006/relationships/hyperlink" Target="http://dominion.lk" TargetMode="External"/><Relationship Id="rId98" Type="http://schemas.openxmlformats.org/officeDocument/2006/relationships/hyperlink" Target="http://primex.lk" TargetMode="External"/><Relationship Id="rId13" Type="http://schemas.openxmlformats.org/officeDocument/2006/relationships/hyperlink" Target="http://helloherb.lk" TargetMode="External"/><Relationship Id="rId12" Type="http://schemas.openxmlformats.org/officeDocument/2006/relationships/hyperlink" Target="http://awaymonk.lk" TargetMode="External"/><Relationship Id="rId91" Type="http://schemas.openxmlformats.org/officeDocument/2006/relationships/hyperlink" Target="http://subito.lk" TargetMode="External"/><Relationship Id="rId90" Type="http://schemas.openxmlformats.org/officeDocument/2006/relationships/hyperlink" Target="http://crown.lk" TargetMode="External"/><Relationship Id="rId93" Type="http://schemas.openxmlformats.org/officeDocument/2006/relationships/hyperlink" Target="http://crown.lk" TargetMode="External"/><Relationship Id="rId92" Type="http://schemas.openxmlformats.org/officeDocument/2006/relationships/hyperlink" Target="http://plusmart.lk" TargetMode="External"/><Relationship Id="rId15" Type="http://schemas.openxmlformats.org/officeDocument/2006/relationships/hyperlink" Target="http://clickify.lk" TargetMode="External"/><Relationship Id="rId110" Type="http://schemas.openxmlformats.org/officeDocument/2006/relationships/drawing" Target="../drawings/drawing2.xml"/><Relationship Id="rId14" Type="http://schemas.openxmlformats.org/officeDocument/2006/relationships/hyperlink" Target="http://helloherb.lk" TargetMode="External"/><Relationship Id="rId17" Type="http://schemas.openxmlformats.org/officeDocument/2006/relationships/hyperlink" Target="http://shopq.lk" TargetMode="External"/><Relationship Id="rId16" Type="http://schemas.openxmlformats.org/officeDocument/2006/relationships/hyperlink" Target="http://helloherb.lk" TargetMode="External"/><Relationship Id="rId19" Type="http://schemas.openxmlformats.org/officeDocument/2006/relationships/hyperlink" Target="http://crown.lk" TargetMode="External"/><Relationship Id="rId18" Type="http://schemas.openxmlformats.org/officeDocument/2006/relationships/hyperlink" Target="http://plusmart.lk" TargetMode="External"/><Relationship Id="rId84" Type="http://schemas.openxmlformats.org/officeDocument/2006/relationships/hyperlink" Target="http://victoriaceyloan.lk" TargetMode="External"/><Relationship Id="rId83" Type="http://schemas.openxmlformats.org/officeDocument/2006/relationships/hyperlink" Target="http://crown.lk" TargetMode="External"/><Relationship Id="rId86" Type="http://schemas.openxmlformats.org/officeDocument/2006/relationships/hyperlink" Target="http://clickify.lk" TargetMode="External"/><Relationship Id="rId85" Type="http://schemas.openxmlformats.org/officeDocument/2006/relationships/hyperlink" Target="http://netwave.lk" TargetMode="External"/><Relationship Id="rId88" Type="http://schemas.openxmlformats.org/officeDocument/2006/relationships/hyperlink" Target="http://plusmart.lk" TargetMode="External"/><Relationship Id="rId87" Type="http://schemas.openxmlformats.org/officeDocument/2006/relationships/hyperlink" Target="http://splash.lk" TargetMode="External"/><Relationship Id="rId89" Type="http://schemas.openxmlformats.org/officeDocument/2006/relationships/hyperlink" Target="http://basues.lk" TargetMode="External"/><Relationship Id="rId80" Type="http://schemas.openxmlformats.org/officeDocument/2006/relationships/hyperlink" Target="http://shopymore.lk" TargetMode="External"/><Relationship Id="rId82" Type="http://schemas.openxmlformats.org/officeDocument/2006/relationships/hyperlink" Target="http://onelink.lk" TargetMode="External"/><Relationship Id="rId81" Type="http://schemas.openxmlformats.org/officeDocument/2006/relationships/hyperlink" Target="http://netwave.lk" TargetMode="External"/><Relationship Id="rId1" Type="http://schemas.openxmlformats.org/officeDocument/2006/relationships/hyperlink" Target="http://plusmart.lk" TargetMode="External"/><Relationship Id="rId2" Type="http://schemas.openxmlformats.org/officeDocument/2006/relationships/hyperlink" Target="http://basues.lk" TargetMode="External"/><Relationship Id="rId3" Type="http://schemas.openxmlformats.org/officeDocument/2006/relationships/hyperlink" Target="http://subito.lk" TargetMode="External"/><Relationship Id="rId4" Type="http://schemas.openxmlformats.org/officeDocument/2006/relationships/hyperlink" Target="http://subito.lk" TargetMode="External"/><Relationship Id="rId9" Type="http://schemas.openxmlformats.org/officeDocument/2006/relationships/hyperlink" Target="http://dominion.lk" TargetMode="External"/><Relationship Id="rId5" Type="http://schemas.openxmlformats.org/officeDocument/2006/relationships/hyperlink" Target="http://tropical.lk" TargetMode="External"/><Relationship Id="rId6" Type="http://schemas.openxmlformats.org/officeDocument/2006/relationships/hyperlink" Target="http://cherri.lk" TargetMode="External"/><Relationship Id="rId7" Type="http://schemas.openxmlformats.org/officeDocument/2006/relationships/hyperlink" Target="http://plusmart.lk" TargetMode="External"/><Relationship Id="rId8" Type="http://schemas.openxmlformats.org/officeDocument/2006/relationships/hyperlink" Target="http://shopymore.lk" TargetMode="External"/><Relationship Id="rId73" Type="http://schemas.openxmlformats.org/officeDocument/2006/relationships/hyperlink" Target="http://onelink.lk" TargetMode="External"/><Relationship Id="rId72" Type="http://schemas.openxmlformats.org/officeDocument/2006/relationships/hyperlink" Target="http://tropical.lk" TargetMode="External"/><Relationship Id="rId75" Type="http://schemas.openxmlformats.org/officeDocument/2006/relationships/hyperlink" Target="http://salehub.lk" TargetMode="External"/><Relationship Id="rId74" Type="http://schemas.openxmlformats.org/officeDocument/2006/relationships/hyperlink" Target="http://helloherb.lk" TargetMode="External"/><Relationship Id="rId77" Type="http://schemas.openxmlformats.org/officeDocument/2006/relationships/hyperlink" Target="http://tropical.lk" TargetMode="External"/><Relationship Id="rId76" Type="http://schemas.openxmlformats.org/officeDocument/2006/relationships/hyperlink" Target="http://onelink.lk" TargetMode="External"/><Relationship Id="rId79" Type="http://schemas.openxmlformats.org/officeDocument/2006/relationships/hyperlink" Target="http://subito.lk" TargetMode="External"/><Relationship Id="rId78" Type="http://schemas.openxmlformats.org/officeDocument/2006/relationships/hyperlink" Target="http://plusmart.lk" TargetMode="External"/><Relationship Id="rId71" Type="http://schemas.openxmlformats.org/officeDocument/2006/relationships/hyperlink" Target="http://saleway.lk" TargetMode="External"/><Relationship Id="rId70" Type="http://schemas.openxmlformats.org/officeDocument/2006/relationships/hyperlink" Target="http://zunna.lk" TargetMode="External"/><Relationship Id="rId62" Type="http://schemas.openxmlformats.org/officeDocument/2006/relationships/hyperlink" Target="http://netwave.lk" TargetMode="External"/><Relationship Id="rId61" Type="http://schemas.openxmlformats.org/officeDocument/2006/relationships/hyperlink" Target="http://helloherb.lk" TargetMode="External"/><Relationship Id="rId64" Type="http://schemas.openxmlformats.org/officeDocument/2006/relationships/hyperlink" Target="http://plusmart.lk" TargetMode="External"/><Relationship Id="rId63" Type="http://schemas.openxmlformats.org/officeDocument/2006/relationships/hyperlink" Target="http://plusmart.lk" TargetMode="External"/><Relationship Id="rId66" Type="http://schemas.openxmlformats.org/officeDocument/2006/relationships/hyperlink" Target="http://victoriaceyloan.lk" TargetMode="External"/><Relationship Id="rId65" Type="http://schemas.openxmlformats.org/officeDocument/2006/relationships/hyperlink" Target="http://plusmart.lk" TargetMode="External"/><Relationship Id="rId68" Type="http://schemas.openxmlformats.org/officeDocument/2006/relationships/hyperlink" Target="http://saleway.lk" TargetMode="External"/><Relationship Id="rId67" Type="http://schemas.openxmlformats.org/officeDocument/2006/relationships/hyperlink" Target="http://crown.lk" TargetMode="External"/><Relationship Id="rId60" Type="http://schemas.openxmlformats.org/officeDocument/2006/relationships/hyperlink" Target="http://crown.lk" TargetMode="External"/><Relationship Id="rId69" Type="http://schemas.openxmlformats.org/officeDocument/2006/relationships/hyperlink" Target="http://netwave.lk" TargetMode="External"/><Relationship Id="rId51" Type="http://schemas.openxmlformats.org/officeDocument/2006/relationships/hyperlink" Target="http://onelink.lk" TargetMode="External"/><Relationship Id="rId50" Type="http://schemas.openxmlformats.org/officeDocument/2006/relationships/hyperlink" Target="http://onelink.lk" TargetMode="External"/><Relationship Id="rId53" Type="http://schemas.openxmlformats.org/officeDocument/2006/relationships/hyperlink" Target="http://netwave.lk" TargetMode="External"/><Relationship Id="rId52" Type="http://schemas.openxmlformats.org/officeDocument/2006/relationships/hyperlink" Target="http://saleway.lk" TargetMode="External"/><Relationship Id="rId55" Type="http://schemas.openxmlformats.org/officeDocument/2006/relationships/hyperlink" Target="http://saleway.lk" TargetMode="External"/><Relationship Id="rId54" Type="http://schemas.openxmlformats.org/officeDocument/2006/relationships/hyperlink" Target="http://helloherb.lk" TargetMode="External"/><Relationship Id="rId57" Type="http://schemas.openxmlformats.org/officeDocument/2006/relationships/hyperlink" Target="http://basues.lk" TargetMode="External"/><Relationship Id="rId56" Type="http://schemas.openxmlformats.org/officeDocument/2006/relationships/hyperlink" Target="http://primex.lk" TargetMode="External"/><Relationship Id="rId59" Type="http://schemas.openxmlformats.org/officeDocument/2006/relationships/hyperlink" Target="http://dominion.lk" TargetMode="External"/><Relationship Id="rId58" Type="http://schemas.openxmlformats.org/officeDocument/2006/relationships/hyperlink" Target="http://primex.l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9.29"/>
    <col customWidth="1" min="3" max="3" width="10.0"/>
    <col customWidth="1" min="4" max="4" width="8.57"/>
    <col customWidth="1" min="5" max="5" width="21.14"/>
    <col customWidth="1" min="6" max="6" width="8.71"/>
    <col customWidth="1" min="7" max="7" width="24.57"/>
    <col customWidth="1" min="8" max="8" width="8.71"/>
    <col customWidth="1" min="9" max="9" width="18.29"/>
    <col customWidth="1" min="10" max="10" width="11.86"/>
    <col customWidth="1" min="11" max="11" width="43.0"/>
  </cols>
  <sheetData>
    <row r="1" ht="33.0" customHeight="1">
      <c r="A1" s="1" t="s">
        <v>0</v>
      </c>
      <c r="B1" s="2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10" t="s">
        <v>11</v>
      </c>
      <c r="J1" s="11" t="s">
        <v>12</v>
      </c>
      <c r="K1" s="4" t="s">
        <v>13</v>
      </c>
    </row>
    <row r="2" ht="33.0" customHeight="1">
      <c r="A2" s="12" t="s">
        <v>14</v>
      </c>
      <c r="B2" s="13" t="s">
        <v>15</v>
      </c>
      <c r="C2" s="13" t="s">
        <v>16</v>
      </c>
      <c r="D2" s="14" t="s">
        <v>17</v>
      </c>
      <c r="E2" s="13" t="s">
        <v>18</v>
      </c>
      <c r="F2" s="14" t="s">
        <v>19</v>
      </c>
      <c r="G2" s="14" t="s">
        <v>20</v>
      </c>
      <c r="H2" s="15" t="s">
        <v>21</v>
      </c>
      <c r="I2" s="15" t="s">
        <v>22</v>
      </c>
      <c r="J2" s="16" t="s">
        <v>23</v>
      </c>
      <c r="K2" s="13" t="s">
        <v>24</v>
      </c>
    </row>
    <row r="3" ht="33.0" customHeight="1">
      <c r="A3" s="17" t="s">
        <v>25</v>
      </c>
      <c r="B3" s="18" t="s">
        <v>15</v>
      </c>
      <c r="C3" s="18" t="s">
        <v>26</v>
      </c>
      <c r="D3" s="19" t="s">
        <v>17</v>
      </c>
      <c r="E3" s="18" t="s">
        <v>27</v>
      </c>
      <c r="F3" s="19" t="s">
        <v>28</v>
      </c>
      <c r="G3" s="19" t="s">
        <v>20</v>
      </c>
      <c r="H3" s="20" t="s">
        <v>21</v>
      </c>
      <c r="I3" s="20" t="s">
        <v>29</v>
      </c>
      <c r="J3" s="21" t="s">
        <v>23</v>
      </c>
      <c r="K3" s="18" t="s">
        <v>24</v>
      </c>
    </row>
    <row r="4" ht="33.0" customHeight="1">
      <c r="A4" s="17" t="s">
        <v>30</v>
      </c>
      <c r="B4" s="18" t="s">
        <v>15</v>
      </c>
      <c r="C4" s="18" t="s">
        <v>31</v>
      </c>
      <c r="D4" s="19" t="s">
        <v>17</v>
      </c>
      <c r="E4" s="18" t="s">
        <v>32</v>
      </c>
      <c r="F4" s="19" t="s">
        <v>33</v>
      </c>
      <c r="G4" s="19" t="s">
        <v>20</v>
      </c>
      <c r="H4" s="20" t="s">
        <v>34</v>
      </c>
      <c r="I4" s="20" t="s">
        <v>22</v>
      </c>
      <c r="J4" s="21" t="s">
        <v>23</v>
      </c>
      <c r="K4" s="18" t="s">
        <v>35</v>
      </c>
    </row>
    <row r="5" ht="33.0" customHeight="1">
      <c r="A5" s="17" t="s">
        <v>36</v>
      </c>
      <c r="B5" s="18" t="s">
        <v>15</v>
      </c>
      <c r="C5" s="18" t="s">
        <v>37</v>
      </c>
      <c r="D5" s="19" t="s">
        <v>17</v>
      </c>
      <c r="E5" s="18" t="s">
        <v>38</v>
      </c>
      <c r="F5" s="19" t="s">
        <v>39</v>
      </c>
      <c r="G5" s="19" t="s">
        <v>20</v>
      </c>
      <c r="H5" s="22" t="s">
        <v>40</v>
      </c>
      <c r="I5" s="20" t="s">
        <v>22</v>
      </c>
      <c r="J5" s="21" t="s">
        <v>23</v>
      </c>
      <c r="K5" s="18" t="s">
        <v>24</v>
      </c>
    </row>
    <row r="6" ht="33.0" customHeight="1">
      <c r="A6" s="23" t="s">
        <v>41</v>
      </c>
      <c r="B6" s="24" t="s">
        <v>15</v>
      </c>
      <c r="C6" s="24" t="s">
        <v>42</v>
      </c>
      <c r="D6" s="25" t="s">
        <v>43</v>
      </c>
      <c r="E6" s="24" t="s">
        <v>44</v>
      </c>
      <c r="F6" s="25" t="s">
        <v>45</v>
      </c>
      <c r="G6" s="25" t="s">
        <v>46</v>
      </c>
      <c r="H6" s="22" t="s">
        <v>40</v>
      </c>
      <c r="I6" s="22" t="s">
        <v>47</v>
      </c>
      <c r="J6" s="26" t="s">
        <v>48</v>
      </c>
      <c r="K6" s="24" t="s">
        <v>49</v>
      </c>
    </row>
    <row r="7" ht="33.0" customHeight="1">
      <c r="A7" s="17" t="s">
        <v>50</v>
      </c>
      <c r="B7" s="18" t="s">
        <v>15</v>
      </c>
      <c r="C7" s="18" t="s">
        <v>51</v>
      </c>
      <c r="D7" s="19" t="s">
        <v>17</v>
      </c>
      <c r="E7" s="18" t="s">
        <v>52</v>
      </c>
      <c r="F7" s="19" t="s">
        <v>53</v>
      </c>
      <c r="G7" s="19" t="s">
        <v>20</v>
      </c>
      <c r="H7" s="27" t="s">
        <v>54</v>
      </c>
      <c r="I7" s="20" t="s">
        <v>22</v>
      </c>
      <c r="J7" s="21" t="s">
        <v>23</v>
      </c>
      <c r="K7" s="18" t="s">
        <v>24</v>
      </c>
    </row>
    <row r="8" ht="33.0" customHeight="1">
      <c r="A8" s="17" t="s">
        <v>55</v>
      </c>
      <c r="B8" s="18" t="s">
        <v>15</v>
      </c>
      <c r="C8" s="18" t="s">
        <v>56</v>
      </c>
      <c r="D8" s="19" t="s">
        <v>17</v>
      </c>
      <c r="E8" s="18" t="s">
        <v>57</v>
      </c>
      <c r="F8" s="19" t="s">
        <v>58</v>
      </c>
      <c r="G8" s="19" t="s">
        <v>20</v>
      </c>
      <c r="H8" s="20" t="s">
        <v>59</v>
      </c>
      <c r="I8" s="20" t="s">
        <v>22</v>
      </c>
      <c r="J8" s="21" t="s">
        <v>23</v>
      </c>
      <c r="K8" s="18" t="s">
        <v>24</v>
      </c>
    </row>
    <row r="9" ht="33.0" customHeight="1">
      <c r="A9" s="17" t="s">
        <v>60</v>
      </c>
      <c r="B9" s="18" t="s">
        <v>15</v>
      </c>
      <c r="C9" s="18" t="s">
        <v>61</v>
      </c>
      <c r="D9" s="19" t="s">
        <v>17</v>
      </c>
      <c r="E9" s="18" t="s">
        <v>62</v>
      </c>
      <c r="F9" s="19" t="s">
        <v>63</v>
      </c>
      <c r="G9" s="19" t="s">
        <v>20</v>
      </c>
      <c r="H9" s="20" t="s">
        <v>34</v>
      </c>
      <c r="I9" s="20" t="s">
        <v>22</v>
      </c>
      <c r="J9" s="21" t="s">
        <v>23</v>
      </c>
      <c r="K9" s="18" t="s">
        <v>24</v>
      </c>
    </row>
    <row r="10" ht="33.0" customHeight="1">
      <c r="A10" s="17" t="s">
        <v>64</v>
      </c>
      <c r="B10" s="18" t="s">
        <v>15</v>
      </c>
      <c r="C10" s="18" t="s">
        <v>65</v>
      </c>
      <c r="D10" s="19" t="s">
        <v>17</v>
      </c>
      <c r="E10" s="28" t="s">
        <v>66</v>
      </c>
      <c r="F10" s="19" t="s">
        <v>67</v>
      </c>
      <c r="G10" s="19" t="s">
        <v>68</v>
      </c>
      <c r="H10" s="22" t="s">
        <v>69</v>
      </c>
      <c r="I10" s="22" t="s">
        <v>22</v>
      </c>
      <c r="J10" s="21" t="s">
        <v>23</v>
      </c>
      <c r="K10" s="18" t="s">
        <v>49</v>
      </c>
    </row>
    <row r="11" ht="33.0" customHeight="1">
      <c r="A11" s="23" t="s">
        <v>70</v>
      </c>
      <c r="B11" s="24" t="s">
        <v>15</v>
      </c>
      <c r="C11" s="24" t="s">
        <v>71</v>
      </c>
      <c r="D11" s="29" t="s">
        <v>17</v>
      </c>
      <c r="E11" s="24" t="s">
        <v>66</v>
      </c>
      <c r="F11" s="25" t="s">
        <v>67</v>
      </c>
      <c r="G11" s="25" t="s">
        <v>72</v>
      </c>
      <c r="H11" s="22" t="s">
        <v>69</v>
      </c>
      <c r="I11" s="22" t="s">
        <v>22</v>
      </c>
      <c r="J11" s="26" t="s">
        <v>48</v>
      </c>
      <c r="K11" s="24" t="s">
        <v>49</v>
      </c>
    </row>
    <row r="12" ht="33.0" customHeight="1">
      <c r="A12" s="17" t="s">
        <v>73</v>
      </c>
      <c r="B12" s="18" t="s">
        <v>15</v>
      </c>
      <c r="C12" s="18" t="s">
        <v>74</v>
      </c>
      <c r="D12" s="30" t="s">
        <v>17</v>
      </c>
      <c r="E12" s="18" t="s">
        <v>75</v>
      </c>
      <c r="F12" s="19" t="s">
        <v>76</v>
      </c>
      <c r="G12" s="19" t="s">
        <v>20</v>
      </c>
      <c r="H12" s="22" t="s">
        <v>77</v>
      </c>
      <c r="I12" s="22" t="s">
        <v>22</v>
      </c>
      <c r="J12" s="21" t="s">
        <v>23</v>
      </c>
      <c r="K12" s="18" t="s">
        <v>24</v>
      </c>
    </row>
    <row r="13" ht="33.0" customHeight="1">
      <c r="A13" s="23" t="s">
        <v>78</v>
      </c>
      <c r="B13" s="24" t="s">
        <v>15</v>
      </c>
      <c r="C13" s="24" t="s">
        <v>79</v>
      </c>
      <c r="D13" s="29" t="s">
        <v>17</v>
      </c>
      <c r="E13" s="24" t="s">
        <v>75</v>
      </c>
      <c r="F13" s="25" t="s">
        <v>76</v>
      </c>
      <c r="G13" s="25" t="s">
        <v>80</v>
      </c>
      <c r="H13" s="22" t="s">
        <v>77</v>
      </c>
      <c r="I13" s="22" t="s">
        <v>22</v>
      </c>
      <c r="J13" s="31" t="s">
        <v>81</v>
      </c>
      <c r="K13" s="24" t="s">
        <v>82</v>
      </c>
    </row>
    <row r="14" ht="33.0" customHeight="1">
      <c r="A14" s="17" t="s">
        <v>83</v>
      </c>
      <c r="B14" s="18" t="s">
        <v>15</v>
      </c>
      <c r="C14" s="18" t="s">
        <v>84</v>
      </c>
      <c r="D14" s="30" t="s">
        <v>17</v>
      </c>
      <c r="E14" s="18" t="s">
        <v>85</v>
      </c>
      <c r="F14" s="19" t="s">
        <v>86</v>
      </c>
      <c r="G14" s="19" t="s">
        <v>20</v>
      </c>
      <c r="H14" s="20" t="s">
        <v>87</v>
      </c>
      <c r="I14" s="20" t="s">
        <v>88</v>
      </c>
      <c r="J14" s="32" t="s">
        <v>89</v>
      </c>
      <c r="K14" s="18" t="s">
        <v>90</v>
      </c>
    </row>
    <row r="15" ht="33.0" customHeight="1">
      <c r="A15" s="17" t="s">
        <v>91</v>
      </c>
      <c r="B15" s="18" t="s">
        <v>15</v>
      </c>
      <c r="C15" s="18" t="s">
        <v>92</v>
      </c>
      <c r="D15" s="19" t="s">
        <v>43</v>
      </c>
      <c r="E15" s="18" t="s">
        <v>93</v>
      </c>
      <c r="F15" s="19" t="s">
        <v>94</v>
      </c>
      <c r="G15" s="19" t="s">
        <v>95</v>
      </c>
      <c r="H15" s="20" t="s">
        <v>96</v>
      </c>
      <c r="I15" s="33" t="s">
        <v>97</v>
      </c>
      <c r="J15" s="21" t="s">
        <v>23</v>
      </c>
      <c r="K15" s="18" t="s">
        <v>98</v>
      </c>
    </row>
    <row r="16" ht="33.0" customHeight="1">
      <c r="A16" s="17" t="s">
        <v>99</v>
      </c>
      <c r="B16" s="18" t="s">
        <v>15</v>
      </c>
      <c r="C16" s="18" t="s">
        <v>100</v>
      </c>
      <c r="D16" s="30" t="s">
        <v>17</v>
      </c>
      <c r="E16" s="18" t="s">
        <v>101</v>
      </c>
      <c r="F16" s="19" t="s">
        <v>102</v>
      </c>
      <c r="G16" s="19" t="s">
        <v>103</v>
      </c>
      <c r="H16" s="20" t="s">
        <v>104</v>
      </c>
      <c r="I16" s="20" t="s">
        <v>105</v>
      </c>
      <c r="J16" s="21" t="s">
        <v>23</v>
      </c>
      <c r="K16" s="18" t="s">
        <v>106</v>
      </c>
    </row>
    <row r="17" ht="33.0" customHeight="1">
      <c r="A17" s="17" t="s">
        <v>107</v>
      </c>
      <c r="B17" s="18" t="s">
        <v>15</v>
      </c>
      <c r="C17" s="18" t="s">
        <v>108</v>
      </c>
      <c r="D17" s="30" t="s">
        <v>17</v>
      </c>
      <c r="E17" s="18" t="s">
        <v>109</v>
      </c>
      <c r="F17" s="19" t="s">
        <v>110</v>
      </c>
      <c r="G17" s="19" t="s">
        <v>111</v>
      </c>
      <c r="H17" s="20" t="s">
        <v>112</v>
      </c>
      <c r="I17" s="34" t="s">
        <v>113</v>
      </c>
      <c r="J17" s="21" t="s">
        <v>23</v>
      </c>
      <c r="K17" s="18" t="s">
        <v>24</v>
      </c>
    </row>
    <row r="18" ht="33.0" customHeight="1">
      <c r="A18" s="17" t="s">
        <v>114</v>
      </c>
      <c r="B18" s="18" t="s">
        <v>15</v>
      </c>
      <c r="C18" s="18" t="s">
        <v>115</v>
      </c>
      <c r="D18" s="30" t="s">
        <v>17</v>
      </c>
      <c r="E18" s="18" t="s">
        <v>116</v>
      </c>
      <c r="F18" s="19" t="s">
        <v>117</v>
      </c>
      <c r="G18" s="19" t="s">
        <v>20</v>
      </c>
      <c r="H18" s="20" t="s">
        <v>118</v>
      </c>
      <c r="I18" s="20" t="s">
        <v>22</v>
      </c>
      <c r="J18" s="21" t="s">
        <v>23</v>
      </c>
      <c r="K18" s="18" t="s">
        <v>24</v>
      </c>
    </row>
    <row r="19" ht="33.0" customHeight="1">
      <c r="A19" s="17" t="s">
        <v>119</v>
      </c>
      <c r="B19" s="18" t="s">
        <v>15</v>
      </c>
      <c r="C19" s="18" t="s">
        <v>120</v>
      </c>
      <c r="D19" s="30" t="s">
        <v>17</v>
      </c>
      <c r="E19" s="18" t="s">
        <v>121</v>
      </c>
      <c r="F19" s="19" t="s">
        <v>122</v>
      </c>
      <c r="G19" s="19" t="s">
        <v>103</v>
      </c>
      <c r="H19" s="20" t="s">
        <v>123</v>
      </c>
      <c r="I19" s="20" t="s">
        <v>105</v>
      </c>
      <c r="J19" s="21" t="s">
        <v>23</v>
      </c>
      <c r="K19" s="18" t="s">
        <v>106</v>
      </c>
    </row>
    <row r="20" ht="33.0" customHeight="1">
      <c r="A20" s="17" t="s">
        <v>124</v>
      </c>
      <c r="B20" s="18" t="s">
        <v>15</v>
      </c>
      <c r="C20" s="18" t="s">
        <v>125</v>
      </c>
      <c r="D20" s="30" t="s">
        <v>17</v>
      </c>
      <c r="E20" s="18" t="s">
        <v>126</v>
      </c>
      <c r="F20" s="19" t="s">
        <v>127</v>
      </c>
      <c r="G20" s="19" t="s">
        <v>128</v>
      </c>
      <c r="H20" s="35" t="s">
        <v>129</v>
      </c>
      <c r="I20" s="20" t="s">
        <v>130</v>
      </c>
      <c r="J20" s="21" t="s">
        <v>23</v>
      </c>
      <c r="K20" s="18" t="s">
        <v>24</v>
      </c>
    </row>
    <row r="21" ht="33.0" customHeight="1">
      <c r="A21" s="17" t="s">
        <v>131</v>
      </c>
      <c r="B21" s="18" t="s">
        <v>15</v>
      </c>
      <c r="C21" s="18" t="s">
        <v>132</v>
      </c>
      <c r="D21" s="30" t="s">
        <v>17</v>
      </c>
      <c r="E21" s="18" t="s">
        <v>27</v>
      </c>
      <c r="F21" s="19" t="s">
        <v>133</v>
      </c>
      <c r="G21" s="19" t="s">
        <v>103</v>
      </c>
      <c r="H21" s="20" t="s">
        <v>123</v>
      </c>
      <c r="I21" s="20" t="s">
        <v>105</v>
      </c>
      <c r="J21" s="21" t="s">
        <v>23</v>
      </c>
      <c r="K21" s="18" t="s">
        <v>106</v>
      </c>
    </row>
    <row r="22" ht="33.0" customHeight="1">
      <c r="A22" s="17" t="s">
        <v>134</v>
      </c>
      <c r="B22" s="18" t="s">
        <v>15</v>
      </c>
      <c r="C22" s="18" t="s">
        <v>135</v>
      </c>
      <c r="D22" s="19" t="s">
        <v>43</v>
      </c>
      <c r="E22" s="18" t="s">
        <v>136</v>
      </c>
      <c r="F22" s="19" t="s">
        <v>137</v>
      </c>
      <c r="G22" s="19" t="s">
        <v>95</v>
      </c>
      <c r="H22" s="35" t="s">
        <v>129</v>
      </c>
      <c r="I22" s="33" t="s">
        <v>97</v>
      </c>
      <c r="J22" s="21" t="s">
        <v>23</v>
      </c>
      <c r="K22" s="18" t="s">
        <v>24</v>
      </c>
    </row>
    <row r="23" ht="33.0" customHeight="1">
      <c r="A23" s="17" t="s">
        <v>138</v>
      </c>
      <c r="B23" s="18" t="s">
        <v>15</v>
      </c>
      <c r="C23" s="18" t="s">
        <v>139</v>
      </c>
      <c r="D23" s="30" t="s">
        <v>17</v>
      </c>
      <c r="E23" s="18" t="s">
        <v>140</v>
      </c>
      <c r="F23" s="19" t="s">
        <v>141</v>
      </c>
      <c r="G23" s="19" t="s">
        <v>111</v>
      </c>
      <c r="H23" s="22" t="s">
        <v>142</v>
      </c>
      <c r="I23" s="36" t="s">
        <v>113</v>
      </c>
      <c r="J23" s="21" t="s">
        <v>23</v>
      </c>
      <c r="K23" s="18" t="s">
        <v>24</v>
      </c>
    </row>
    <row r="24" ht="33.0" customHeight="1">
      <c r="A24" s="23" t="s">
        <v>143</v>
      </c>
      <c r="B24" s="24" t="s">
        <v>15</v>
      </c>
      <c r="C24" s="24" t="s">
        <v>144</v>
      </c>
      <c r="D24" s="29" t="s">
        <v>17</v>
      </c>
      <c r="E24" s="24" t="s">
        <v>140</v>
      </c>
      <c r="F24" s="25" t="s">
        <v>141</v>
      </c>
      <c r="G24" s="25" t="s">
        <v>145</v>
      </c>
      <c r="H24" s="22" t="s">
        <v>142</v>
      </c>
      <c r="I24" s="22" t="s">
        <v>113</v>
      </c>
      <c r="J24" s="26" t="s">
        <v>48</v>
      </c>
      <c r="K24" s="24" t="s">
        <v>146</v>
      </c>
    </row>
    <row r="25" ht="33.0" customHeight="1">
      <c r="A25" s="23" t="s">
        <v>147</v>
      </c>
      <c r="B25" s="24" t="s">
        <v>15</v>
      </c>
      <c r="C25" s="24" t="s">
        <v>148</v>
      </c>
      <c r="D25" s="29" t="s">
        <v>17</v>
      </c>
      <c r="E25" s="24" t="s">
        <v>140</v>
      </c>
      <c r="F25" s="25" t="s">
        <v>141</v>
      </c>
      <c r="G25" s="25" t="s">
        <v>72</v>
      </c>
      <c r="H25" s="22" t="s">
        <v>142</v>
      </c>
      <c r="I25" s="22" t="s">
        <v>113</v>
      </c>
      <c r="J25" s="26" t="s">
        <v>48</v>
      </c>
      <c r="K25" s="24" t="s">
        <v>49</v>
      </c>
    </row>
    <row r="26" ht="33.0" customHeight="1">
      <c r="A26" s="17" t="s">
        <v>149</v>
      </c>
      <c r="B26" s="18" t="s">
        <v>15</v>
      </c>
      <c r="C26" s="18" t="s">
        <v>31</v>
      </c>
      <c r="D26" s="30" t="s">
        <v>17</v>
      </c>
      <c r="E26" s="18" t="s">
        <v>32</v>
      </c>
      <c r="F26" s="19" t="s">
        <v>33</v>
      </c>
      <c r="G26" s="19" t="s">
        <v>20</v>
      </c>
      <c r="H26" s="20" t="s">
        <v>34</v>
      </c>
      <c r="I26" s="20" t="s">
        <v>22</v>
      </c>
      <c r="J26" s="21" t="s">
        <v>23</v>
      </c>
      <c r="K26" s="18" t="s">
        <v>24</v>
      </c>
    </row>
    <row r="27" ht="33.0" customHeight="1">
      <c r="A27" s="17" t="s">
        <v>150</v>
      </c>
      <c r="B27" s="18" t="s">
        <v>15</v>
      </c>
      <c r="C27" s="18" t="s">
        <v>151</v>
      </c>
      <c r="D27" s="19" t="s">
        <v>43</v>
      </c>
      <c r="E27" s="18" t="s">
        <v>152</v>
      </c>
      <c r="F27" s="19" t="s">
        <v>153</v>
      </c>
      <c r="G27" s="19" t="s">
        <v>111</v>
      </c>
      <c r="H27" s="22" t="s">
        <v>154</v>
      </c>
      <c r="I27" s="36" t="s">
        <v>113</v>
      </c>
      <c r="J27" s="21" t="s">
        <v>23</v>
      </c>
      <c r="K27" s="18" t="s">
        <v>24</v>
      </c>
    </row>
    <row r="28" ht="33.0" customHeight="1">
      <c r="A28" s="23" t="s">
        <v>155</v>
      </c>
      <c r="B28" s="24" t="s">
        <v>15</v>
      </c>
      <c r="C28" s="24" t="s">
        <v>156</v>
      </c>
      <c r="D28" s="29" t="s">
        <v>17</v>
      </c>
      <c r="E28" s="24" t="s">
        <v>152</v>
      </c>
      <c r="F28" s="25" t="s">
        <v>153</v>
      </c>
      <c r="G28" s="25" t="s">
        <v>72</v>
      </c>
      <c r="H28" s="22" t="s">
        <v>154</v>
      </c>
      <c r="I28" s="22" t="s">
        <v>113</v>
      </c>
      <c r="J28" s="26" t="s">
        <v>48</v>
      </c>
      <c r="K28" s="24" t="s">
        <v>49</v>
      </c>
    </row>
    <row r="29" ht="33.0" customHeight="1">
      <c r="A29" s="17" t="s">
        <v>157</v>
      </c>
      <c r="B29" s="18" t="s">
        <v>15</v>
      </c>
      <c r="C29" s="18" t="s">
        <v>158</v>
      </c>
      <c r="D29" s="30" t="s">
        <v>43</v>
      </c>
      <c r="E29" s="18" t="s">
        <v>159</v>
      </c>
      <c r="F29" s="19" t="s">
        <v>160</v>
      </c>
      <c r="G29" s="19" t="s">
        <v>161</v>
      </c>
      <c r="H29" s="20" t="s">
        <v>162</v>
      </c>
      <c r="I29" s="22" t="s">
        <v>163</v>
      </c>
      <c r="J29" s="21" t="s">
        <v>23</v>
      </c>
      <c r="K29" s="18" t="s">
        <v>164</v>
      </c>
    </row>
    <row r="30" ht="33.0" customHeight="1">
      <c r="A30" s="17" t="s">
        <v>165</v>
      </c>
      <c r="B30" s="18" t="s">
        <v>15</v>
      </c>
      <c r="C30" s="18" t="s">
        <v>166</v>
      </c>
      <c r="D30" s="30" t="s">
        <v>17</v>
      </c>
      <c r="E30" s="18" t="s">
        <v>167</v>
      </c>
      <c r="F30" s="19" t="s">
        <v>168</v>
      </c>
      <c r="G30" s="19" t="s">
        <v>103</v>
      </c>
      <c r="H30" s="22" t="s">
        <v>163</v>
      </c>
      <c r="I30" s="22" t="s">
        <v>105</v>
      </c>
      <c r="J30" s="21" t="s">
        <v>48</v>
      </c>
      <c r="K30" s="18" t="s">
        <v>169</v>
      </c>
    </row>
    <row r="31" ht="33.0" customHeight="1">
      <c r="A31" s="23" t="s">
        <v>170</v>
      </c>
      <c r="B31" s="24" t="s">
        <v>15</v>
      </c>
      <c r="C31" s="24" t="s">
        <v>171</v>
      </c>
      <c r="D31" s="29" t="s">
        <v>17</v>
      </c>
      <c r="E31" s="24" t="s">
        <v>167</v>
      </c>
      <c r="F31" s="25" t="s">
        <v>168</v>
      </c>
      <c r="G31" s="25" t="s">
        <v>72</v>
      </c>
      <c r="I31" s="22" t="s">
        <v>105</v>
      </c>
      <c r="J31" s="26" t="s">
        <v>48</v>
      </c>
      <c r="K31" s="24" t="s">
        <v>49</v>
      </c>
    </row>
    <row r="32" ht="33.0" customHeight="1">
      <c r="A32" s="17" t="s">
        <v>172</v>
      </c>
      <c r="B32" s="18" t="s">
        <v>15</v>
      </c>
      <c r="C32" s="18" t="s">
        <v>173</v>
      </c>
      <c r="D32" s="30" t="s">
        <v>17</v>
      </c>
      <c r="E32" s="18" t="s">
        <v>174</v>
      </c>
      <c r="F32" s="19" t="s">
        <v>175</v>
      </c>
      <c r="G32" s="19" t="s">
        <v>20</v>
      </c>
      <c r="H32" s="20" t="s">
        <v>163</v>
      </c>
      <c r="I32" s="20" t="s">
        <v>22</v>
      </c>
      <c r="J32" s="21" t="s">
        <v>23</v>
      </c>
      <c r="K32" s="18" t="s">
        <v>24</v>
      </c>
    </row>
    <row r="33" ht="33.0" customHeight="1">
      <c r="A33" s="17" t="s">
        <v>176</v>
      </c>
      <c r="B33" s="18" t="s">
        <v>15</v>
      </c>
      <c r="C33" s="18" t="s">
        <v>177</v>
      </c>
      <c r="D33" s="30" t="s">
        <v>17</v>
      </c>
      <c r="E33" s="18" t="s">
        <v>178</v>
      </c>
      <c r="F33" s="19" t="s">
        <v>179</v>
      </c>
      <c r="G33" s="19" t="s">
        <v>20</v>
      </c>
      <c r="H33" s="20" t="s">
        <v>180</v>
      </c>
      <c r="I33" s="20" t="s">
        <v>88</v>
      </c>
      <c r="J33" s="32" t="s">
        <v>89</v>
      </c>
      <c r="K33" s="18" t="s">
        <v>90</v>
      </c>
    </row>
    <row r="34" ht="33.0" customHeight="1">
      <c r="A34" s="17" t="s">
        <v>181</v>
      </c>
      <c r="B34" s="18" t="s">
        <v>15</v>
      </c>
      <c r="C34" s="18" t="s">
        <v>182</v>
      </c>
      <c r="D34" s="30" t="s">
        <v>43</v>
      </c>
      <c r="E34" s="18" t="s">
        <v>183</v>
      </c>
      <c r="F34" s="19" t="s">
        <v>184</v>
      </c>
      <c r="G34" s="19" t="s">
        <v>20</v>
      </c>
      <c r="H34" s="20" t="s">
        <v>163</v>
      </c>
      <c r="I34" s="20" t="s">
        <v>130</v>
      </c>
      <c r="J34" s="21" t="s">
        <v>23</v>
      </c>
      <c r="K34" s="18" t="s">
        <v>24</v>
      </c>
    </row>
    <row r="35" ht="33.0" customHeight="1">
      <c r="A35" s="17" t="s">
        <v>185</v>
      </c>
      <c r="B35" s="18" t="s">
        <v>15</v>
      </c>
      <c r="C35" s="18" t="s">
        <v>186</v>
      </c>
      <c r="D35" s="30" t="s">
        <v>17</v>
      </c>
      <c r="E35" s="18" t="s">
        <v>187</v>
      </c>
      <c r="F35" s="19" t="s">
        <v>188</v>
      </c>
      <c r="G35" s="19" t="s">
        <v>189</v>
      </c>
      <c r="H35" s="37" t="s">
        <v>190</v>
      </c>
      <c r="I35" s="20" t="s">
        <v>130</v>
      </c>
      <c r="J35" s="21" t="s">
        <v>23</v>
      </c>
      <c r="K35" s="18" t="s">
        <v>24</v>
      </c>
    </row>
    <row r="36" ht="33.0" customHeight="1">
      <c r="A36" s="17" t="s">
        <v>191</v>
      </c>
      <c r="B36" s="18" t="s">
        <v>15</v>
      </c>
      <c r="C36" s="18" t="s">
        <v>192</v>
      </c>
      <c r="D36" s="30" t="s">
        <v>17</v>
      </c>
      <c r="E36" s="18" t="s">
        <v>193</v>
      </c>
      <c r="F36" s="19" t="s">
        <v>194</v>
      </c>
      <c r="G36" s="19" t="s">
        <v>103</v>
      </c>
      <c r="H36" s="20" t="s">
        <v>154</v>
      </c>
      <c r="I36" s="20" t="s">
        <v>105</v>
      </c>
      <c r="J36" s="21" t="s">
        <v>23</v>
      </c>
      <c r="K36" s="18" t="s">
        <v>106</v>
      </c>
    </row>
    <row r="37" ht="33.0" customHeight="1">
      <c r="A37" s="17" t="s">
        <v>195</v>
      </c>
      <c r="B37" s="18" t="s">
        <v>15</v>
      </c>
      <c r="C37" s="18" t="s">
        <v>196</v>
      </c>
      <c r="D37" s="30" t="s">
        <v>43</v>
      </c>
      <c r="E37" s="18" t="s">
        <v>197</v>
      </c>
      <c r="F37" s="19" t="s">
        <v>198</v>
      </c>
      <c r="G37" s="19" t="s">
        <v>199</v>
      </c>
      <c r="H37" s="20" t="s">
        <v>200</v>
      </c>
      <c r="I37" s="20" t="s">
        <v>201</v>
      </c>
      <c r="J37" s="21" t="s">
        <v>48</v>
      </c>
      <c r="K37" s="18" t="s">
        <v>49</v>
      </c>
    </row>
    <row r="38" ht="33.0" customHeight="1">
      <c r="A38" s="17" t="s">
        <v>202</v>
      </c>
      <c r="B38" s="18" t="s">
        <v>15</v>
      </c>
      <c r="C38" s="18" t="s">
        <v>203</v>
      </c>
      <c r="D38" s="30" t="s">
        <v>17</v>
      </c>
      <c r="E38" s="18" t="s">
        <v>204</v>
      </c>
      <c r="F38" s="19" t="s">
        <v>205</v>
      </c>
      <c r="G38" s="19" t="s">
        <v>20</v>
      </c>
      <c r="H38" s="20" t="s">
        <v>21</v>
      </c>
      <c r="I38" s="20" t="s">
        <v>130</v>
      </c>
      <c r="J38" s="21" t="s">
        <v>23</v>
      </c>
      <c r="K38" s="18" t="s">
        <v>24</v>
      </c>
    </row>
    <row r="39" ht="33.0" customHeight="1">
      <c r="A39" s="17" t="s">
        <v>206</v>
      </c>
      <c r="B39" s="18" t="s">
        <v>15</v>
      </c>
      <c r="C39" s="18" t="s">
        <v>207</v>
      </c>
      <c r="D39" s="19" t="s">
        <v>43</v>
      </c>
      <c r="E39" s="18" t="s">
        <v>208</v>
      </c>
      <c r="F39" s="19" t="s">
        <v>209</v>
      </c>
      <c r="G39" s="30" t="s">
        <v>95</v>
      </c>
      <c r="H39" s="20" t="s">
        <v>210</v>
      </c>
      <c r="I39" s="33" t="s">
        <v>97</v>
      </c>
      <c r="J39" s="21" t="s">
        <v>23</v>
      </c>
      <c r="K39" s="18" t="s">
        <v>211</v>
      </c>
    </row>
    <row r="40" ht="33.0" customHeight="1">
      <c r="A40" s="17" t="s">
        <v>212</v>
      </c>
      <c r="B40" s="18" t="s">
        <v>15</v>
      </c>
      <c r="C40" s="18" t="s">
        <v>213</v>
      </c>
      <c r="D40" s="30" t="s">
        <v>17</v>
      </c>
      <c r="E40" s="18" t="s">
        <v>214</v>
      </c>
      <c r="F40" s="19" t="s">
        <v>215</v>
      </c>
      <c r="G40" s="19" t="s">
        <v>103</v>
      </c>
      <c r="H40" s="22" t="s">
        <v>34</v>
      </c>
      <c r="I40" s="22" t="s">
        <v>105</v>
      </c>
      <c r="J40" s="21" t="s">
        <v>48</v>
      </c>
      <c r="K40" s="18" t="s">
        <v>169</v>
      </c>
    </row>
    <row r="41" ht="33.0" customHeight="1">
      <c r="A41" s="23" t="s">
        <v>216</v>
      </c>
      <c r="B41" s="24" t="s">
        <v>15</v>
      </c>
      <c r="C41" s="24" t="s">
        <v>217</v>
      </c>
      <c r="D41" s="25" t="s">
        <v>43</v>
      </c>
      <c r="E41" s="24" t="s">
        <v>214</v>
      </c>
      <c r="F41" s="25" t="s">
        <v>215</v>
      </c>
      <c r="G41" s="25" t="s">
        <v>218</v>
      </c>
      <c r="H41" s="22" t="s">
        <v>34</v>
      </c>
      <c r="I41" s="22" t="s">
        <v>105</v>
      </c>
      <c r="J41" s="31" t="s">
        <v>81</v>
      </c>
      <c r="K41" s="24" t="s">
        <v>82</v>
      </c>
    </row>
    <row r="42" ht="33.0" customHeight="1">
      <c r="A42" s="23" t="s">
        <v>219</v>
      </c>
      <c r="B42" s="24" t="s">
        <v>15</v>
      </c>
      <c r="C42" s="24" t="s">
        <v>220</v>
      </c>
      <c r="D42" s="29" t="s">
        <v>17</v>
      </c>
      <c r="E42" s="24" t="s">
        <v>214</v>
      </c>
      <c r="F42" s="25" t="s">
        <v>221</v>
      </c>
      <c r="G42" s="25" t="s">
        <v>222</v>
      </c>
      <c r="H42" s="22" t="s">
        <v>34</v>
      </c>
      <c r="I42" s="22" t="s">
        <v>105</v>
      </c>
      <c r="J42" s="38" t="s">
        <v>89</v>
      </c>
      <c r="K42" s="24" t="s">
        <v>90</v>
      </c>
    </row>
    <row r="43" ht="33.0" customHeight="1">
      <c r="A43" s="17" t="s">
        <v>223</v>
      </c>
      <c r="B43" s="18" t="s">
        <v>15</v>
      </c>
      <c r="C43" s="18" t="s">
        <v>224</v>
      </c>
      <c r="D43" s="30" t="s">
        <v>17</v>
      </c>
      <c r="E43" s="18" t="s">
        <v>167</v>
      </c>
      <c r="F43" s="19" t="s">
        <v>225</v>
      </c>
      <c r="G43" s="19" t="s">
        <v>226</v>
      </c>
      <c r="H43" s="22" t="s">
        <v>162</v>
      </c>
      <c r="I43" s="22" t="s">
        <v>201</v>
      </c>
      <c r="J43" s="21" t="s">
        <v>23</v>
      </c>
      <c r="K43" s="18" t="s">
        <v>24</v>
      </c>
    </row>
    <row r="44" ht="33.0" customHeight="1">
      <c r="A44" s="23" t="s">
        <v>227</v>
      </c>
      <c r="B44" s="24" t="s">
        <v>15</v>
      </c>
      <c r="C44" s="24" t="s">
        <v>228</v>
      </c>
      <c r="D44" s="29" t="s">
        <v>17</v>
      </c>
      <c r="E44" s="24" t="s">
        <v>167</v>
      </c>
      <c r="F44" s="25" t="s">
        <v>225</v>
      </c>
      <c r="G44" s="25" t="s">
        <v>229</v>
      </c>
      <c r="H44" s="22" t="s">
        <v>162</v>
      </c>
      <c r="I44" s="22" t="s">
        <v>201</v>
      </c>
      <c r="J44" s="26" t="s">
        <v>48</v>
      </c>
      <c r="K44" s="24" t="s">
        <v>230</v>
      </c>
    </row>
    <row r="45" ht="33.0" customHeight="1">
      <c r="A45" s="17" t="s">
        <v>231</v>
      </c>
      <c r="B45" s="18" t="s">
        <v>15</v>
      </c>
      <c r="C45" s="18" t="s">
        <v>232</v>
      </c>
      <c r="D45" s="30" t="s">
        <v>17</v>
      </c>
      <c r="E45" s="18" t="s">
        <v>233</v>
      </c>
      <c r="F45" s="19" t="s">
        <v>234</v>
      </c>
      <c r="G45" s="19" t="s">
        <v>128</v>
      </c>
      <c r="H45" s="22" t="s">
        <v>104</v>
      </c>
      <c r="I45" s="22" t="s">
        <v>29</v>
      </c>
      <c r="J45" s="21" t="s">
        <v>23</v>
      </c>
      <c r="K45" s="18" t="s">
        <v>24</v>
      </c>
    </row>
    <row r="46" ht="33.0" customHeight="1">
      <c r="A46" s="23" t="s">
        <v>235</v>
      </c>
      <c r="B46" s="24" t="s">
        <v>15</v>
      </c>
      <c r="C46" s="24" t="s">
        <v>236</v>
      </c>
      <c r="D46" s="25" t="s">
        <v>17</v>
      </c>
      <c r="E46" s="24" t="s">
        <v>233</v>
      </c>
      <c r="F46" s="25" t="s">
        <v>234</v>
      </c>
      <c r="G46" s="25" t="s">
        <v>145</v>
      </c>
      <c r="H46" s="22" t="s">
        <v>104</v>
      </c>
      <c r="I46" s="22" t="s">
        <v>29</v>
      </c>
      <c r="J46" s="26" t="s">
        <v>48</v>
      </c>
      <c r="K46" s="24" t="s">
        <v>146</v>
      </c>
    </row>
    <row r="47" ht="33.0" customHeight="1">
      <c r="A47" s="17" t="s">
        <v>237</v>
      </c>
      <c r="B47" s="18" t="s">
        <v>15</v>
      </c>
      <c r="C47" s="18" t="s">
        <v>238</v>
      </c>
      <c r="D47" s="30" t="s">
        <v>17</v>
      </c>
      <c r="E47" s="18" t="s">
        <v>239</v>
      </c>
      <c r="F47" s="19" t="s">
        <v>240</v>
      </c>
      <c r="G47" s="19" t="s">
        <v>103</v>
      </c>
      <c r="H47" s="22" t="s">
        <v>241</v>
      </c>
      <c r="I47" s="22" t="s">
        <v>105</v>
      </c>
      <c r="J47" s="21" t="s">
        <v>23</v>
      </c>
      <c r="K47" s="18" t="s">
        <v>106</v>
      </c>
    </row>
    <row r="48" ht="33.0" customHeight="1">
      <c r="A48" s="23" t="s">
        <v>242</v>
      </c>
      <c r="B48" s="24" t="s">
        <v>15</v>
      </c>
      <c r="C48" s="24" t="s">
        <v>243</v>
      </c>
      <c r="D48" s="25" t="s">
        <v>43</v>
      </c>
      <c r="E48" s="24" t="s">
        <v>239</v>
      </c>
      <c r="F48" s="25" t="s">
        <v>240</v>
      </c>
      <c r="G48" s="25" t="s">
        <v>72</v>
      </c>
      <c r="H48" s="22" t="s">
        <v>241</v>
      </c>
      <c r="I48" s="22" t="s">
        <v>105</v>
      </c>
      <c r="J48" s="26" t="s">
        <v>48</v>
      </c>
      <c r="K48" s="24" t="s">
        <v>49</v>
      </c>
    </row>
    <row r="49" ht="33.0" customHeight="1">
      <c r="A49" s="17" t="s">
        <v>244</v>
      </c>
      <c r="B49" s="18" t="s">
        <v>15</v>
      </c>
      <c r="C49" s="18" t="s">
        <v>245</v>
      </c>
      <c r="D49" s="30" t="s">
        <v>17</v>
      </c>
      <c r="E49" s="18" t="s">
        <v>246</v>
      </c>
      <c r="F49" s="19" t="s">
        <v>247</v>
      </c>
      <c r="G49" s="19" t="s">
        <v>226</v>
      </c>
      <c r="H49" s="22" t="s">
        <v>248</v>
      </c>
      <c r="I49" s="22" t="s">
        <v>201</v>
      </c>
      <c r="J49" s="21" t="s">
        <v>23</v>
      </c>
      <c r="K49" s="18" t="s">
        <v>24</v>
      </c>
    </row>
    <row r="50" ht="33.0" customHeight="1">
      <c r="A50" s="23" t="s">
        <v>249</v>
      </c>
      <c r="B50" s="24" t="s">
        <v>15</v>
      </c>
      <c r="C50" s="24" t="s">
        <v>250</v>
      </c>
      <c r="D50" s="29" t="s">
        <v>17</v>
      </c>
      <c r="E50" s="24" t="s">
        <v>246</v>
      </c>
      <c r="F50" s="25" t="s">
        <v>247</v>
      </c>
      <c r="G50" s="25" t="s">
        <v>80</v>
      </c>
      <c r="H50" s="22" t="s">
        <v>248</v>
      </c>
      <c r="I50" s="22" t="s">
        <v>201</v>
      </c>
      <c r="J50" s="31" t="s">
        <v>81</v>
      </c>
      <c r="K50" s="24" t="s">
        <v>82</v>
      </c>
    </row>
    <row r="51" ht="33.0" customHeight="1">
      <c r="A51" s="17" t="s">
        <v>251</v>
      </c>
      <c r="B51" s="18" t="s">
        <v>15</v>
      </c>
      <c r="C51" s="18" t="s">
        <v>252</v>
      </c>
      <c r="D51" s="30" t="s">
        <v>17</v>
      </c>
      <c r="E51" s="18" t="s">
        <v>253</v>
      </c>
      <c r="F51" s="19" t="s">
        <v>254</v>
      </c>
      <c r="G51" s="19" t="s">
        <v>128</v>
      </c>
      <c r="H51" s="39" t="s">
        <v>255</v>
      </c>
      <c r="I51" s="20" t="s">
        <v>29</v>
      </c>
      <c r="J51" s="21" t="s">
        <v>23</v>
      </c>
      <c r="K51" s="18" t="s">
        <v>24</v>
      </c>
    </row>
    <row r="52" ht="33.0" customHeight="1">
      <c r="A52" s="17" t="s">
        <v>256</v>
      </c>
      <c r="B52" s="18" t="s">
        <v>15</v>
      </c>
      <c r="C52" s="18" t="s">
        <v>257</v>
      </c>
      <c r="D52" s="30" t="s">
        <v>17</v>
      </c>
      <c r="E52" s="18" t="s">
        <v>258</v>
      </c>
      <c r="F52" s="19" t="s">
        <v>259</v>
      </c>
      <c r="G52" s="19" t="s">
        <v>68</v>
      </c>
      <c r="H52" s="35" t="s">
        <v>129</v>
      </c>
      <c r="I52" s="20" t="s">
        <v>22</v>
      </c>
      <c r="J52" s="21" t="s">
        <v>23</v>
      </c>
      <c r="K52" s="18" t="s">
        <v>49</v>
      </c>
    </row>
    <row r="53" ht="33.0" customHeight="1">
      <c r="A53" s="23" t="s">
        <v>260</v>
      </c>
      <c r="B53" s="24" t="s">
        <v>15</v>
      </c>
      <c r="C53" s="24" t="s">
        <v>261</v>
      </c>
      <c r="D53" s="25" t="s">
        <v>17</v>
      </c>
      <c r="E53" s="24" t="s">
        <v>258</v>
      </c>
      <c r="F53" s="25" t="s">
        <v>259</v>
      </c>
      <c r="G53" s="25" t="s">
        <v>262</v>
      </c>
      <c r="H53" s="22" t="s">
        <v>129</v>
      </c>
      <c r="I53" s="22" t="s">
        <v>22</v>
      </c>
      <c r="J53" s="26" t="s">
        <v>48</v>
      </c>
      <c r="K53" s="24" t="s">
        <v>230</v>
      </c>
    </row>
    <row r="54" ht="33.0" customHeight="1">
      <c r="A54" s="17" t="s">
        <v>263</v>
      </c>
      <c r="B54" s="18" t="s">
        <v>15</v>
      </c>
      <c r="C54" s="18" t="s">
        <v>264</v>
      </c>
      <c r="D54" s="30" t="s">
        <v>17</v>
      </c>
      <c r="E54" s="18" t="s">
        <v>265</v>
      </c>
      <c r="F54" s="19" t="s">
        <v>266</v>
      </c>
      <c r="G54" s="19" t="s">
        <v>128</v>
      </c>
      <c r="H54" s="20" t="s">
        <v>267</v>
      </c>
      <c r="I54" s="20" t="s">
        <v>22</v>
      </c>
      <c r="J54" s="21" t="s">
        <v>23</v>
      </c>
      <c r="K54" s="18" t="s">
        <v>24</v>
      </c>
    </row>
    <row r="55" ht="33.0" customHeight="1">
      <c r="A55" s="17" t="s">
        <v>268</v>
      </c>
      <c r="B55" s="18" t="s">
        <v>15</v>
      </c>
      <c r="C55" s="18" t="s">
        <v>269</v>
      </c>
      <c r="D55" s="30" t="s">
        <v>17</v>
      </c>
      <c r="E55" s="18" t="s">
        <v>270</v>
      </c>
      <c r="F55" s="19" t="s">
        <v>271</v>
      </c>
      <c r="G55" s="19" t="s">
        <v>103</v>
      </c>
      <c r="H55" s="20" t="s">
        <v>180</v>
      </c>
      <c r="I55" s="20" t="s">
        <v>105</v>
      </c>
      <c r="J55" s="21" t="s">
        <v>48</v>
      </c>
      <c r="K55" s="18" t="s">
        <v>169</v>
      </c>
    </row>
    <row r="56" ht="33.0" customHeight="1">
      <c r="A56" s="17" t="s">
        <v>272</v>
      </c>
      <c r="B56" s="18" t="s">
        <v>15</v>
      </c>
      <c r="C56" s="18" t="s">
        <v>273</v>
      </c>
      <c r="D56" s="30" t="s">
        <v>17</v>
      </c>
      <c r="E56" s="18" t="s">
        <v>274</v>
      </c>
      <c r="F56" s="19" t="s">
        <v>275</v>
      </c>
      <c r="G56" s="19" t="s">
        <v>103</v>
      </c>
      <c r="H56" s="20" t="s">
        <v>276</v>
      </c>
      <c r="I56" s="20" t="s">
        <v>201</v>
      </c>
      <c r="J56" s="21" t="s">
        <v>277</v>
      </c>
      <c r="K56" s="18" t="s">
        <v>278</v>
      </c>
    </row>
    <row r="57" ht="33.0" customHeight="1">
      <c r="A57" s="23" t="s">
        <v>279</v>
      </c>
      <c r="B57" s="24" t="s">
        <v>15</v>
      </c>
      <c r="C57" s="24" t="s">
        <v>280</v>
      </c>
      <c r="D57" s="29" t="s">
        <v>17</v>
      </c>
      <c r="E57" s="24" t="s">
        <v>274</v>
      </c>
      <c r="F57" s="25" t="s">
        <v>275</v>
      </c>
      <c r="G57" s="25" t="s">
        <v>281</v>
      </c>
      <c r="H57" s="22" t="s">
        <v>276</v>
      </c>
      <c r="I57" s="22" t="s">
        <v>201</v>
      </c>
      <c r="J57" s="26" t="s">
        <v>48</v>
      </c>
      <c r="K57" s="24" t="s">
        <v>49</v>
      </c>
    </row>
    <row r="58" ht="33.0" customHeight="1">
      <c r="A58" s="23" t="s">
        <v>282</v>
      </c>
      <c r="B58" s="24" t="s">
        <v>15</v>
      </c>
      <c r="C58" s="24" t="s">
        <v>283</v>
      </c>
      <c r="D58" s="25" t="s">
        <v>43</v>
      </c>
      <c r="E58" s="24" t="s">
        <v>274</v>
      </c>
      <c r="F58" s="25" t="s">
        <v>275</v>
      </c>
      <c r="G58" s="25" t="s">
        <v>281</v>
      </c>
      <c r="H58" s="22" t="s">
        <v>276</v>
      </c>
      <c r="I58" s="22" t="s">
        <v>201</v>
      </c>
      <c r="J58" s="26" t="s">
        <v>48</v>
      </c>
      <c r="K58" s="24" t="s">
        <v>49</v>
      </c>
    </row>
    <row r="59" ht="33.0" customHeight="1">
      <c r="A59" s="17" t="s">
        <v>284</v>
      </c>
      <c r="B59" s="18" t="s">
        <v>15</v>
      </c>
      <c r="C59" s="18" t="s">
        <v>285</v>
      </c>
      <c r="D59" s="30" t="s">
        <v>17</v>
      </c>
      <c r="E59" s="18" t="s">
        <v>286</v>
      </c>
      <c r="F59" s="19" t="s">
        <v>287</v>
      </c>
      <c r="G59" s="19" t="s">
        <v>95</v>
      </c>
      <c r="H59" s="20" t="s">
        <v>288</v>
      </c>
      <c r="I59" s="33" t="s">
        <v>97</v>
      </c>
      <c r="J59" s="21" t="s">
        <v>23</v>
      </c>
      <c r="K59" s="18" t="s">
        <v>24</v>
      </c>
    </row>
    <row r="60" ht="33.0" customHeight="1">
      <c r="A60" s="17" t="s">
        <v>289</v>
      </c>
      <c r="C60" s="18" t="s">
        <v>290</v>
      </c>
      <c r="D60" s="19" t="s">
        <v>43</v>
      </c>
      <c r="E60" s="18" t="s">
        <v>291</v>
      </c>
      <c r="F60" s="19" t="s">
        <v>292</v>
      </c>
      <c r="G60" s="19" t="s">
        <v>128</v>
      </c>
      <c r="H60" s="20" t="s">
        <v>293</v>
      </c>
      <c r="I60" s="20" t="s">
        <v>22</v>
      </c>
      <c r="J60" s="21" t="s">
        <v>23</v>
      </c>
      <c r="K60" s="18" t="s">
        <v>24</v>
      </c>
    </row>
    <row r="61" ht="33.0" customHeight="1">
      <c r="A61" s="23" t="s">
        <v>294</v>
      </c>
      <c r="B61" s="18" t="s">
        <v>15</v>
      </c>
      <c r="C61" s="24" t="s">
        <v>295</v>
      </c>
      <c r="D61" s="25" t="s">
        <v>43</v>
      </c>
      <c r="E61" s="24" t="s">
        <v>291</v>
      </c>
      <c r="F61" s="25" t="s">
        <v>292</v>
      </c>
      <c r="G61" s="25" t="s">
        <v>296</v>
      </c>
      <c r="H61" s="22" t="s">
        <v>293</v>
      </c>
      <c r="I61" s="22" t="s">
        <v>22</v>
      </c>
      <c r="J61" s="26" t="s">
        <v>48</v>
      </c>
      <c r="K61" s="24" t="s">
        <v>297</v>
      </c>
    </row>
    <row r="62" ht="33.0" customHeight="1">
      <c r="A62" s="23" t="s">
        <v>298</v>
      </c>
      <c r="B62" s="24" t="s">
        <v>15</v>
      </c>
      <c r="C62" s="24" t="s">
        <v>299</v>
      </c>
      <c r="D62" s="29" t="s">
        <v>17</v>
      </c>
      <c r="E62" s="24" t="s">
        <v>291</v>
      </c>
      <c r="F62" s="25" t="s">
        <v>292</v>
      </c>
      <c r="G62" s="25" t="s">
        <v>72</v>
      </c>
      <c r="H62" s="22" t="s">
        <v>293</v>
      </c>
      <c r="I62" s="22" t="s">
        <v>22</v>
      </c>
      <c r="J62" s="26" t="s">
        <v>48</v>
      </c>
      <c r="K62" s="24" t="s">
        <v>49</v>
      </c>
    </row>
    <row r="63" ht="33.0" customHeight="1">
      <c r="A63" s="17" t="s">
        <v>300</v>
      </c>
      <c r="B63" s="18" t="s">
        <v>15</v>
      </c>
      <c r="C63" s="18" t="s">
        <v>301</v>
      </c>
      <c r="D63" s="30" t="s">
        <v>17</v>
      </c>
      <c r="E63" s="18" t="s">
        <v>302</v>
      </c>
      <c r="F63" s="19" t="s">
        <v>303</v>
      </c>
      <c r="G63" s="19" t="s">
        <v>304</v>
      </c>
      <c r="H63" s="20" t="s">
        <v>69</v>
      </c>
      <c r="I63" s="33" t="s">
        <v>97</v>
      </c>
      <c r="J63" s="21" t="s">
        <v>23</v>
      </c>
      <c r="K63" s="18" t="s">
        <v>24</v>
      </c>
    </row>
    <row r="64" ht="33.0" customHeight="1">
      <c r="A64" s="17" t="s">
        <v>305</v>
      </c>
      <c r="B64" s="18" t="s">
        <v>15</v>
      </c>
      <c r="C64" s="18" t="s">
        <v>306</v>
      </c>
      <c r="D64" s="30" t="s">
        <v>17</v>
      </c>
      <c r="E64" s="18" t="s">
        <v>307</v>
      </c>
      <c r="F64" s="19" t="s">
        <v>308</v>
      </c>
      <c r="G64" s="19" t="s">
        <v>128</v>
      </c>
      <c r="H64" s="20" t="s">
        <v>34</v>
      </c>
      <c r="I64" s="20" t="s">
        <v>130</v>
      </c>
      <c r="J64" s="21" t="s">
        <v>23</v>
      </c>
      <c r="K64" s="18" t="s">
        <v>24</v>
      </c>
    </row>
    <row r="65" ht="33.0" customHeight="1">
      <c r="A65" s="23" t="s">
        <v>309</v>
      </c>
      <c r="B65" s="24" t="s">
        <v>15</v>
      </c>
      <c r="C65" s="24" t="s">
        <v>310</v>
      </c>
      <c r="D65" s="29" t="s">
        <v>17</v>
      </c>
      <c r="E65" s="24" t="s">
        <v>307</v>
      </c>
      <c r="F65" s="25" t="s">
        <v>308</v>
      </c>
      <c r="G65" s="25" t="s">
        <v>72</v>
      </c>
      <c r="H65" s="22" t="s">
        <v>34</v>
      </c>
      <c r="I65" s="22" t="s">
        <v>130</v>
      </c>
      <c r="J65" s="26" t="s">
        <v>48</v>
      </c>
      <c r="K65" s="24" t="s">
        <v>49</v>
      </c>
    </row>
    <row r="66" ht="33.0" customHeight="1">
      <c r="A66" s="17" t="s">
        <v>311</v>
      </c>
      <c r="B66" s="18" t="s">
        <v>15</v>
      </c>
      <c r="C66" s="18" t="s">
        <v>312</v>
      </c>
      <c r="D66" s="19" t="s">
        <v>17</v>
      </c>
      <c r="E66" s="18" t="s">
        <v>313</v>
      </c>
      <c r="F66" s="19" t="s">
        <v>314</v>
      </c>
      <c r="G66" s="19" t="s">
        <v>315</v>
      </c>
      <c r="H66" s="40" t="s">
        <v>316</v>
      </c>
      <c r="I66" s="33" t="s">
        <v>97</v>
      </c>
      <c r="J66" s="21" t="s">
        <v>23</v>
      </c>
      <c r="K66" s="18" t="s">
        <v>24</v>
      </c>
    </row>
    <row r="67" ht="33.0" customHeight="1">
      <c r="A67" s="23" t="s">
        <v>317</v>
      </c>
      <c r="B67" s="24" t="s">
        <v>15</v>
      </c>
      <c r="C67" s="24" t="s">
        <v>318</v>
      </c>
      <c r="D67" s="25" t="s">
        <v>17</v>
      </c>
      <c r="E67" s="24" t="s">
        <v>313</v>
      </c>
      <c r="F67" s="25" t="s">
        <v>314</v>
      </c>
      <c r="G67" s="25" t="s">
        <v>72</v>
      </c>
      <c r="H67" s="22" t="s">
        <v>316</v>
      </c>
      <c r="I67" s="22" t="s">
        <v>97</v>
      </c>
      <c r="J67" s="26" t="s">
        <v>48</v>
      </c>
      <c r="K67" s="24" t="s">
        <v>49</v>
      </c>
    </row>
    <row r="68" ht="33.0" customHeight="1">
      <c r="A68" s="23" t="s">
        <v>319</v>
      </c>
      <c r="B68" s="24" t="s">
        <v>15</v>
      </c>
      <c r="C68" s="24" t="s">
        <v>320</v>
      </c>
      <c r="D68" s="25" t="s">
        <v>17</v>
      </c>
      <c r="E68" s="24" t="s">
        <v>313</v>
      </c>
      <c r="F68" s="25" t="s">
        <v>314</v>
      </c>
      <c r="G68" s="25" t="s">
        <v>72</v>
      </c>
      <c r="H68" s="22" t="s">
        <v>316</v>
      </c>
      <c r="I68" s="22" t="s">
        <v>97</v>
      </c>
      <c r="J68" s="26" t="s">
        <v>48</v>
      </c>
      <c r="K68" s="24" t="s">
        <v>49</v>
      </c>
    </row>
    <row r="69" ht="33.0" customHeight="1">
      <c r="A69" s="23" t="s">
        <v>321</v>
      </c>
      <c r="B69" s="24" t="s">
        <v>15</v>
      </c>
      <c r="C69" s="24" t="s">
        <v>322</v>
      </c>
      <c r="D69" s="25" t="s">
        <v>17</v>
      </c>
      <c r="E69" s="24" t="s">
        <v>313</v>
      </c>
      <c r="F69" s="25" t="s">
        <v>314</v>
      </c>
      <c r="G69" s="25" t="s">
        <v>72</v>
      </c>
      <c r="H69" s="22" t="s">
        <v>316</v>
      </c>
      <c r="I69" s="22" t="s">
        <v>97</v>
      </c>
      <c r="J69" s="26" t="s">
        <v>48</v>
      </c>
      <c r="K69" s="24" t="s">
        <v>49</v>
      </c>
    </row>
    <row r="70" ht="33.0" customHeight="1">
      <c r="A70" s="23" t="s">
        <v>323</v>
      </c>
      <c r="B70" s="24" t="s">
        <v>15</v>
      </c>
      <c r="C70" s="24" t="s">
        <v>324</v>
      </c>
      <c r="D70" s="25" t="s">
        <v>17</v>
      </c>
      <c r="E70" s="24" t="s">
        <v>313</v>
      </c>
      <c r="F70" s="25" t="s">
        <v>314</v>
      </c>
      <c r="G70" s="25" t="s">
        <v>325</v>
      </c>
      <c r="H70" s="22" t="s">
        <v>316</v>
      </c>
      <c r="I70" s="22" t="s">
        <v>97</v>
      </c>
      <c r="J70" s="26" t="s">
        <v>48</v>
      </c>
      <c r="K70" s="24" t="s">
        <v>230</v>
      </c>
    </row>
    <row r="71" ht="33.0" customHeight="1">
      <c r="A71" s="23" t="s">
        <v>326</v>
      </c>
      <c r="B71" s="24" t="s">
        <v>15</v>
      </c>
      <c r="C71" s="24" t="s">
        <v>327</v>
      </c>
      <c r="D71" s="25" t="s">
        <v>17</v>
      </c>
      <c r="E71" s="24" t="s">
        <v>313</v>
      </c>
      <c r="F71" s="25" t="s">
        <v>314</v>
      </c>
      <c r="G71" s="25" t="s">
        <v>145</v>
      </c>
      <c r="H71" s="22" t="s">
        <v>316</v>
      </c>
      <c r="I71" s="22" t="s">
        <v>97</v>
      </c>
      <c r="J71" s="26" t="s">
        <v>48</v>
      </c>
      <c r="K71" s="24" t="s">
        <v>146</v>
      </c>
    </row>
    <row r="72" ht="33.0" customHeight="1">
      <c r="A72" s="17" t="s">
        <v>328</v>
      </c>
      <c r="B72" s="18" t="s">
        <v>15</v>
      </c>
      <c r="C72" s="18" t="s">
        <v>329</v>
      </c>
      <c r="D72" s="19" t="s">
        <v>17</v>
      </c>
      <c r="E72" s="18" t="s">
        <v>330</v>
      </c>
      <c r="F72" s="19" t="s">
        <v>331</v>
      </c>
      <c r="G72" s="19" t="s">
        <v>304</v>
      </c>
      <c r="H72" s="20" t="s">
        <v>332</v>
      </c>
      <c r="I72" s="20" t="s">
        <v>22</v>
      </c>
      <c r="J72" s="21" t="s">
        <v>23</v>
      </c>
      <c r="K72" s="18" t="s">
        <v>24</v>
      </c>
    </row>
    <row r="73" ht="33.0" customHeight="1">
      <c r="A73" s="23" t="s">
        <v>333</v>
      </c>
      <c r="B73" s="24" t="s">
        <v>15</v>
      </c>
      <c r="C73" s="24" t="s">
        <v>334</v>
      </c>
      <c r="D73" s="25" t="s">
        <v>17</v>
      </c>
      <c r="E73" s="24" t="s">
        <v>330</v>
      </c>
      <c r="F73" s="25" t="s">
        <v>331</v>
      </c>
      <c r="G73" s="25" t="s">
        <v>296</v>
      </c>
      <c r="H73" s="22" t="s">
        <v>332</v>
      </c>
      <c r="I73" s="22" t="s">
        <v>22</v>
      </c>
      <c r="J73" s="26" t="s">
        <v>48</v>
      </c>
      <c r="K73" s="24" t="s">
        <v>297</v>
      </c>
    </row>
    <row r="74" ht="33.0" customHeight="1">
      <c r="A74" s="23" t="s">
        <v>335</v>
      </c>
      <c r="B74" s="24" t="s">
        <v>15</v>
      </c>
      <c r="C74" s="24" t="s">
        <v>336</v>
      </c>
      <c r="D74" s="25" t="s">
        <v>17</v>
      </c>
      <c r="E74" s="24" t="s">
        <v>330</v>
      </c>
      <c r="F74" s="25" t="s">
        <v>331</v>
      </c>
      <c r="G74" s="25" t="s">
        <v>337</v>
      </c>
      <c r="H74" s="22" t="s">
        <v>332</v>
      </c>
      <c r="I74" s="22" t="s">
        <v>22</v>
      </c>
      <c r="J74" s="26" t="s">
        <v>48</v>
      </c>
      <c r="K74" s="24" t="s">
        <v>49</v>
      </c>
    </row>
    <row r="75" ht="33.0" customHeight="1">
      <c r="A75" s="17" t="s">
        <v>338</v>
      </c>
      <c r="B75" s="18" t="s">
        <v>15</v>
      </c>
      <c r="C75" s="18" t="s">
        <v>339</v>
      </c>
      <c r="D75" s="19" t="s">
        <v>43</v>
      </c>
      <c r="E75" s="18" t="s">
        <v>340</v>
      </c>
      <c r="F75" s="19" t="s">
        <v>341</v>
      </c>
      <c r="G75" s="19" t="s">
        <v>95</v>
      </c>
      <c r="H75" s="20" t="s">
        <v>69</v>
      </c>
      <c r="I75" s="33" t="s">
        <v>97</v>
      </c>
      <c r="J75" s="21" t="s">
        <v>23</v>
      </c>
      <c r="K75" s="18" t="s">
        <v>24</v>
      </c>
    </row>
    <row r="76" ht="33.0" customHeight="1">
      <c r="A76" s="23" t="s">
        <v>342</v>
      </c>
      <c r="B76" s="24" t="s">
        <v>15</v>
      </c>
      <c r="C76" s="24" t="s">
        <v>343</v>
      </c>
      <c r="D76" s="25" t="s">
        <v>43</v>
      </c>
      <c r="E76" s="24" t="s">
        <v>340</v>
      </c>
      <c r="F76" s="25" t="s">
        <v>341</v>
      </c>
      <c r="G76" s="25" t="s">
        <v>344</v>
      </c>
      <c r="H76" s="22" t="s">
        <v>69</v>
      </c>
      <c r="I76" s="22" t="s">
        <v>97</v>
      </c>
      <c r="J76" s="26" t="s">
        <v>48</v>
      </c>
      <c r="K76" s="24" t="s">
        <v>230</v>
      </c>
    </row>
    <row r="77" ht="33.0" customHeight="1">
      <c r="A77" s="17" t="s">
        <v>345</v>
      </c>
      <c r="B77" s="18" t="s">
        <v>15</v>
      </c>
      <c r="C77" s="18" t="s">
        <v>346</v>
      </c>
      <c r="D77" s="19" t="s">
        <v>17</v>
      </c>
      <c r="E77" s="18" t="s">
        <v>347</v>
      </c>
      <c r="F77" s="19" t="s">
        <v>348</v>
      </c>
      <c r="G77" s="19" t="s">
        <v>103</v>
      </c>
      <c r="H77" s="20" t="s">
        <v>349</v>
      </c>
      <c r="I77" s="20" t="s">
        <v>105</v>
      </c>
      <c r="J77" s="21" t="s">
        <v>23</v>
      </c>
      <c r="K77" s="18" t="s">
        <v>106</v>
      </c>
    </row>
    <row r="78" ht="33.0" customHeight="1">
      <c r="A78" s="23" t="s">
        <v>350</v>
      </c>
      <c r="B78" s="24" t="s">
        <v>15</v>
      </c>
      <c r="C78" s="24" t="s">
        <v>351</v>
      </c>
      <c r="D78" s="25" t="s">
        <v>17</v>
      </c>
      <c r="E78" s="24" t="s">
        <v>347</v>
      </c>
      <c r="F78" s="25" t="s">
        <v>348</v>
      </c>
      <c r="G78" s="25" t="s">
        <v>145</v>
      </c>
      <c r="H78" s="22" t="s">
        <v>349</v>
      </c>
      <c r="I78" s="22" t="s">
        <v>105</v>
      </c>
      <c r="J78" s="26" t="s">
        <v>48</v>
      </c>
      <c r="K78" s="24" t="s">
        <v>146</v>
      </c>
    </row>
    <row r="79" ht="33.0" customHeight="1">
      <c r="A79" s="23" t="s">
        <v>352</v>
      </c>
      <c r="B79" s="24" t="s">
        <v>15</v>
      </c>
      <c r="C79" s="24" t="s">
        <v>353</v>
      </c>
      <c r="D79" s="25" t="s">
        <v>17</v>
      </c>
      <c r="E79" s="24" t="s">
        <v>347</v>
      </c>
      <c r="F79" s="25" t="s">
        <v>348</v>
      </c>
      <c r="G79" s="25" t="s">
        <v>72</v>
      </c>
      <c r="H79" s="22" t="s">
        <v>349</v>
      </c>
      <c r="I79" s="22" t="s">
        <v>105</v>
      </c>
      <c r="J79" s="26" t="s">
        <v>48</v>
      </c>
      <c r="K79" s="24" t="s">
        <v>49</v>
      </c>
    </row>
    <row r="80" ht="33.0" customHeight="1">
      <c r="A80" s="17" t="s">
        <v>354</v>
      </c>
      <c r="B80" s="18" t="s">
        <v>15</v>
      </c>
      <c r="C80" s="18" t="s">
        <v>355</v>
      </c>
      <c r="D80" s="19" t="s">
        <v>17</v>
      </c>
      <c r="E80" s="18" t="s">
        <v>356</v>
      </c>
      <c r="F80" s="19" t="s">
        <v>357</v>
      </c>
      <c r="G80" s="19" t="s">
        <v>358</v>
      </c>
      <c r="H80" s="20" t="s">
        <v>359</v>
      </c>
      <c r="I80" s="20" t="s">
        <v>201</v>
      </c>
      <c r="J80" s="21" t="s">
        <v>23</v>
      </c>
      <c r="K80" s="18" t="s">
        <v>24</v>
      </c>
    </row>
    <row r="81" ht="33.0" customHeight="1">
      <c r="A81" s="23" t="s">
        <v>360</v>
      </c>
      <c r="B81" s="24" t="s">
        <v>15</v>
      </c>
      <c r="C81" s="24" t="s">
        <v>361</v>
      </c>
      <c r="D81" s="25" t="s">
        <v>17</v>
      </c>
      <c r="E81" s="24" t="s">
        <v>356</v>
      </c>
      <c r="F81" s="25" t="s">
        <v>357</v>
      </c>
      <c r="G81" s="25" t="s">
        <v>362</v>
      </c>
      <c r="H81" s="22" t="s">
        <v>359</v>
      </c>
      <c r="I81" s="22" t="s">
        <v>201</v>
      </c>
      <c r="J81" s="26" t="s">
        <v>48</v>
      </c>
      <c r="K81" s="24" t="s">
        <v>49</v>
      </c>
    </row>
    <row r="82" ht="33.0" customHeight="1">
      <c r="A82" s="17" t="s">
        <v>363</v>
      </c>
      <c r="B82" s="18" t="s">
        <v>15</v>
      </c>
      <c r="C82" s="18" t="s">
        <v>364</v>
      </c>
      <c r="D82" s="19" t="s">
        <v>17</v>
      </c>
      <c r="E82" s="18" t="s">
        <v>365</v>
      </c>
      <c r="F82" s="19" t="s">
        <v>366</v>
      </c>
      <c r="G82" s="19" t="s">
        <v>226</v>
      </c>
      <c r="H82" s="20" t="s">
        <v>34</v>
      </c>
      <c r="I82" s="20" t="s">
        <v>201</v>
      </c>
      <c r="J82" s="21" t="s">
        <v>23</v>
      </c>
      <c r="K82" s="18" t="s">
        <v>24</v>
      </c>
    </row>
    <row r="83" ht="33.0" customHeight="1">
      <c r="A83" s="23" t="s">
        <v>367</v>
      </c>
      <c r="B83" s="24" t="s">
        <v>15</v>
      </c>
      <c r="C83" s="24" t="s">
        <v>368</v>
      </c>
      <c r="D83" s="25" t="s">
        <v>17</v>
      </c>
      <c r="E83" s="24" t="s">
        <v>369</v>
      </c>
      <c r="F83" s="25" t="s">
        <v>370</v>
      </c>
      <c r="G83" s="25" t="s">
        <v>46</v>
      </c>
      <c r="H83" s="22" t="s">
        <v>34</v>
      </c>
      <c r="I83" s="22" t="s">
        <v>47</v>
      </c>
      <c r="J83" s="26" t="s">
        <v>23</v>
      </c>
      <c r="K83" s="24" t="s">
        <v>49</v>
      </c>
    </row>
    <row r="84" ht="33.0" customHeight="1">
      <c r="A84" s="17" t="s">
        <v>371</v>
      </c>
      <c r="B84" s="18" t="s">
        <v>15</v>
      </c>
      <c r="C84" s="18" t="s">
        <v>372</v>
      </c>
      <c r="D84" s="19" t="s">
        <v>17</v>
      </c>
      <c r="E84" s="18" t="s">
        <v>373</v>
      </c>
      <c r="F84" s="19" t="s">
        <v>374</v>
      </c>
      <c r="G84" s="19" t="s">
        <v>103</v>
      </c>
      <c r="H84" s="20" t="s">
        <v>163</v>
      </c>
      <c r="I84" s="20" t="s">
        <v>105</v>
      </c>
      <c r="J84" s="21" t="s">
        <v>48</v>
      </c>
      <c r="K84" s="18" t="s">
        <v>169</v>
      </c>
    </row>
    <row r="85" ht="33.0" customHeight="1">
      <c r="A85" s="17" t="s">
        <v>375</v>
      </c>
      <c r="B85" s="18" t="s">
        <v>376</v>
      </c>
      <c r="C85" s="18" t="s">
        <v>377</v>
      </c>
      <c r="D85" s="19" t="s">
        <v>17</v>
      </c>
      <c r="E85" s="18" t="s">
        <v>246</v>
      </c>
      <c r="F85" s="19" t="s">
        <v>378</v>
      </c>
      <c r="G85" s="19" t="s">
        <v>379</v>
      </c>
      <c r="H85" s="20" t="s">
        <v>104</v>
      </c>
      <c r="I85" s="20" t="s">
        <v>130</v>
      </c>
      <c r="J85" s="21" t="s">
        <v>277</v>
      </c>
      <c r="K85" s="18" t="s">
        <v>24</v>
      </c>
    </row>
    <row r="86" ht="33.0" customHeight="1">
      <c r="A86" s="23" t="s">
        <v>380</v>
      </c>
      <c r="B86" s="24" t="s">
        <v>376</v>
      </c>
      <c r="C86" s="24" t="s">
        <v>381</v>
      </c>
      <c r="D86" s="25" t="s">
        <v>17</v>
      </c>
      <c r="E86" s="24" t="s">
        <v>246</v>
      </c>
      <c r="F86" s="25" t="s">
        <v>378</v>
      </c>
      <c r="G86" s="25" t="s">
        <v>382</v>
      </c>
      <c r="H86" s="22" t="s">
        <v>104</v>
      </c>
      <c r="I86" s="22" t="s">
        <v>130</v>
      </c>
      <c r="J86" s="26" t="s">
        <v>48</v>
      </c>
      <c r="K86" s="24" t="s">
        <v>383</v>
      </c>
    </row>
    <row r="87" ht="33.0" customHeight="1">
      <c r="A87" s="23" t="s">
        <v>384</v>
      </c>
      <c r="B87" s="24" t="s">
        <v>376</v>
      </c>
      <c r="C87" s="24" t="s">
        <v>385</v>
      </c>
      <c r="D87" s="25" t="s">
        <v>17</v>
      </c>
      <c r="E87" s="24" t="s">
        <v>246</v>
      </c>
      <c r="F87" s="25" t="s">
        <v>378</v>
      </c>
      <c r="G87" s="25" t="s">
        <v>386</v>
      </c>
      <c r="H87" s="22" t="s">
        <v>104</v>
      </c>
      <c r="I87" s="22" t="s">
        <v>130</v>
      </c>
      <c r="J87" s="26" t="s">
        <v>48</v>
      </c>
      <c r="K87" s="24" t="s">
        <v>387</v>
      </c>
    </row>
    <row r="88" ht="33.0" customHeight="1">
      <c r="A88" s="17" t="s">
        <v>388</v>
      </c>
      <c r="B88" s="18" t="s">
        <v>376</v>
      </c>
      <c r="C88" s="18" t="s">
        <v>389</v>
      </c>
      <c r="D88" s="19" t="s">
        <v>17</v>
      </c>
      <c r="E88" s="18" t="s">
        <v>390</v>
      </c>
      <c r="F88" s="19" t="s">
        <v>391</v>
      </c>
      <c r="G88" s="19" t="s">
        <v>392</v>
      </c>
      <c r="H88" s="20" t="s">
        <v>200</v>
      </c>
      <c r="I88" s="20" t="s">
        <v>29</v>
      </c>
      <c r="J88" s="21" t="s">
        <v>23</v>
      </c>
      <c r="K88" s="18" t="s">
        <v>393</v>
      </c>
    </row>
    <row r="89" ht="33.0" customHeight="1">
      <c r="A89" s="23" t="s">
        <v>394</v>
      </c>
      <c r="B89" s="24" t="s">
        <v>376</v>
      </c>
      <c r="C89" s="24" t="s">
        <v>395</v>
      </c>
      <c r="D89" s="25" t="s">
        <v>17</v>
      </c>
      <c r="E89" s="24" t="s">
        <v>390</v>
      </c>
      <c r="F89" s="25" t="s">
        <v>391</v>
      </c>
      <c r="G89" s="25" t="s">
        <v>396</v>
      </c>
      <c r="H89" s="22" t="s">
        <v>200</v>
      </c>
      <c r="I89" s="22" t="s">
        <v>29</v>
      </c>
      <c r="J89" s="26" t="s">
        <v>48</v>
      </c>
      <c r="K89" s="24" t="s">
        <v>397</v>
      </c>
    </row>
    <row r="90" ht="33.0" customHeight="1">
      <c r="A90" s="17" t="s">
        <v>398</v>
      </c>
      <c r="B90" s="18" t="s">
        <v>376</v>
      </c>
      <c r="C90" s="18" t="s">
        <v>399</v>
      </c>
      <c r="D90" s="19" t="s">
        <v>17</v>
      </c>
      <c r="E90" s="41" t="s">
        <v>400</v>
      </c>
      <c r="F90" s="19" t="s">
        <v>401</v>
      </c>
      <c r="G90" s="19" t="s">
        <v>402</v>
      </c>
      <c r="H90" s="20" t="s">
        <v>34</v>
      </c>
      <c r="I90" s="33" t="s">
        <v>97</v>
      </c>
      <c r="J90" s="21" t="s">
        <v>23</v>
      </c>
      <c r="K90" s="18" t="s">
        <v>49</v>
      </c>
    </row>
    <row r="91" ht="33.0" customHeight="1">
      <c r="A91" s="17" t="s">
        <v>403</v>
      </c>
      <c r="B91" s="18" t="s">
        <v>376</v>
      </c>
      <c r="C91" s="18" t="s">
        <v>404</v>
      </c>
      <c r="D91" s="19" t="s">
        <v>17</v>
      </c>
      <c r="E91" s="21" t="s">
        <v>405</v>
      </c>
      <c r="F91" s="19" t="s">
        <v>406</v>
      </c>
      <c r="G91" s="19" t="s">
        <v>407</v>
      </c>
      <c r="H91" s="20" t="s">
        <v>408</v>
      </c>
      <c r="I91" s="20" t="s">
        <v>409</v>
      </c>
      <c r="J91" s="21" t="s">
        <v>23</v>
      </c>
      <c r="K91" s="18" t="s">
        <v>410</v>
      </c>
    </row>
    <row r="92" ht="33.0" customHeight="1">
      <c r="A92" s="17" t="s">
        <v>411</v>
      </c>
      <c r="B92" s="18" t="s">
        <v>376</v>
      </c>
      <c r="C92" s="18" t="s">
        <v>412</v>
      </c>
      <c r="D92" s="19" t="s">
        <v>43</v>
      </c>
      <c r="E92" s="18" t="s">
        <v>413</v>
      </c>
      <c r="F92" s="19" t="s">
        <v>414</v>
      </c>
      <c r="G92" s="19" t="s">
        <v>379</v>
      </c>
      <c r="H92" s="20" t="s">
        <v>415</v>
      </c>
      <c r="I92" s="20" t="s">
        <v>130</v>
      </c>
      <c r="J92" s="21" t="s">
        <v>23</v>
      </c>
      <c r="K92" s="18" t="s">
        <v>24</v>
      </c>
    </row>
    <row r="93" ht="33.0" customHeight="1">
      <c r="A93" s="23" t="s">
        <v>416</v>
      </c>
      <c r="B93" s="24" t="s">
        <v>376</v>
      </c>
      <c r="C93" s="24">
        <v>7.49562556E8</v>
      </c>
      <c r="D93" s="25" t="s">
        <v>43</v>
      </c>
      <c r="E93" s="24" t="s">
        <v>413</v>
      </c>
      <c r="F93" s="25" t="s">
        <v>417</v>
      </c>
      <c r="G93" s="25" t="s">
        <v>418</v>
      </c>
      <c r="H93" s="22" t="s">
        <v>415</v>
      </c>
      <c r="I93" s="22" t="s">
        <v>130</v>
      </c>
      <c r="J93" s="26" t="s">
        <v>48</v>
      </c>
      <c r="K93" s="24" t="s">
        <v>49</v>
      </c>
    </row>
    <row r="94" ht="33.0" customHeight="1">
      <c r="A94" s="23" t="s">
        <v>419</v>
      </c>
      <c r="B94" s="24" t="s">
        <v>376</v>
      </c>
      <c r="C94" s="24">
        <v>7.51316983E8</v>
      </c>
      <c r="D94" s="25" t="s">
        <v>43</v>
      </c>
      <c r="E94" s="24" t="s">
        <v>420</v>
      </c>
      <c r="F94" s="25" t="s">
        <v>421</v>
      </c>
      <c r="G94" s="25" t="s">
        <v>422</v>
      </c>
      <c r="H94" s="22" t="s">
        <v>415</v>
      </c>
      <c r="I94" s="22" t="s">
        <v>130</v>
      </c>
      <c r="J94" s="26" t="s">
        <v>48</v>
      </c>
      <c r="K94" s="24" t="s">
        <v>423</v>
      </c>
    </row>
    <row r="95" ht="33.0" customHeight="1">
      <c r="A95" s="23" t="s">
        <v>424</v>
      </c>
      <c r="B95" s="24" t="s">
        <v>376</v>
      </c>
      <c r="C95" s="24">
        <v>7.93193769E8</v>
      </c>
      <c r="D95" s="25" t="s">
        <v>43</v>
      </c>
      <c r="E95" s="24" t="s">
        <v>425</v>
      </c>
      <c r="F95" s="25" t="s">
        <v>421</v>
      </c>
      <c r="G95" s="25" t="s">
        <v>426</v>
      </c>
      <c r="H95" s="22" t="s">
        <v>415</v>
      </c>
      <c r="I95" s="22" t="s">
        <v>130</v>
      </c>
      <c r="J95" s="26" t="s">
        <v>48</v>
      </c>
      <c r="K95" s="24" t="s">
        <v>230</v>
      </c>
    </row>
    <row r="96" ht="33.0" customHeight="1">
      <c r="A96" s="23" t="s">
        <v>427</v>
      </c>
      <c r="B96" s="24" t="s">
        <v>376</v>
      </c>
      <c r="C96" s="24">
        <v>7.56433643E8</v>
      </c>
      <c r="D96" s="25" t="s">
        <v>43</v>
      </c>
      <c r="E96" s="24" t="s">
        <v>428</v>
      </c>
      <c r="F96" s="25" t="s">
        <v>421</v>
      </c>
      <c r="G96" s="25" t="s">
        <v>429</v>
      </c>
      <c r="H96" s="22" t="s">
        <v>415</v>
      </c>
      <c r="I96" s="22" t="s">
        <v>130</v>
      </c>
      <c r="J96" s="26" t="s">
        <v>48</v>
      </c>
      <c r="K96" s="24" t="s">
        <v>230</v>
      </c>
    </row>
    <row r="97" ht="33.0" customHeight="1">
      <c r="A97" s="17" t="s">
        <v>430</v>
      </c>
      <c r="B97" s="18" t="s">
        <v>376</v>
      </c>
      <c r="C97" s="18">
        <v>7.86096403E8</v>
      </c>
      <c r="D97" s="19" t="s">
        <v>43</v>
      </c>
      <c r="E97" s="18" t="s">
        <v>431</v>
      </c>
      <c r="F97" s="19" t="s">
        <v>432</v>
      </c>
      <c r="G97" s="19" t="s">
        <v>379</v>
      </c>
      <c r="H97" s="20" t="s">
        <v>433</v>
      </c>
      <c r="I97" s="20" t="s">
        <v>22</v>
      </c>
      <c r="J97" s="21" t="s">
        <v>23</v>
      </c>
      <c r="K97" s="18" t="s">
        <v>24</v>
      </c>
    </row>
    <row r="98" ht="33.0" customHeight="1">
      <c r="A98" s="23" t="s">
        <v>434</v>
      </c>
      <c r="B98" s="24" t="s">
        <v>376</v>
      </c>
      <c r="C98" s="24">
        <v>7.01878457E8</v>
      </c>
      <c r="D98" s="25" t="s">
        <v>43</v>
      </c>
      <c r="E98" s="24" t="s">
        <v>431</v>
      </c>
      <c r="F98" s="25" t="s">
        <v>435</v>
      </c>
      <c r="G98" s="25" t="s">
        <v>418</v>
      </c>
      <c r="H98" s="22" t="s">
        <v>433</v>
      </c>
      <c r="I98" s="22" t="s">
        <v>22</v>
      </c>
      <c r="J98" s="26" t="s">
        <v>48</v>
      </c>
      <c r="K98" s="24" t="s">
        <v>49</v>
      </c>
    </row>
    <row r="99" ht="33.0" customHeight="1">
      <c r="A99" s="17" t="s">
        <v>436</v>
      </c>
      <c r="B99" s="18" t="s">
        <v>376</v>
      </c>
      <c r="C99" s="18">
        <v>7.94174169E8</v>
      </c>
      <c r="D99" s="19" t="s">
        <v>43</v>
      </c>
      <c r="E99" s="18" t="s">
        <v>437</v>
      </c>
      <c r="F99" s="19" t="s">
        <v>438</v>
      </c>
      <c r="G99" s="19" t="s">
        <v>439</v>
      </c>
      <c r="H99" s="42" t="s">
        <v>433</v>
      </c>
      <c r="I99" s="43" t="s">
        <v>22</v>
      </c>
      <c r="J99" s="21" t="s">
        <v>23</v>
      </c>
      <c r="K99" s="18" t="s">
        <v>440</v>
      </c>
    </row>
    <row r="100" ht="33.0" customHeight="1">
      <c r="A100" s="17" t="s">
        <v>441</v>
      </c>
      <c r="B100" s="18" t="s">
        <v>376</v>
      </c>
      <c r="C100" s="18">
        <v>7.2621583E8</v>
      </c>
      <c r="D100" s="19" t="s">
        <v>43</v>
      </c>
      <c r="E100" s="21" t="s">
        <v>425</v>
      </c>
      <c r="F100" s="19" t="s">
        <v>442</v>
      </c>
      <c r="G100" s="19" t="s">
        <v>379</v>
      </c>
      <c r="H100" s="22" t="s">
        <v>433</v>
      </c>
      <c r="I100" s="22" t="s">
        <v>22</v>
      </c>
      <c r="J100" s="21" t="s">
        <v>23</v>
      </c>
      <c r="K100" s="18" t="s">
        <v>24</v>
      </c>
    </row>
    <row r="101" ht="33.0" customHeight="1">
      <c r="A101" s="17" t="s">
        <v>443</v>
      </c>
      <c r="B101" s="18" t="s">
        <v>376</v>
      </c>
      <c r="C101" s="18">
        <v>7.0739581E8</v>
      </c>
      <c r="D101" s="19" t="s">
        <v>43</v>
      </c>
      <c r="E101" s="18" t="s">
        <v>444</v>
      </c>
      <c r="F101" s="19" t="s">
        <v>445</v>
      </c>
      <c r="G101" s="19" t="s">
        <v>446</v>
      </c>
      <c r="H101" s="20" t="s">
        <v>447</v>
      </c>
      <c r="I101" s="20" t="s">
        <v>201</v>
      </c>
      <c r="J101" s="21" t="s">
        <v>23</v>
      </c>
      <c r="K101" s="18" t="s">
        <v>24</v>
      </c>
    </row>
    <row r="102" ht="33.0" customHeight="1">
      <c r="A102" s="17" t="s">
        <v>448</v>
      </c>
      <c r="B102" s="18" t="s">
        <v>376</v>
      </c>
      <c r="C102" s="18">
        <v>7.6337996E8</v>
      </c>
      <c r="D102" s="19" t="s">
        <v>43</v>
      </c>
      <c r="E102" s="18" t="s">
        <v>449</v>
      </c>
      <c r="F102" s="19" t="s">
        <v>450</v>
      </c>
      <c r="G102" s="19" t="s">
        <v>451</v>
      </c>
      <c r="H102" s="20" t="s">
        <v>433</v>
      </c>
      <c r="I102" s="33" t="s">
        <v>97</v>
      </c>
      <c r="J102" s="21" t="s">
        <v>23</v>
      </c>
      <c r="K102" s="18" t="s">
        <v>49</v>
      </c>
    </row>
    <row r="103" ht="33.0" customHeight="1">
      <c r="A103" s="23" t="s">
        <v>452</v>
      </c>
      <c r="B103" s="24" t="s">
        <v>376</v>
      </c>
      <c r="C103" s="24">
        <v>7.35055624E8</v>
      </c>
      <c r="D103" s="25" t="s">
        <v>43</v>
      </c>
      <c r="E103" s="24" t="s">
        <v>449</v>
      </c>
      <c r="F103" s="25" t="s">
        <v>453</v>
      </c>
      <c r="G103" s="25" t="s">
        <v>418</v>
      </c>
      <c r="H103" s="22" t="s">
        <v>433</v>
      </c>
      <c r="I103" s="22" t="s">
        <v>97</v>
      </c>
      <c r="J103" s="26" t="s">
        <v>48</v>
      </c>
      <c r="K103" s="24" t="s">
        <v>49</v>
      </c>
    </row>
    <row r="104" ht="33.0" customHeight="1">
      <c r="A104" s="23" t="s">
        <v>454</v>
      </c>
      <c r="B104" s="24" t="s">
        <v>376</v>
      </c>
      <c r="C104" s="24">
        <v>7.20362063E8</v>
      </c>
      <c r="D104" s="25" t="s">
        <v>43</v>
      </c>
      <c r="E104" s="24" t="s">
        <v>449</v>
      </c>
      <c r="F104" s="25" t="s">
        <v>455</v>
      </c>
      <c r="G104" s="25" t="s">
        <v>418</v>
      </c>
      <c r="H104" s="22" t="s">
        <v>433</v>
      </c>
      <c r="I104" s="22" t="s">
        <v>97</v>
      </c>
      <c r="J104" s="26" t="s">
        <v>48</v>
      </c>
      <c r="K104" s="24" t="s">
        <v>49</v>
      </c>
    </row>
    <row r="105" ht="33.0" customHeight="1">
      <c r="A105" s="23" t="s">
        <v>456</v>
      </c>
      <c r="B105" s="24" t="s">
        <v>376</v>
      </c>
      <c r="C105" s="24">
        <v>7.2403978E8</v>
      </c>
      <c r="D105" s="25" t="s">
        <v>43</v>
      </c>
      <c r="E105" s="24" t="s">
        <v>457</v>
      </c>
      <c r="F105" s="25" t="s">
        <v>458</v>
      </c>
      <c r="G105" s="25" t="s">
        <v>422</v>
      </c>
      <c r="H105" s="22" t="s">
        <v>433</v>
      </c>
      <c r="I105" s="22" t="s">
        <v>97</v>
      </c>
      <c r="J105" s="26" t="s">
        <v>48</v>
      </c>
      <c r="K105" s="24" t="s">
        <v>393</v>
      </c>
    </row>
    <row r="106" ht="33.0" customHeight="1">
      <c r="A106" s="23" t="s">
        <v>459</v>
      </c>
      <c r="B106" s="24" t="s">
        <v>376</v>
      </c>
      <c r="C106" s="24">
        <v>7.49689725E8</v>
      </c>
      <c r="D106" s="25" t="s">
        <v>43</v>
      </c>
      <c r="E106" s="24" t="s">
        <v>460</v>
      </c>
      <c r="F106" s="25" t="s">
        <v>461</v>
      </c>
      <c r="G106" s="25" t="s">
        <v>379</v>
      </c>
      <c r="H106" s="22" t="s">
        <v>433</v>
      </c>
      <c r="I106" s="22" t="s">
        <v>105</v>
      </c>
      <c r="J106" s="38" t="s">
        <v>89</v>
      </c>
      <c r="K106" s="24" t="s">
        <v>49</v>
      </c>
    </row>
    <row r="107" ht="33.0" customHeight="1">
      <c r="A107" s="17" t="s">
        <v>462</v>
      </c>
      <c r="B107" s="18" t="s">
        <v>376</v>
      </c>
      <c r="C107" s="18">
        <v>7.57555196E8</v>
      </c>
      <c r="D107" s="19" t="s">
        <v>43</v>
      </c>
      <c r="E107" s="21" t="s">
        <v>463</v>
      </c>
      <c r="F107" s="19" t="s">
        <v>464</v>
      </c>
      <c r="G107" s="19" t="s">
        <v>465</v>
      </c>
      <c r="H107" s="20" t="s">
        <v>248</v>
      </c>
      <c r="I107" s="20" t="s">
        <v>22</v>
      </c>
      <c r="J107" s="21" t="s">
        <v>23</v>
      </c>
      <c r="K107" s="18" t="s">
        <v>24</v>
      </c>
    </row>
    <row r="108" ht="33.0" customHeight="1">
      <c r="A108" s="17" t="s">
        <v>466</v>
      </c>
      <c r="B108" s="18" t="s">
        <v>376</v>
      </c>
      <c r="C108" s="18">
        <v>7.89079287E8</v>
      </c>
      <c r="D108" s="19" t="s">
        <v>43</v>
      </c>
      <c r="E108" s="21" t="s">
        <v>431</v>
      </c>
      <c r="F108" s="19" t="s">
        <v>467</v>
      </c>
      <c r="G108" s="19" t="s">
        <v>418</v>
      </c>
      <c r="H108" s="20" t="s">
        <v>267</v>
      </c>
      <c r="I108" s="33" t="s">
        <v>97</v>
      </c>
      <c r="J108" s="21" t="s">
        <v>23</v>
      </c>
      <c r="K108" s="18" t="s">
        <v>468</v>
      </c>
    </row>
    <row r="109" ht="33.0" customHeight="1">
      <c r="A109" s="17" t="s">
        <v>469</v>
      </c>
      <c r="B109" s="18" t="s">
        <v>376</v>
      </c>
      <c r="C109" s="18">
        <v>7.79293482E8</v>
      </c>
      <c r="D109" s="19" t="s">
        <v>43</v>
      </c>
      <c r="E109" s="21" t="s">
        <v>470</v>
      </c>
      <c r="F109" s="19" t="s">
        <v>471</v>
      </c>
      <c r="G109" s="19" t="s">
        <v>472</v>
      </c>
      <c r="H109" s="20" t="s">
        <v>241</v>
      </c>
      <c r="I109" s="33" t="s">
        <v>97</v>
      </c>
      <c r="J109" s="21" t="s">
        <v>23</v>
      </c>
      <c r="K109" s="18" t="s">
        <v>49</v>
      </c>
    </row>
    <row r="110" ht="33.0" customHeight="1">
      <c r="A110" s="17" t="s">
        <v>473</v>
      </c>
      <c r="B110" s="18" t="s">
        <v>376</v>
      </c>
      <c r="C110" s="18">
        <v>7.6982337E8</v>
      </c>
      <c r="D110" s="19" t="s">
        <v>43</v>
      </c>
      <c r="E110" s="21" t="s">
        <v>474</v>
      </c>
      <c r="F110" s="19" t="s">
        <v>475</v>
      </c>
      <c r="G110" s="19" t="s">
        <v>476</v>
      </c>
      <c r="H110" s="20" t="s">
        <v>477</v>
      </c>
      <c r="I110" s="20" t="s">
        <v>201</v>
      </c>
      <c r="J110" s="21" t="s">
        <v>23</v>
      </c>
      <c r="K110" s="18" t="s">
        <v>24</v>
      </c>
    </row>
    <row r="111" ht="33.0" customHeight="1">
      <c r="A111" s="17" t="s">
        <v>478</v>
      </c>
      <c r="B111" s="18" t="s">
        <v>376</v>
      </c>
      <c r="C111" s="18">
        <v>7.56139309E8</v>
      </c>
      <c r="D111" s="19" t="s">
        <v>43</v>
      </c>
      <c r="E111" s="18" t="s">
        <v>470</v>
      </c>
      <c r="F111" s="19" t="s">
        <v>479</v>
      </c>
      <c r="G111" s="19" t="s">
        <v>472</v>
      </c>
      <c r="H111" s="20" t="s">
        <v>480</v>
      </c>
      <c r="I111" s="33" t="s">
        <v>97</v>
      </c>
      <c r="J111" s="21" t="s">
        <v>23</v>
      </c>
      <c r="K111" s="18" t="s">
        <v>49</v>
      </c>
    </row>
    <row r="112" ht="33.0" customHeight="1">
      <c r="A112" s="23" t="s">
        <v>481</v>
      </c>
      <c r="B112" s="24" t="s">
        <v>376</v>
      </c>
      <c r="C112" s="24">
        <v>7.80522443E8</v>
      </c>
      <c r="D112" s="25" t="s">
        <v>17</v>
      </c>
      <c r="E112" s="26" t="s">
        <v>482</v>
      </c>
      <c r="F112" s="25" t="s">
        <v>483</v>
      </c>
      <c r="G112" s="25" t="s">
        <v>484</v>
      </c>
      <c r="H112" s="22" t="s">
        <v>480</v>
      </c>
      <c r="I112" s="22" t="s">
        <v>485</v>
      </c>
      <c r="J112" s="44" t="s">
        <v>486</v>
      </c>
      <c r="K112" s="24" t="s">
        <v>487</v>
      </c>
    </row>
    <row r="113" ht="33.0" customHeight="1">
      <c r="A113" s="23" t="s">
        <v>488</v>
      </c>
      <c r="B113" s="24" t="s">
        <v>376</v>
      </c>
      <c r="C113" s="24">
        <v>7.42169889E8</v>
      </c>
      <c r="D113" s="25" t="s">
        <v>17</v>
      </c>
      <c r="E113" s="26" t="s">
        <v>489</v>
      </c>
      <c r="F113" s="25" t="s">
        <v>490</v>
      </c>
      <c r="G113" s="25" t="s">
        <v>422</v>
      </c>
      <c r="H113" s="22" t="s">
        <v>480</v>
      </c>
      <c r="I113" s="22" t="s">
        <v>485</v>
      </c>
      <c r="J113" s="26" t="s">
        <v>48</v>
      </c>
      <c r="K113" s="24" t="s">
        <v>423</v>
      </c>
    </row>
    <row r="114" ht="33.0" customHeight="1">
      <c r="A114" s="23" t="s">
        <v>491</v>
      </c>
      <c r="B114" s="24" t="s">
        <v>376</v>
      </c>
      <c r="C114" s="24" t="s">
        <v>492</v>
      </c>
      <c r="D114" s="25" t="s">
        <v>17</v>
      </c>
      <c r="E114" s="24" t="s">
        <v>489</v>
      </c>
      <c r="F114" s="25" t="s">
        <v>490</v>
      </c>
      <c r="G114" s="25" t="s">
        <v>493</v>
      </c>
      <c r="H114" s="22" t="s">
        <v>480</v>
      </c>
      <c r="I114" s="22" t="s">
        <v>485</v>
      </c>
      <c r="J114" s="26" t="s">
        <v>494</v>
      </c>
      <c r="K114" s="24" t="s">
        <v>230</v>
      </c>
    </row>
    <row r="115" ht="33.0" customHeight="1">
      <c r="A115" s="17" t="s">
        <v>495</v>
      </c>
      <c r="B115" s="18" t="s">
        <v>376</v>
      </c>
      <c r="C115" s="18" t="s">
        <v>496</v>
      </c>
      <c r="D115" s="19" t="s">
        <v>17</v>
      </c>
      <c r="E115" s="45" t="s">
        <v>497</v>
      </c>
      <c r="F115" s="19" t="s">
        <v>498</v>
      </c>
      <c r="G115" s="19" t="s">
        <v>499</v>
      </c>
      <c r="H115" s="20" t="s">
        <v>500</v>
      </c>
      <c r="I115" s="20" t="s">
        <v>22</v>
      </c>
      <c r="J115" s="21" t="s">
        <v>277</v>
      </c>
      <c r="K115" s="18" t="s">
        <v>24</v>
      </c>
    </row>
    <row r="116" ht="33.0" customHeight="1">
      <c r="A116" s="23" t="s">
        <v>501</v>
      </c>
      <c r="B116" s="24" t="s">
        <v>376</v>
      </c>
      <c r="C116" s="24" t="s">
        <v>502</v>
      </c>
      <c r="D116" s="25" t="s">
        <v>17</v>
      </c>
      <c r="E116" s="24" t="s">
        <v>497</v>
      </c>
      <c r="F116" s="25" t="s">
        <v>498</v>
      </c>
      <c r="G116" s="25" t="s">
        <v>396</v>
      </c>
      <c r="H116" s="22" t="s">
        <v>500</v>
      </c>
      <c r="I116" s="22" t="s">
        <v>22</v>
      </c>
      <c r="J116" s="26" t="s">
        <v>48</v>
      </c>
      <c r="K116" s="24" t="s">
        <v>397</v>
      </c>
    </row>
    <row r="117" ht="33.0" customHeight="1">
      <c r="A117" s="23" t="s">
        <v>503</v>
      </c>
      <c r="B117" s="24" t="s">
        <v>376</v>
      </c>
      <c r="C117" s="24" t="s">
        <v>504</v>
      </c>
      <c r="D117" s="25" t="s">
        <v>17</v>
      </c>
      <c r="E117" s="24" t="s">
        <v>505</v>
      </c>
      <c r="F117" s="25" t="s">
        <v>506</v>
      </c>
      <c r="G117" s="25" t="s">
        <v>422</v>
      </c>
      <c r="H117" s="22" t="s">
        <v>500</v>
      </c>
      <c r="I117" s="22" t="s">
        <v>22</v>
      </c>
      <c r="J117" s="26" t="s">
        <v>48</v>
      </c>
      <c r="K117" s="24" t="s">
        <v>423</v>
      </c>
    </row>
    <row r="118" ht="33.0" customHeight="1">
      <c r="A118" s="17" t="s">
        <v>507</v>
      </c>
      <c r="B118" s="18" t="s">
        <v>376</v>
      </c>
      <c r="C118" s="18" t="s">
        <v>508</v>
      </c>
      <c r="D118" s="19" t="s">
        <v>17</v>
      </c>
      <c r="E118" s="18" t="s">
        <v>509</v>
      </c>
      <c r="F118" s="19" t="s">
        <v>510</v>
      </c>
      <c r="G118" s="19" t="s">
        <v>511</v>
      </c>
      <c r="H118" s="20" t="s">
        <v>512</v>
      </c>
      <c r="I118" s="20" t="s">
        <v>22</v>
      </c>
      <c r="J118" s="21" t="s">
        <v>23</v>
      </c>
      <c r="K118" s="18" t="s">
        <v>24</v>
      </c>
    </row>
    <row r="119" ht="33.0" customHeight="1">
      <c r="A119" s="17" t="s">
        <v>513</v>
      </c>
      <c r="B119" s="18" t="s">
        <v>376</v>
      </c>
      <c r="C119" s="18" t="s">
        <v>514</v>
      </c>
      <c r="D119" s="19" t="s">
        <v>43</v>
      </c>
      <c r="E119" s="18" t="s">
        <v>515</v>
      </c>
      <c r="F119" s="19" t="s">
        <v>516</v>
      </c>
      <c r="G119" s="19" t="s">
        <v>379</v>
      </c>
      <c r="H119" s="20" t="s">
        <v>34</v>
      </c>
      <c r="I119" s="20" t="s">
        <v>130</v>
      </c>
      <c r="J119" s="21" t="s">
        <v>23</v>
      </c>
      <c r="K119" s="18" t="s">
        <v>24</v>
      </c>
    </row>
    <row r="120" ht="33.0" customHeight="1">
      <c r="A120" s="17" t="s">
        <v>517</v>
      </c>
      <c r="B120" s="18" t="s">
        <v>376</v>
      </c>
      <c r="C120" s="18" t="s">
        <v>518</v>
      </c>
      <c r="D120" s="19" t="s">
        <v>43</v>
      </c>
      <c r="E120" s="18" t="s">
        <v>425</v>
      </c>
      <c r="F120" s="19" t="s">
        <v>519</v>
      </c>
      <c r="G120" s="19" t="s">
        <v>379</v>
      </c>
      <c r="H120" s="20" t="s">
        <v>69</v>
      </c>
      <c r="I120" s="20" t="s">
        <v>130</v>
      </c>
      <c r="J120" s="21" t="s">
        <v>23</v>
      </c>
      <c r="K120" s="18" t="s">
        <v>24</v>
      </c>
    </row>
    <row r="121" ht="33.0" customHeight="1">
      <c r="A121" s="23" t="s">
        <v>520</v>
      </c>
      <c r="B121" s="24" t="s">
        <v>521</v>
      </c>
      <c r="C121" s="24">
        <v>7.55966791E8</v>
      </c>
      <c r="D121" s="25" t="s">
        <v>43</v>
      </c>
      <c r="E121" s="24" t="s">
        <v>522</v>
      </c>
      <c r="F121" s="25" t="s">
        <v>519</v>
      </c>
      <c r="G121" s="25" t="s">
        <v>72</v>
      </c>
      <c r="H121" s="22" t="s">
        <v>69</v>
      </c>
      <c r="I121" s="22" t="s">
        <v>130</v>
      </c>
      <c r="J121" s="26" t="s">
        <v>48</v>
      </c>
      <c r="K121" s="24" t="s">
        <v>523</v>
      </c>
    </row>
    <row r="122" ht="33.0" customHeight="1">
      <c r="A122" s="17" t="s">
        <v>524</v>
      </c>
      <c r="B122" s="18" t="s">
        <v>521</v>
      </c>
      <c r="C122" s="18">
        <v>7.27771073E8</v>
      </c>
      <c r="D122" s="19" t="s">
        <v>43</v>
      </c>
      <c r="E122" s="18" t="s">
        <v>525</v>
      </c>
      <c r="F122" s="19" t="s">
        <v>526</v>
      </c>
      <c r="G122" s="19" t="s">
        <v>527</v>
      </c>
      <c r="H122" s="35" t="s">
        <v>129</v>
      </c>
      <c r="I122" s="20" t="s">
        <v>130</v>
      </c>
      <c r="J122" s="21" t="s">
        <v>23</v>
      </c>
      <c r="K122" s="18" t="s">
        <v>528</v>
      </c>
    </row>
    <row r="123" ht="33.0" customHeight="1">
      <c r="A123" s="23" t="s">
        <v>529</v>
      </c>
      <c r="B123" s="24" t="s">
        <v>521</v>
      </c>
      <c r="C123" s="24">
        <v>7.36170838E8</v>
      </c>
      <c r="D123" s="25" t="s">
        <v>43</v>
      </c>
      <c r="E123" s="24" t="s">
        <v>525</v>
      </c>
      <c r="F123" s="25" t="s">
        <v>530</v>
      </c>
      <c r="G123" s="25" t="s">
        <v>418</v>
      </c>
      <c r="H123" s="22" t="s">
        <v>129</v>
      </c>
      <c r="I123" s="22" t="s">
        <v>130</v>
      </c>
      <c r="J123" s="26" t="s">
        <v>48</v>
      </c>
      <c r="K123" s="24" t="s">
        <v>49</v>
      </c>
    </row>
    <row r="124" ht="33.0" customHeight="1">
      <c r="A124" s="17" t="s">
        <v>531</v>
      </c>
      <c r="B124" s="18" t="s">
        <v>521</v>
      </c>
      <c r="C124" s="18">
        <v>7.54219996E8</v>
      </c>
      <c r="D124" s="19" t="s">
        <v>43</v>
      </c>
      <c r="E124" s="18" t="s">
        <v>532</v>
      </c>
      <c r="F124" s="19" t="s">
        <v>533</v>
      </c>
      <c r="G124" s="19" t="s">
        <v>534</v>
      </c>
      <c r="H124" s="20" t="s">
        <v>535</v>
      </c>
      <c r="I124" s="33" t="s">
        <v>97</v>
      </c>
      <c r="J124" s="21" t="s">
        <v>23</v>
      </c>
      <c r="K124" s="18" t="s">
        <v>528</v>
      </c>
    </row>
    <row r="125" ht="33.0" customHeight="1">
      <c r="A125" s="23" t="s">
        <v>536</v>
      </c>
      <c r="B125" s="24" t="s">
        <v>521</v>
      </c>
      <c r="C125" s="24">
        <v>7.78166012E8</v>
      </c>
      <c r="D125" s="25" t="s">
        <v>43</v>
      </c>
      <c r="E125" s="24" t="s">
        <v>532</v>
      </c>
      <c r="F125" s="25" t="s">
        <v>537</v>
      </c>
      <c r="G125" s="25" t="s">
        <v>418</v>
      </c>
      <c r="H125" s="22" t="s">
        <v>535</v>
      </c>
      <c r="I125" s="22" t="s">
        <v>97</v>
      </c>
      <c r="J125" s="26" t="s">
        <v>48</v>
      </c>
      <c r="K125" s="24" t="s">
        <v>49</v>
      </c>
    </row>
    <row r="126" ht="33.0" customHeight="1">
      <c r="A126" s="17" t="s">
        <v>538</v>
      </c>
      <c r="B126" s="18" t="s">
        <v>521</v>
      </c>
      <c r="C126" s="18">
        <v>7.89120634E8</v>
      </c>
      <c r="D126" s="19" t="s">
        <v>43</v>
      </c>
      <c r="E126" s="18" t="s">
        <v>539</v>
      </c>
      <c r="F126" s="19" t="s">
        <v>540</v>
      </c>
      <c r="G126" s="19" t="s">
        <v>226</v>
      </c>
      <c r="H126" s="20" t="s">
        <v>541</v>
      </c>
      <c r="I126" s="20" t="s">
        <v>201</v>
      </c>
      <c r="J126" s="21" t="s">
        <v>23</v>
      </c>
      <c r="K126" s="18" t="s">
        <v>542</v>
      </c>
    </row>
    <row r="127" ht="33.0" customHeight="1">
      <c r="A127" s="46" t="s">
        <v>538</v>
      </c>
      <c r="B127" s="24" t="s">
        <v>521</v>
      </c>
      <c r="C127" s="24">
        <v>7.75143528E8</v>
      </c>
      <c r="D127" s="24" t="s">
        <v>43</v>
      </c>
      <c r="E127" s="18" t="s">
        <v>539</v>
      </c>
      <c r="F127" s="19" t="s">
        <v>543</v>
      </c>
      <c r="G127" s="19" t="s">
        <v>527</v>
      </c>
      <c r="H127" s="20" t="s">
        <v>544</v>
      </c>
      <c r="I127" s="20" t="s">
        <v>22</v>
      </c>
      <c r="J127" s="21" t="s">
        <v>23</v>
      </c>
      <c r="K127" s="18" t="s">
        <v>528</v>
      </c>
    </row>
    <row r="128" ht="33.0" customHeight="1">
      <c r="A128" s="23" t="s">
        <v>545</v>
      </c>
      <c r="B128" s="24" t="s">
        <v>521</v>
      </c>
      <c r="C128" s="24">
        <v>7.98755851E8</v>
      </c>
      <c r="D128" s="25" t="s">
        <v>43</v>
      </c>
      <c r="E128" s="24" t="s">
        <v>539</v>
      </c>
      <c r="F128" s="25" t="s">
        <v>546</v>
      </c>
      <c r="G128" s="25" t="s">
        <v>418</v>
      </c>
      <c r="H128" s="22" t="s">
        <v>544</v>
      </c>
      <c r="I128" s="22" t="s">
        <v>22</v>
      </c>
      <c r="J128" s="26" t="s">
        <v>48</v>
      </c>
      <c r="K128" s="24" t="s">
        <v>49</v>
      </c>
    </row>
    <row r="129" ht="33.0" customHeight="1">
      <c r="A129" s="17" t="s">
        <v>547</v>
      </c>
      <c r="B129" s="18" t="s">
        <v>521</v>
      </c>
      <c r="C129" s="18">
        <v>7.4243999E8</v>
      </c>
      <c r="D129" s="19" t="s">
        <v>43</v>
      </c>
      <c r="E129" s="18" t="s">
        <v>548</v>
      </c>
      <c r="F129" s="19" t="s">
        <v>549</v>
      </c>
      <c r="G129" s="19" t="s">
        <v>550</v>
      </c>
      <c r="H129" s="20" t="s">
        <v>544</v>
      </c>
      <c r="I129" s="20" t="s">
        <v>130</v>
      </c>
      <c r="J129" s="21" t="s">
        <v>551</v>
      </c>
      <c r="K129" s="18" t="s">
        <v>552</v>
      </c>
    </row>
    <row r="130" ht="33.0" customHeight="1">
      <c r="A130" s="17" t="s">
        <v>553</v>
      </c>
      <c r="B130" s="18" t="s">
        <v>521</v>
      </c>
      <c r="C130" s="18">
        <v>7.15929082E8</v>
      </c>
      <c r="D130" s="19" t="s">
        <v>43</v>
      </c>
      <c r="E130" s="18" t="s">
        <v>554</v>
      </c>
      <c r="F130" s="19" t="s">
        <v>555</v>
      </c>
      <c r="G130" s="19" t="s">
        <v>556</v>
      </c>
      <c r="H130" s="20" t="s">
        <v>557</v>
      </c>
      <c r="I130" s="20" t="s">
        <v>201</v>
      </c>
      <c r="J130" s="21" t="s">
        <v>23</v>
      </c>
      <c r="K130" s="18" t="s">
        <v>542</v>
      </c>
    </row>
    <row r="131" ht="33.0" customHeight="1">
      <c r="A131" s="47" t="s">
        <v>558</v>
      </c>
      <c r="B131" s="24" t="s">
        <v>521</v>
      </c>
      <c r="C131" s="24">
        <v>7.1777413E8</v>
      </c>
      <c r="D131" s="25" t="s">
        <v>43</v>
      </c>
      <c r="E131" s="24" t="s">
        <v>559</v>
      </c>
      <c r="F131" s="25" t="s">
        <v>560</v>
      </c>
      <c r="G131" s="25" t="s">
        <v>418</v>
      </c>
      <c r="H131" s="48" t="s">
        <v>561</v>
      </c>
      <c r="I131" s="43" t="s">
        <v>47</v>
      </c>
      <c r="J131" s="24" t="s">
        <v>562</v>
      </c>
      <c r="K131" s="24" t="s">
        <v>563</v>
      </c>
    </row>
    <row r="132" ht="33.0" customHeight="1">
      <c r="A132" s="23" t="s">
        <v>564</v>
      </c>
      <c r="B132" s="24" t="s">
        <v>521</v>
      </c>
      <c r="C132" s="24">
        <v>7.96464512E8</v>
      </c>
      <c r="D132" s="25" t="s">
        <v>43</v>
      </c>
      <c r="E132" s="24" t="s">
        <v>565</v>
      </c>
      <c r="F132" s="25" t="s">
        <v>566</v>
      </c>
      <c r="G132" s="25" t="s">
        <v>418</v>
      </c>
      <c r="H132" s="22" t="s">
        <v>512</v>
      </c>
      <c r="I132" s="22" t="s">
        <v>130</v>
      </c>
      <c r="J132" s="26" t="s">
        <v>48</v>
      </c>
      <c r="K132" s="24" t="s">
        <v>49</v>
      </c>
    </row>
    <row r="133" ht="33.0" customHeight="1">
      <c r="A133" s="17" t="s">
        <v>567</v>
      </c>
      <c r="B133" s="18" t="s">
        <v>521</v>
      </c>
      <c r="C133" s="18">
        <v>7.20732498E8</v>
      </c>
      <c r="D133" s="19" t="s">
        <v>43</v>
      </c>
      <c r="E133" s="18" t="s">
        <v>565</v>
      </c>
      <c r="F133" s="19" t="s">
        <v>568</v>
      </c>
      <c r="G133" s="19" t="s">
        <v>226</v>
      </c>
      <c r="H133" s="20" t="s">
        <v>569</v>
      </c>
      <c r="I133" s="34" t="s">
        <v>113</v>
      </c>
      <c r="J133" s="21" t="s">
        <v>23</v>
      </c>
      <c r="K133" s="18" t="s">
        <v>570</v>
      </c>
    </row>
    <row r="134" ht="33.0" customHeight="1">
      <c r="A134" s="17" t="s">
        <v>571</v>
      </c>
      <c r="B134" s="18" t="s">
        <v>521</v>
      </c>
      <c r="C134" s="18">
        <v>7.3353289E8</v>
      </c>
      <c r="D134" s="19" t="s">
        <v>43</v>
      </c>
      <c r="E134" s="18" t="s">
        <v>572</v>
      </c>
      <c r="F134" s="19" t="s">
        <v>573</v>
      </c>
      <c r="G134" s="19" t="s">
        <v>418</v>
      </c>
      <c r="H134" s="20" t="s">
        <v>561</v>
      </c>
      <c r="I134" s="33" t="s">
        <v>97</v>
      </c>
      <c r="J134" s="21" t="s">
        <v>23</v>
      </c>
      <c r="K134" s="18" t="s">
        <v>574</v>
      </c>
    </row>
    <row r="135" ht="33.0" customHeight="1">
      <c r="A135" s="17" t="s">
        <v>575</v>
      </c>
      <c r="B135" s="18" t="s">
        <v>521</v>
      </c>
      <c r="C135" s="18">
        <v>7.5198814E8</v>
      </c>
      <c r="D135" s="19" t="s">
        <v>43</v>
      </c>
      <c r="E135" s="18" t="s">
        <v>463</v>
      </c>
      <c r="F135" s="19" t="s">
        <v>576</v>
      </c>
      <c r="G135" s="19" t="s">
        <v>556</v>
      </c>
      <c r="H135" s="20" t="s">
        <v>577</v>
      </c>
      <c r="I135" s="34" t="s">
        <v>113</v>
      </c>
      <c r="J135" s="21" t="s">
        <v>23</v>
      </c>
      <c r="K135" s="18" t="s">
        <v>570</v>
      </c>
    </row>
    <row r="136" ht="33.0" customHeight="1">
      <c r="A136" s="23" t="s">
        <v>578</v>
      </c>
      <c r="B136" s="24" t="s">
        <v>521</v>
      </c>
      <c r="C136" s="24">
        <v>7.69749975E8</v>
      </c>
      <c r="D136" s="25" t="s">
        <v>43</v>
      </c>
      <c r="E136" s="24" t="s">
        <v>579</v>
      </c>
      <c r="F136" s="25" t="s">
        <v>580</v>
      </c>
      <c r="G136" s="25" t="s">
        <v>418</v>
      </c>
      <c r="H136" s="42" t="s">
        <v>581</v>
      </c>
      <c r="I136" s="43" t="s">
        <v>97</v>
      </c>
      <c r="J136" s="26" t="s">
        <v>48</v>
      </c>
      <c r="K136" s="24" t="s">
        <v>49</v>
      </c>
    </row>
    <row r="137" ht="33.0" customHeight="1">
      <c r="A137" s="46" t="s">
        <v>582</v>
      </c>
      <c r="B137" s="24" t="s">
        <v>521</v>
      </c>
      <c r="C137" s="24">
        <v>7.40904387E8</v>
      </c>
      <c r="D137" s="24" t="s">
        <v>43</v>
      </c>
      <c r="E137" s="24" t="s">
        <v>579</v>
      </c>
      <c r="F137" s="25" t="s">
        <v>583</v>
      </c>
      <c r="G137" s="25" t="s">
        <v>418</v>
      </c>
      <c r="H137" s="22" t="s">
        <v>581</v>
      </c>
      <c r="I137" s="43" t="s">
        <v>97</v>
      </c>
      <c r="J137" s="26" t="s">
        <v>48</v>
      </c>
      <c r="K137" s="24" t="s">
        <v>49</v>
      </c>
    </row>
    <row r="138" ht="33.0" customHeight="1">
      <c r="A138" s="46" t="s">
        <v>584</v>
      </c>
      <c r="B138" s="24" t="s">
        <v>521</v>
      </c>
      <c r="C138" s="24">
        <v>7.14997239E8</v>
      </c>
      <c r="D138" s="24" t="s">
        <v>43</v>
      </c>
      <c r="E138" s="24" t="s">
        <v>579</v>
      </c>
      <c r="F138" s="25" t="s">
        <v>585</v>
      </c>
      <c r="G138" s="25" t="s">
        <v>418</v>
      </c>
      <c r="H138" s="22" t="s">
        <v>581</v>
      </c>
      <c r="I138" s="43" t="s">
        <v>97</v>
      </c>
      <c r="J138" s="26" t="s">
        <v>48</v>
      </c>
      <c r="K138" s="24" t="s">
        <v>49</v>
      </c>
    </row>
    <row r="139" ht="33.0" customHeight="1">
      <c r="A139" s="46" t="s">
        <v>586</v>
      </c>
      <c r="B139" s="24" t="s">
        <v>521</v>
      </c>
      <c r="C139" s="24">
        <v>7.77373554E8</v>
      </c>
      <c r="D139" s="24" t="s">
        <v>43</v>
      </c>
      <c r="E139" s="24" t="s">
        <v>579</v>
      </c>
      <c r="F139" s="25" t="s">
        <v>587</v>
      </c>
      <c r="G139" s="25" t="s">
        <v>418</v>
      </c>
      <c r="H139" s="22" t="s">
        <v>581</v>
      </c>
      <c r="I139" s="22" t="s">
        <v>97</v>
      </c>
      <c r="J139" s="26" t="s">
        <v>48</v>
      </c>
      <c r="K139" s="24" t="s">
        <v>49</v>
      </c>
    </row>
    <row r="140" ht="33.0" customHeight="1">
      <c r="A140" s="46" t="s">
        <v>588</v>
      </c>
      <c r="B140" s="24" t="s">
        <v>521</v>
      </c>
      <c r="C140" s="24">
        <v>7.59644018E8</v>
      </c>
      <c r="D140" s="24" t="s">
        <v>43</v>
      </c>
      <c r="E140" s="24" t="s">
        <v>579</v>
      </c>
      <c r="F140" s="25" t="s">
        <v>589</v>
      </c>
      <c r="G140" s="25" t="s">
        <v>418</v>
      </c>
      <c r="H140" s="22" t="s">
        <v>581</v>
      </c>
      <c r="I140" s="43" t="s">
        <v>97</v>
      </c>
      <c r="J140" s="26" t="s">
        <v>48</v>
      </c>
      <c r="K140" s="24" t="s">
        <v>49</v>
      </c>
    </row>
    <row r="141" ht="33.0" customHeight="1">
      <c r="A141" s="46" t="s">
        <v>590</v>
      </c>
      <c r="B141" s="24" t="s">
        <v>521</v>
      </c>
      <c r="C141" s="24">
        <v>7.7287768E8</v>
      </c>
      <c r="D141" s="24" t="s">
        <v>43</v>
      </c>
      <c r="E141" s="18" t="s">
        <v>591</v>
      </c>
      <c r="F141" s="19" t="s">
        <v>592</v>
      </c>
      <c r="G141" s="19" t="s">
        <v>418</v>
      </c>
      <c r="H141" s="39" t="s">
        <v>255</v>
      </c>
      <c r="I141" s="33" t="s">
        <v>97</v>
      </c>
      <c r="J141" s="21" t="s">
        <v>23</v>
      </c>
      <c r="K141" s="18" t="s">
        <v>211</v>
      </c>
    </row>
    <row r="142" ht="33.0" customHeight="1">
      <c r="A142" s="46" t="s">
        <v>593</v>
      </c>
      <c r="B142" s="24" t="s">
        <v>521</v>
      </c>
      <c r="C142" s="24">
        <v>7.2387301E8</v>
      </c>
      <c r="D142" s="24" t="s">
        <v>43</v>
      </c>
      <c r="E142" s="24" t="s">
        <v>594</v>
      </c>
      <c r="F142" s="25" t="s">
        <v>595</v>
      </c>
      <c r="G142" s="25" t="s">
        <v>418</v>
      </c>
      <c r="H142" s="22" t="s">
        <v>276</v>
      </c>
      <c r="I142" s="43" t="s">
        <v>22</v>
      </c>
      <c r="J142" s="26" t="s">
        <v>48</v>
      </c>
      <c r="K142" s="24" t="s">
        <v>49</v>
      </c>
    </row>
    <row r="143" ht="33.0" customHeight="1">
      <c r="A143" s="46" t="s">
        <v>590</v>
      </c>
      <c r="B143" s="24" t="s">
        <v>521</v>
      </c>
      <c r="C143" s="24">
        <v>7.71308134E8</v>
      </c>
      <c r="D143" s="24" t="s">
        <v>43</v>
      </c>
      <c r="E143" s="18" t="s">
        <v>591</v>
      </c>
      <c r="F143" s="19" t="s">
        <v>596</v>
      </c>
      <c r="G143" s="19" t="s">
        <v>418</v>
      </c>
      <c r="H143" s="20" t="s">
        <v>597</v>
      </c>
      <c r="I143" s="33" t="s">
        <v>97</v>
      </c>
      <c r="J143" s="21" t="s">
        <v>23</v>
      </c>
      <c r="K143" s="18" t="s">
        <v>211</v>
      </c>
    </row>
    <row r="144" ht="33.0" customHeight="1">
      <c r="A144" s="46" t="s">
        <v>598</v>
      </c>
      <c r="B144" s="24" t="s">
        <v>521</v>
      </c>
      <c r="C144" s="24">
        <v>7.23755803E8</v>
      </c>
      <c r="D144" s="24" t="s">
        <v>43</v>
      </c>
      <c r="E144" s="24" t="s">
        <v>532</v>
      </c>
      <c r="F144" s="25" t="s">
        <v>599</v>
      </c>
      <c r="G144" s="25" t="s">
        <v>600</v>
      </c>
      <c r="H144" s="22" t="s">
        <v>104</v>
      </c>
      <c r="I144" s="43" t="s">
        <v>105</v>
      </c>
      <c r="J144" s="26" t="s">
        <v>48</v>
      </c>
      <c r="K144" s="24" t="s">
        <v>601</v>
      </c>
    </row>
    <row r="145" ht="33.0" customHeight="1">
      <c r="A145" s="46" t="s">
        <v>602</v>
      </c>
      <c r="B145" s="24" t="s">
        <v>521</v>
      </c>
      <c r="C145" s="24">
        <v>7.83078104E8</v>
      </c>
      <c r="D145" s="24" t="s">
        <v>43</v>
      </c>
      <c r="E145" s="24" t="s">
        <v>532</v>
      </c>
      <c r="F145" s="25" t="s">
        <v>603</v>
      </c>
      <c r="G145" s="25" t="s">
        <v>418</v>
      </c>
      <c r="H145" s="22" t="s">
        <v>104</v>
      </c>
      <c r="I145" s="43" t="s">
        <v>105</v>
      </c>
      <c r="J145" s="26" t="s">
        <v>48</v>
      </c>
      <c r="K145" s="24" t="s">
        <v>49</v>
      </c>
    </row>
    <row r="146" ht="33.0" customHeight="1">
      <c r="A146" s="46" t="s">
        <v>590</v>
      </c>
      <c r="B146" s="24" t="s">
        <v>521</v>
      </c>
      <c r="C146" s="24">
        <v>7.72283613E8</v>
      </c>
      <c r="D146" s="24" t="s">
        <v>43</v>
      </c>
      <c r="E146" s="18" t="s">
        <v>579</v>
      </c>
      <c r="F146" s="19" t="s">
        <v>604</v>
      </c>
      <c r="G146" s="19" t="s">
        <v>418</v>
      </c>
      <c r="H146" s="20" t="s">
        <v>581</v>
      </c>
      <c r="I146" s="33" t="s">
        <v>97</v>
      </c>
      <c r="J146" s="21" t="s">
        <v>23</v>
      </c>
      <c r="K146" s="18" t="s">
        <v>605</v>
      </c>
    </row>
    <row r="147" ht="33.0" customHeight="1">
      <c r="A147" s="23" t="s">
        <v>606</v>
      </c>
      <c r="B147" s="24" t="s">
        <v>521</v>
      </c>
      <c r="C147" s="24" t="s">
        <v>607</v>
      </c>
      <c r="D147" s="25" t="s">
        <v>17</v>
      </c>
      <c r="E147" s="24" t="s">
        <v>608</v>
      </c>
      <c r="F147" s="25" t="s">
        <v>609</v>
      </c>
      <c r="G147" s="25" t="s">
        <v>556</v>
      </c>
      <c r="H147" s="22" t="s">
        <v>610</v>
      </c>
      <c r="I147" s="22" t="s">
        <v>113</v>
      </c>
      <c r="J147" s="26" t="s">
        <v>23</v>
      </c>
      <c r="K147" s="24" t="s">
        <v>570</v>
      </c>
    </row>
    <row r="148" ht="33.0" customHeight="1">
      <c r="A148" s="23" t="s">
        <v>584</v>
      </c>
      <c r="B148" s="24" t="s">
        <v>521</v>
      </c>
      <c r="C148" s="24">
        <v>7.09104428E8</v>
      </c>
      <c r="D148" s="25" t="s">
        <v>17</v>
      </c>
      <c r="E148" s="24" t="s">
        <v>608</v>
      </c>
      <c r="F148" s="25" t="s">
        <v>585</v>
      </c>
      <c r="G148" s="25" t="s">
        <v>418</v>
      </c>
      <c r="H148" s="22" t="s">
        <v>610</v>
      </c>
      <c r="I148" s="22" t="s">
        <v>113</v>
      </c>
      <c r="J148" s="26" t="s">
        <v>48</v>
      </c>
      <c r="K148" s="24" t="s">
        <v>49</v>
      </c>
    </row>
    <row r="149" ht="33.0" customHeight="1">
      <c r="A149" s="23" t="s">
        <v>586</v>
      </c>
      <c r="B149" s="24" t="s">
        <v>521</v>
      </c>
      <c r="C149" s="24">
        <v>7.91484001E8</v>
      </c>
      <c r="D149" s="25" t="s">
        <v>17</v>
      </c>
      <c r="E149" s="24" t="s">
        <v>608</v>
      </c>
      <c r="F149" s="25" t="s">
        <v>587</v>
      </c>
      <c r="G149" s="25" t="s">
        <v>418</v>
      </c>
      <c r="H149" s="22" t="s">
        <v>610</v>
      </c>
      <c r="I149" s="22" t="s">
        <v>113</v>
      </c>
      <c r="J149" s="26" t="s">
        <v>48</v>
      </c>
      <c r="K149" s="24" t="s">
        <v>49</v>
      </c>
    </row>
    <row r="150" ht="33.0" customHeight="1">
      <c r="A150" s="23" t="s">
        <v>611</v>
      </c>
      <c r="B150" s="24" t="s">
        <v>521</v>
      </c>
      <c r="C150" s="24" t="s">
        <v>612</v>
      </c>
      <c r="D150" s="25" t="s">
        <v>17</v>
      </c>
      <c r="E150" s="24" t="s">
        <v>613</v>
      </c>
      <c r="F150" s="25" t="s">
        <v>614</v>
      </c>
      <c r="G150" s="25" t="s">
        <v>615</v>
      </c>
      <c r="H150" s="22" t="s">
        <v>54</v>
      </c>
      <c r="I150" s="22" t="s">
        <v>105</v>
      </c>
      <c r="J150" s="26" t="s">
        <v>48</v>
      </c>
      <c r="K150" s="24" t="s">
        <v>616</v>
      </c>
    </row>
    <row r="151" ht="33.0" customHeight="1">
      <c r="A151" s="17" t="s">
        <v>617</v>
      </c>
      <c r="B151" s="18" t="s">
        <v>521</v>
      </c>
      <c r="C151" s="18">
        <v>7.93482809E8</v>
      </c>
      <c r="D151" s="19" t="s">
        <v>43</v>
      </c>
      <c r="E151" s="18" t="s">
        <v>594</v>
      </c>
      <c r="F151" s="19" t="s">
        <v>618</v>
      </c>
      <c r="G151" s="19" t="s">
        <v>226</v>
      </c>
      <c r="H151" s="22" t="s">
        <v>581</v>
      </c>
      <c r="I151" s="22" t="s">
        <v>97</v>
      </c>
      <c r="J151" s="21" t="s">
        <v>23</v>
      </c>
      <c r="K151" s="18" t="s">
        <v>528</v>
      </c>
    </row>
    <row r="152" ht="33.0" customHeight="1">
      <c r="A152" s="46" t="s">
        <v>617</v>
      </c>
      <c r="B152" s="24" t="s">
        <v>521</v>
      </c>
      <c r="C152" s="24">
        <v>7.51864236E8</v>
      </c>
      <c r="D152" s="24" t="s">
        <v>43</v>
      </c>
      <c r="E152" s="18" t="s">
        <v>594</v>
      </c>
      <c r="F152" s="19" t="s">
        <v>619</v>
      </c>
      <c r="G152" s="19" t="s">
        <v>226</v>
      </c>
      <c r="H152" s="22" t="s">
        <v>581</v>
      </c>
      <c r="I152" s="22" t="s">
        <v>97</v>
      </c>
      <c r="J152" s="21" t="s">
        <v>23</v>
      </c>
      <c r="K152" s="18" t="s">
        <v>620</v>
      </c>
    </row>
    <row r="153" ht="33.0" customHeight="1">
      <c r="A153" s="23" t="s">
        <v>621</v>
      </c>
      <c r="B153" s="24" t="s">
        <v>521</v>
      </c>
      <c r="C153" s="24" t="s">
        <v>612</v>
      </c>
      <c r="D153" s="25" t="s">
        <v>17</v>
      </c>
      <c r="E153" s="24" t="s">
        <v>613</v>
      </c>
      <c r="F153" s="25" t="s">
        <v>614</v>
      </c>
      <c r="G153" s="25" t="s">
        <v>615</v>
      </c>
      <c r="H153" s="22" t="s">
        <v>200</v>
      </c>
      <c r="I153" s="22" t="s">
        <v>105</v>
      </c>
      <c r="J153" s="26" t="s">
        <v>48</v>
      </c>
      <c r="K153" s="24" t="s">
        <v>616</v>
      </c>
    </row>
    <row r="154" ht="33.0" customHeight="1">
      <c r="A154" s="17" t="s">
        <v>622</v>
      </c>
      <c r="B154" s="18" t="s">
        <v>521</v>
      </c>
      <c r="C154" s="18">
        <v>7.35856239E8</v>
      </c>
      <c r="D154" s="19" t="s">
        <v>43</v>
      </c>
      <c r="E154" s="18" t="s">
        <v>623</v>
      </c>
      <c r="F154" s="19" t="s">
        <v>624</v>
      </c>
      <c r="G154" s="19" t="s">
        <v>418</v>
      </c>
      <c r="H154" s="22" t="s">
        <v>581</v>
      </c>
      <c r="I154" s="43" t="s">
        <v>97</v>
      </c>
      <c r="J154" s="21" t="s">
        <v>23</v>
      </c>
      <c r="K154" s="18" t="s">
        <v>625</v>
      </c>
    </row>
    <row r="155" ht="33.0" customHeight="1">
      <c r="A155" s="46" t="s">
        <v>622</v>
      </c>
      <c r="B155" s="24" t="s">
        <v>521</v>
      </c>
      <c r="C155" s="24">
        <v>7.03594076E8</v>
      </c>
      <c r="D155" s="24" t="s">
        <v>43</v>
      </c>
      <c r="E155" s="18" t="s">
        <v>623</v>
      </c>
      <c r="F155" s="19" t="s">
        <v>626</v>
      </c>
      <c r="G155" s="19" t="s">
        <v>418</v>
      </c>
      <c r="H155" s="20" t="s">
        <v>627</v>
      </c>
      <c r="I155" s="33" t="s">
        <v>97</v>
      </c>
      <c r="J155" s="21" t="s">
        <v>23</v>
      </c>
      <c r="K155" s="18" t="s">
        <v>304</v>
      </c>
    </row>
    <row r="156" ht="33.0" customHeight="1">
      <c r="A156" s="46" t="s">
        <v>622</v>
      </c>
      <c r="B156" s="24" t="s">
        <v>521</v>
      </c>
      <c r="C156" s="24">
        <v>7.73865213E8</v>
      </c>
      <c r="D156" s="24" t="s">
        <v>43</v>
      </c>
      <c r="E156" s="18" t="s">
        <v>623</v>
      </c>
      <c r="F156" s="19" t="s">
        <v>628</v>
      </c>
      <c r="G156" s="19" t="s">
        <v>534</v>
      </c>
      <c r="H156" s="20" t="s">
        <v>104</v>
      </c>
      <c r="I156" s="33" t="s">
        <v>97</v>
      </c>
      <c r="J156" s="21" t="s">
        <v>23</v>
      </c>
      <c r="K156" s="18" t="s">
        <v>620</v>
      </c>
    </row>
    <row r="157" ht="33.0" customHeight="1">
      <c r="A157" s="49" t="s">
        <v>598</v>
      </c>
      <c r="B157" s="18" t="s">
        <v>521</v>
      </c>
      <c r="C157" s="18">
        <v>7.35017497E8</v>
      </c>
      <c r="D157" s="19" t="s">
        <v>43</v>
      </c>
      <c r="E157" s="18" t="s">
        <v>532</v>
      </c>
      <c r="F157" s="19" t="s">
        <v>599</v>
      </c>
      <c r="G157" s="19" t="s">
        <v>600</v>
      </c>
      <c r="H157" s="48" t="s">
        <v>276</v>
      </c>
      <c r="I157" s="48" t="s">
        <v>22</v>
      </c>
      <c r="J157" s="18" t="s">
        <v>48</v>
      </c>
      <c r="K157" s="18" t="s">
        <v>601</v>
      </c>
    </row>
    <row r="158" ht="33.0" customHeight="1">
      <c r="A158" s="23" t="s">
        <v>602</v>
      </c>
      <c r="B158" s="24" t="s">
        <v>521</v>
      </c>
      <c r="C158" s="24">
        <v>7.315179E8</v>
      </c>
      <c r="D158" s="25" t="s">
        <v>43</v>
      </c>
      <c r="E158" s="24" t="s">
        <v>532</v>
      </c>
      <c r="F158" s="25" t="s">
        <v>603</v>
      </c>
      <c r="G158" s="25" t="s">
        <v>418</v>
      </c>
      <c r="H158" s="22" t="s">
        <v>276</v>
      </c>
      <c r="I158" s="22" t="s">
        <v>22</v>
      </c>
      <c r="J158" s="26" t="s">
        <v>48</v>
      </c>
      <c r="K158" s="24" t="s">
        <v>49</v>
      </c>
    </row>
    <row r="159" ht="33.0" customHeight="1">
      <c r="A159" s="23" t="s">
        <v>629</v>
      </c>
      <c r="B159" s="24" t="s">
        <v>521</v>
      </c>
      <c r="C159" s="24" t="s">
        <v>630</v>
      </c>
      <c r="D159" s="25" t="s">
        <v>17</v>
      </c>
      <c r="E159" s="24" t="s">
        <v>631</v>
      </c>
      <c r="F159" s="25" t="s">
        <v>632</v>
      </c>
      <c r="G159" s="25" t="s">
        <v>633</v>
      </c>
      <c r="H159" s="22" t="s">
        <v>87</v>
      </c>
      <c r="I159" s="22" t="s">
        <v>201</v>
      </c>
      <c r="J159" s="26" t="s">
        <v>48</v>
      </c>
      <c r="K159" s="24" t="s">
        <v>634</v>
      </c>
    </row>
    <row r="160" ht="33.0" customHeight="1">
      <c r="A160" s="17" t="s">
        <v>635</v>
      </c>
      <c r="B160" s="18" t="s">
        <v>521</v>
      </c>
      <c r="C160" s="18">
        <v>7.17267333E8</v>
      </c>
      <c r="D160" s="19" t="s">
        <v>17</v>
      </c>
      <c r="E160" s="18" t="s">
        <v>636</v>
      </c>
      <c r="F160" s="19" t="s">
        <v>637</v>
      </c>
      <c r="G160" s="19" t="s">
        <v>556</v>
      </c>
      <c r="H160" s="20" t="s">
        <v>610</v>
      </c>
      <c r="I160" s="34" t="s">
        <v>113</v>
      </c>
      <c r="J160" s="21" t="s">
        <v>23</v>
      </c>
      <c r="K160" s="18" t="s">
        <v>570</v>
      </c>
    </row>
    <row r="161" ht="33.0" customHeight="1">
      <c r="A161" s="23" t="s">
        <v>638</v>
      </c>
      <c r="B161" s="24" t="s">
        <v>521</v>
      </c>
      <c r="C161" s="24" t="s">
        <v>639</v>
      </c>
      <c r="D161" s="25" t="s">
        <v>43</v>
      </c>
      <c r="E161" s="24" t="s">
        <v>640</v>
      </c>
      <c r="F161" s="25" t="s">
        <v>641</v>
      </c>
      <c r="G161" s="25" t="s">
        <v>642</v>
      </c>
      <c r="H161" s="48" t="s">
        <v>541</v>
      </c>
      <c r="I161" s="36" t="s">
        <v>643</v>
      </c>
      <c r="J161" s="26" t="s">
        <v>562</v>
      </c>
      <c r="K161" s="24" t="s">
        <v>644</v>
      </c>
    </row>
    <row r="162" ht="33.0" customHeight="1">
      <c r="A162" s="23" t="s">
        <v>645</v>
      </c>
      <c r="B162" s="24" t="s">
        <v>521</v>
      </c>
      <c r="C162" s="24" t="s">
        <v>639</v>
      </c>
      <c r="D162" s="25" t="s">
        <v>43</v>
      </c>
      <c r="E162" s="24" t="s">
        <v>640</v>
      </c>
      <c r="F162" s="25" t="s">
        <v>641</v>
      </c>
      <c r="G162" s="25" t="s">
        <v>646</v>
      </c>
      <c r="H162" s="22" t="s">
        <v>541</v>
      </c>
      <c r="I162" s="22" t="s">
        <v>643</v>
      </c>
      <c r="J162" s="26" t="s">
        <v>562</v>
      </c>
      <c r="K162" s="24" t="s">
        <v>230</v>
      </c>
    </row>
    <row r="163" ht="33.0" customHeight="1">
      <c r="A163" s="17" t="s">
        <v>647</v>
      </c>
      <c r="B163" s="18" t="s">
        <v>521</v>
      </c>
      <c r="C163" s="18" t="s">
        <v>648</v>
      </c>
      <c r="D163" s="19" t="s">
        <v>17</v>
      </c>
      <c r="E163" s="18" t="s">
        <v>649</v>
      </c>
      <c r="F163" s="19" t="s">
        <v>650</v>
      </c>
      <c r="G163" s="19" t="s">
        <v>534</v>
      </c>
      <c r="H163" s="27" t="s">
        <v>54</v>
      </c>
      <c r="I163" s="33" t="s">
        <v>97</v>
      </c>
      <c r="J163" s="21" t="s">
        <v>23</v>
      </c>
      <c r="K163" s="18" t="s">
        <v>528</v>
      </c>
    </row>
    <row r="164" ht="33.0" customHeight="1">
      <c r="A164" s="23" t="s">
        <v>651</v>
      </c>
      <c r="B164" s="24" t="s">
        <v>521</v>
      </c>
      <c r="C164" s="24" t="s">
        <v>652</v>
      </c>
      <c r="D164" s="25" t="s">
        <v>17</v>
      </c>
      <c r="E164" s="24" t="s">
        <v>636</v>
      </c>
      <c r="F164" s="25" t="s">
        <v>653</v>
      </c>
      <c r="G164" s="25" t="s">
        <v>654</v>
      </c>
      <c r="H164" s="22" t="s">
        <v>129</v>
      </c>
      <c r="I164" s="22" t="s">
        <v>201</v>
      </c>
      <c r="J164" s="26" t="s">
        <v>48</v>
      </c>
      <c r="K164" s="24" t="s">
        <v>655</v>
      </c>
    </row>
    <row r="165" ht="33.0" customHeight="1">
      <c r="A165" s="17" t="s">
        <v>656</v>
      </c>
      <c r="B165" s="18" t="s">
        <v>521</v>
      </c>
      <c r="C165" s="18" t="s">
        <v>657</v>
      </c>
      <c r="D165" s="19" t="s">
        <v>17</v>
      </c>
      <c r="E165" s="18" t="s">
        <v>32</v>
      </c>
      <c r="F165" s="19" t="s">
        <v>658</v>
      </c>
      <c r="G165" s="19" t="s">
        <v>226</v>
      </c>
      <c r="H165" s="20" t="s">
        <v>200</v>
      </c>
      <c r="I165" s="20" t="s">
        <v>22</v>
      </c>
      <c r="J165" s="21" t="s">
        <v>23</v>
      </c>
      <c r="K165" s="18" t="s">
        <v>528</v>
      </c>
    </row>
    <row r="166" ht="33.0" customHeight="1">
      <c r="A166" s="23" t="s">
        <v>659</v>
      </c>
      <c r="B166" s="24" t="s">
        <v>521</v>
      </c>
      <c r="C166" s="24" t="s">
        <v>660</v>
      </c>
      <c r="D166" s="25" t="s">
        <v>17</v>
      </c>
      <c r="E166" s="26" t="s">
        <v>661</v>
      </c>
      <c r="F166" s="25" t="s">
        <v>662</v>
      </c>
      <c r="G166" s="25" t="s">
        <v>615</v>
      </c>
      <c r="H166" s="22" t="s">
        <v>544</v>
      </c>
      <c r="I166" s="22" t="s">
        <v>105</v>
      </c>
      <c r="J166" s="26" t="s">
        <v>48</v>
      </c>
      <c r="K166" s="24" t="s">
        <v>528</v>
      </c>
    </row>
    <row r="167" ht="33.0" customHeight="1">
      <c r="A167" s="17" t="s">
        <v>663</v>
      </c>
      <c r="B167" s="18" t="s">
        <v>521</v>
      </c>
      <c r="C167" s="18" t="s">
        <v>664</v>
      </c>
      <c r="D167" s="19" t="s">
        <v>17</v>
      </c>
      <c r="E167" s="18" t="s">
        <v>665</v>
      </c>
      <c r="F167" s="19" t="s">
        <v>666</v>
      </c>
      <c r="G167" s="19" t="s">
        <v>667</v>
      </c>
      <c r="H167" s="20" t="s">
        <v>69</v>
      </c>
      <c r="I167" s="20" t="s">
        <v>201</v>
      </c>
      <c r="J167" s="21" t="s">
        <v>23</v>
      </c>
      <c r="K167" s="18" t="s">
        <v>542</v>
      </c>
    </row>
    <row r="168" ht="33.0" customHeight="1">
      <c r="A168" s="17" t="s">
        <v>668</v>
      </c>
      <c r="B168" s="18" t="s">
        <v>521</v>
      </c>
      <c r="C168" s="18" t="s">
        <v>669</v>
      </c>
      <c r="D168" s="19" t="s">
        <v>17</v>
      </c>
      <c r="E168" s="18" t="s">
        <v>670</v>
      </c>
      <c r="F168" s="19" t="s">
        <v>671</v>
      </c>
      <c r="G168" s="19" t="s">
        <v>226</v>
      </c>
      <c r="H168" s="20" t="s">
        <v>544</v>
      </c>
      <c r="I168" s="34" t="s">
        <v>113</v>
      </c>
      <c r="J168" s="21" t="s">
        <v>23</v>
      </c>
      <c r="K168" s="18" t="s">
        <v>570</v>
      </c>
    </row>
    <row r="169" ht="33.0" customHeight="1">
      <c r="A169" s="23" t="s">
        <v>645</v>
      </c>
      <c r="B169" s="24" t="s">
        <v>521</v>
      </c>
      <c r="C169" s="24" t="s">
        <v>639</v>
      </c>
      <c r="D169" s="25" t="s">
        <v>43</v>
      </c>
      <c r="E169" s="24" t="s">
        <v>640</v>
      </c>
      <c r="F169" s="25" t="s">
        <v>641</v>
      </c>
      <c r="G169" s="25" t="s">
        <v>646</v>
      </c>
      <c r="H169" s="22" t="s">
        <v>69</v>
      </c>
      <c r="I169" s="43" t="s">
        <v>643</v>
      </c>
      <c r="J169" s="26" t="s">
        <v>562</v>
      </c>
      <c r="K169" s="24" t="s">
        <v>230</v>
      </c>
    </row>
    <row r="170" ht="33.0" customHeight="1">
      <c r="A170" s="17" t="s">
        <v>672</v>
      </c>
      <c r="B170" s="18" t="s">
        <v>521</v>
      </c>
      <c r="C170" s="18" t="s">
        <v>673</v>
      </c>
      <c r="D170" s="19" t="s">
        <v>17</v>
      </c>
      <c r="E170" s="18" t="s">
        <v>497</v>
      </c>
      <c r="F170" s="19" t="s">
        <v>632</v>
      </c>
      <c r="G170" s="19" t="s">
        <v>556</v>
      </c>
      <c r="H170" s="20" t="s">
        <v>87</v>
      </c>
      <c r="I170" s="20" t="s">
        <v>201</v>
      </c>
      <c r="J170" s="21" t="s">
        <v>23</v>
      </c>
      <c r="K170" s="18" t="s">
        <v>542</v>
      </c>
    </row>
    <row r="171" ht="33.0" customHeight="1">
      <c r="A171" s="23" t="s">
        <v>674</v>
      </c>
      <c r="B171" s="24" t="s">
        <v>521</v>
      </c>
      <c r="C171" s="24" t="s">
        <v>675</v>
      </c>
      <c r="D171" s="25" t="s">
        <v>17</v>
      </c>
      <c r="E171" s="24" t="s">
        <v>676</v>
      </c>
      <c r="F171" s="25" t="s">
        <v>677</v>
      </c>
      <c r="G171" s="25" t="s">
        <v>615</v>
      </c>
      <c r="H171" s="22" t="s">
        <v>678</v>
      </c>
      <c r="I171" s="22" t="s">
        <v>105</v>
      </c>
      <c r="J171" s="26" t="s">
        <v>48</v>
      </c>
      <c r="K171" s="24" t="s">
        <v>528</v>
      </c>
    </row>
    <row r="172" ht="33.0" customHeight="1">
      <c r="A172" s="23" t="s">
        <v>651</v>
      </c>
      <c r="B172" s="24" t="s">
        <v>521</v>
      </c>
      <c r="C172" s="24" t="s">
        <v>652</v>
      </c>
      <c r="D172" s="25" t="s">
        <v>17</v>
      </c>
      <c r="E172" s="24" t="s">
        <v>636</v>
      </c>
      <c r="F172" s="25" t="s">
        <v>653</v>
      </c>
      <c r="G172" s="25" t="s">
        <v>654</v>
      </c>
      <c r="H172" s="22" t="s">
        <v>541</v>
      </c>
      <c r="I172" s="43" t="s">
        <v>201</v>
      </c>
      <c r="J172" s="26" t="s">
        <v>48</v>
      </c>
      <c r="K172" s="24" t="s">
        <v>655</v>
      </c>
    </row>
    <row r="173" ht="33.0" customHeight="1">
      <c r="A173" s="47" t="s">
        <v>679</v>
      </c>
      <c r="B173" s="24" t="s">
        <v>521</v>
      </c>
      <c r="C173" s="24" t="s">
        <v>639</v>
      </c>
      <c r="D173" s="25" t="s">
        <v>43</v>
      </c>
      <c r="E173" s="24" t="s">
        <v>640</v>
      </c>
      <c r="F173" s="25" t="s">
        <v>641</v>
      </c>
      <c r="G173" s="25" t="s">
        <v>418</v>
      </c>
      <c r="H173" s="48" t="s">
        <v>69</v>
      </c>
      <c r="I173" s="48" t="s">
        <v>643</v>
      </c>
      <c r="J173" s="24" t="s">
        <v>562</v>
      </c>
      <c r="K173" s="24" t="s">
        <v>644</v>
      </c>
    </row>
    <row r="174" ht="33.0" customHeight="1">
      <c r="A174" s="17" t="s">
        <v>680</v>
      </c>
      <c r="B174" s="18" t="s">
        <v>521</v>
      </c>
      <c r="C174" s="18" t="s">
        <v>681</v>
      </c>
      <c r="D174" s="19" t="s">
        <v>43</v>
      </c>
      <c r="E174" s="21" t="s">
        <v>682</v>
      </c>
      <c r="F174" s="19" t="s">
        <v>683</v>
      </c>
      <c r="G174" s="19" t="s">
        <v>527</v>
      </c>
      <c r="H174" s="22" t="s">
        <v>87</v>
      </c>
      <c r="I174" s="22" t="s">
        <v>201</v>
      </c>
      <c r="J174" s="21" t="s">
        <v>23</v>
      </c>
      <c r="K174" s="18" t="s">
        <v>684</v>
      </c>
    </row>
    <row r="175" ht="33.0" customHeight="1">
      <c r="A175" s="17" t="s">
        <v>685</v>
      </c>
      <c r="B175" s="18" t="s">
        <v>521</v>
      </c>
      <c r="C175" s="18" t="s">
        <v>686</v>
      </c>
      <c r="D175" s="19" t="s">
        <v>17</v>
      </c>
      <c r="E175" s="18" t="s">
        <v>246</v>
      </c>
      <c r="F175" s="19" t="s">
        <v>653</v>
      </c>
      <c r="G175" s="19" t="s">
        <v>556</v>
      </c>
      <c r="H175" s="35" t="s">
        <v>129</v>
      </c>
      <c r="I175" s="20" t="s">
        <v>201</v>
      </c>
      <c r="J175" s="21" t="s">
        <v>23</v>
      </c>
      <c r="K175" s="18" t="s">
        <v>542</v>
      </c>
    </row>
    <row r="176" ht="33.0" customHeight="1">
      <c r="A176" s="23" t="s">
        <v>687</v>
      </c>
      <c r="B176" s="24" t="s">
        <v>521</v>
      </c>
      <c r="C176" s="24" t="s">
        <v>688</v>
      </c>
      <c r="D176" s="25" t="s">
        <v>17</v>
      </c>
      <c r="E176" s="24" t="s">
        <v>676</v>
      </c>
      <c r="F176" s="25" t="s">
        <v>689</v>
      </c>
      <c r="G176" s="25" t="s">
        <v>615</v>
      </c>
      <c r="H176" s="22" t="s">
        <v>477</v>
      </c>
      <c r="I176" s="22" t="s">
        <v>105</v>
      </c>
      <c r="J176" s="26" t="s">
        <v>48</v>
      </c>
      <c r="K176" s="24" t="s">
        <v>690</v>
      </c>
    </row>
    <row r="177" ht="33.0" customHeight="1">
      <c r="A177" s="17" t="s">
        <v>691</v>
      </c>
      <c r="B177" s="18" t="s">
        <v>521</v>
      </c>
      <c r="C177" s="18" t="s">
        <v>692</v>
      </c>
      <c r="D177" s="19" t="s">
        <v>17</v>
      </c>
      <c r="E177" s="18" t="s">
        <v>693</v>
      </c>
      <c r="F177" s="19" t="s">
        <v>694</v>
      </c>
      <c r="G177" s="19" t="s">
        <v>556</v>
      </c>
      <c r="H177" s="20" t="s">
        <v>544</v>
      </c>
      <c r="I177" s="20" t="s">
        <v>201</v>
      </c>
      <c r="J177" s="21" t="s">
        <v>23</v>
      </c>
      <c r="K177" s="18" t="s">
        <v>542</v>
      </c>
    </row>
    <row r="178" ht="33.0" customHeight="1">
      <c r="A178" s="23" t="s">
        <v>695</v>
      </c>
      <c r="B178" s="24" t="s">
        <v>521</v>
      </c>
      <c r="C178" s="24" t="s">
        <v>696</v>
      </c>
      <c r="D178" s="25" t="s">
        <v>43</v>
      </c>
      <c r="E178" s="24" t="s">
        <v>697</v>
      </c>
      <c r="F178" s="25" t="s">
        <v>698</v>
      </c>
      <c r="G178" s="25" t="s">
        <v>699</v>
      </c>
      <c r="H178" s="22" t="s">
        <v>541</v>
      </c>
      <c r="I178" s="22" t="s">
        <v>22</v>
      </c>
      <c r="J178" s="26" t="s">
        <v>48</v>
      </c>
      <c r="K178" s="24" t="s">
        <v>700</v>
      </c>
    </row>
    <row r="179" ht="33.0" customHeight="1">
      <c r="A179" s="23" t="s">
        <v>701</v>
      </c>
      <c r="B179" s="24" t="s">
        <v>521</v>
      </c>
      <c r="C179" s="24" t="s">
        <v>702</v>
      </c>
      <c r="D179" s="25" t="s">
        <v>17</v>
      </c>
      <c r="E179" s="24" t="s">
        <v>703</v>
      </c>
      <c r="F179" s="25" t="s">
        <v>704</v>
      </c>
      <c r="G179" s="25" t="s">
        <v>556</v>
      </c>
      <c r="H179" s="22" t="s">
        <v>541</v>
      </c>
      <c r="I179" s="22" t="s">
        <v>409</v>
      </c>
      <c r="J179" s="26" t="s">
        <v>562</v>
      </c>
      <c r="K179" s="50" t="s">
        <v>705</v>
      </c>
    </row>
    <row r="180" ht="33.0" customHeight="1">
      <c r="A180" s="17" t="s">
        <v>706</v>
      </c>
      <c r="B180" s="18" t="s">
        <v>521</v>
      </c>
      <c r="C180" s="18" t="s">
        <v>707</v>
      </c>
      <c r="D180" s="19" t="s">
        <v>17</v>
      </c>
      <c r="E180" s="18" t="s">
        <v>708</v>
      </c>
      <c r="F180" s="19" t="s">
        <v>709</v>
      </c>
      <c r="G180" s="19" t="s">
        <v>556</v>
      </c>
      <c r="H180" s="20" t="s">
        <v>276</v>
      </c>
      <c r="I180" s="20" t="s">
        <v>201</v>
      </c>
      <c r="J180" s="21" t="s">
        <v>23</v>
      </c>
      <c r="K180" s="18" t="s">
        <v>542</v>
      </c>
    </row>
    <row r="181" ht="33.0" customHeight="1">
      <c r="A181" s="23" t="s">
        <v>710</v>
      </c>
      <c r="B181" s="24" t="s">
        <v>521</v>
      </c>
      <c r="C181" s="24" t="s">
        <v>711</v>
      </c>
      <c r="D181" s="25" t="s">
        <v>17</v>
      </c>
      <c r="E181" s="24" t="s">
        <v>613</v>
      </c>
      <c r="F181" s="25" t="s">
        <v>614</v>
      </c>
      <c r="G181" s="25" t="s">
        <v>615</v>
      </c>
      <c r="H181" s="22" t="s">
        <v>712</v>
      </c>
      <c r="I181" s="22" t="s">
        <v>105</v>
      </c>
      <c r="J181" s="26" t="s">
        <v>48</v>
      </c>
      <c r="K181" s="24" t="s">
        <v>616</v>
      </c>
    </row>
    <row r="182" ht="33.0" customHeight="1">
      <c r="A182" s="23" t="s">
        <v>713</v>
      </c>
      <c r="B182" s="24" t="s">
        <v>521</v>
      </c>
      <c r="C182" s="24" t="s">
        <v>714</v>
      </c>
      <c r="D182" s="25" t="s">
        <v>17</v>
      </c>
      <c r="E182" s="24" t="s">
        <v>715</v>
      </c>
      <c r="F182" s="25" t="s">
        <v>716</v>
      </c>
      <c r="G182" s="25" t="s">
        <v>556</v>
      </c>
      <c r="H182" s="22" t="s">
        <v>712</v>
      </c>
      <c r="I182" s="22" t="s">
        <v>717</v>
      </c>
      <c r="J182" s="26" t="s">
        <v>562</v>
      </c>
      <c r="K182" s="24" t="s">
        <v>718</v>
      </c>
    </row>
    <row r="183" ht="33.0" customHeight="1">
      <c r="A183" s="17" t="s">
        <v>719</v>
      </c>
      <c r="B183" s="18" t="s">
        <v>521</v>
      </c>
      <c r="C183" s="18" t="s">
        <v>720</v>
      </c>
      <c r="D183" s="19" t="s">
        <v>17</v>
      </c>
      <c r="E183" s="18" t="s">
        <v>721</v>
      </c>
      <c r="F183" s="19" t="s">
        <v>722</v>
      </c>
      <c r="G183" s="19" t="s">
        <v>527</v>
      </c>
      <c r="H183" s="20" t="s">
        <v>69</v>
      </c>
      <c r="I183" s="20" t="s">
        <v>130</v>
      </c>
      <c r="J183" s="32" t="s">
        <v>89</v>
      </c>
      <c r="K183" s="18" t="s">
        <v>397</v>
      </c>
    </row>
    <row r="184" ht="33.0" customHeight="1">
      <c r="A184" s="17" t="s">
        <v>723</v>
      </c>
      <c r="B184" s="18" t="s">
        <v>521</v>
      </c>
      <c r="C184" s="18" t="s">
        <v>724</v>
      </c>
      <c r="D184" s="19" t="s">
        <v>17</v>
      </c>
      <c r="E184" s="18" t="s">
        <v>390</v>
      </c>
      <c r="F184" s="19" t="s">
        <v>725</v>
      </c>
      <c r="G184" s="19" t="s">
        <v>556</v>
      </c>
      <c r="H184" s="20" t="s">
        <v>332</v>
      </c>
      <c r="I184" s="20" t="s">
        <v>201</v>
      </c>
      <c r="J184" s="21" t="s">
        <v>23</v>
      </c>
      <c r="K184" s="18" t="s">
        <v>542</v>
      </c>
    </row>
    <row r="185" ht="33.0" customHeight="1">
      <c r="A185" s="23" t="s">
        <v>695</v>
      </c>
      <c r="B185" s="24" t="s">
        <v>521</v>
      </c>
      <c r="C185" s="24" t="s">
        <v>696</v>
      </c>
      <c r="D185" s="25" t="s">
        <v>43</v>
      </c>
      <c r="E185" s="24" t="s">
        <v>726</v>
      </c>
      <c r="F185" s="25" t="s">
        <v>727</v>
      </c>
      <c r="G185" s="25" t="s">
        <v>699</v>
      </c>
      <c r="H185" s="22" t="s">
        <v>200</v>
      </c>
      <c r="I185" s="22" t="s">
        <v>201</v>
      </c>
      <c r="J185" s="26" t="s">
        <v>48</v>
      </c>
      <c r="K185" s="24" t="s">
        <v>700</v>
      </c>
    </row>
    <row r="186" ht="33.0" customHeight="1">
      <c r="A186" s="17" t="s">
        <v>728</v>
      </c>
      <c r="B186" s="18" t="s">
        <v>521</v>
      </c>
      <c r="C186" s="51" t="s">
        <v>729</v>
      </c>
      <c r="D186" s="19" t="s">
        <v>43</v>
      </c>
      <c r="E186" s="18" t="s">
        <v>730</v>
      </c>
      <c r="F186" s="19" t="s">
        <v>731</v>
      </c>
      <c r="G186" s="19" t="s">
        <v>527</v>
      </c>
      <c r="H186" s="20" t="s">
        <v>34</v>
      </c>
      <c r="I186" s="20" t="s">
        <v>130</v>
      </c>
      <c r="J186" s="21" t="s">
        <v>23</v>
      </c>
      <c r="K186" s="18" t="s">
        <v>528</v>
      </c>
    </row>
    <row r="187" ht="33.0" customHeight="1">
      <c r="A187" s="23" t="s">
        <v>732</v>
      </c>
      <c r="B187" s="24" t="s">
        <v>521</v>
      </c>
      <c r="C187" s="24" t="s">
        <v>733</v>
      </c>
      <c r="D187" s="25" t="s">
        <v>17</v>
      </c>
      <c r="E187" s="24" t="s">
        <v>649</v>
      </c>
      <c r="F187" s="25" t="s">
        <v>734</v>
      </c>
      <c r="G187" s="25" t="s">
        <v>615</v>
      </c>
      <c r="H187" s="22" t="s">
        <v>477</v>
      </c>
      <c r="I187" s="22" t="s">
        <v>105</v>
      </c>
      <c r="J187" s="26" t="s">
        <v>48</v>
      </c>
      <c r="K187" s="24" t="s">
        <v>528</v>
      </c>
    </row>
    <row r="188" ht="33.0" customHeight="1">
      <c r="A188" s="23" t="s">
        <v>710</v>
      </c>
      <c r="B188" s="24" t="s">
        <v>521</v>
      </c>
      <c r="C188" s="24" t="s">
        <v>711</v>
      </c>
      <c r="D188" s="25" t="s">
        <v>17</v>
      </c>
      <c r="E188" s="24" t="s">
        <v>613</v>
      </c>
      <c r="F188" s="25" t="s">
        <v>614</v>
      </c>
      <c r="G188" s="25" t="s">
        <v>615</v>
      </c>
      <c r="H188" s="22" t="s">
        <v>477</v>
      </c>
      <c r="I188" s="22" t="s">
        <v>105</v>
      </c>
      <c r="J188" s="26" t="s">
        <v>48</v>
      </c>
      <c r="K188" s="24" t="s">
        <v>616</v>
      </c>
    </row>
    <row r="189" ht="33.0" customHeight="1">
      <c r="A189" s="23" t="s">
        <v>735</v>
      </c>
      <c r="B189" s="24" t="s">
        <v>521</v>
      </c>
      <c r="C189" s="24">
        <v>7.16239041E8</v>
      </c>
      <c r="D189" s="25" t="s">
        <v>43</v>
      </c>
      <c r="E189" s="24" t="s">
        <v>726</v>
      </c>
      <c r="F189" s="25" t="s">
        <v>727</v>
      </c>
      <c r="G189" s="25" t="s">
        <v>418</v>
      </c>
      <c r="H189" s="22" t="s">
        <v>200</v>
      </c>
      <c r="I189" s="22" t="s">
        <v>201</v>
      </c>
      <c r="J189" s="26" t="s">
        <v>48</v>
      </c>
      <c r="K189" s="24" t="s">
        <v>49</v>
      </c>
    </row>
    <row r="190" ht="33.0" customHeight="1">
      <c r="A190" s="23" t="s">
        <v>736</v>
      </c>
      <c r="B190" s="24" t="s">
        <v>521</v>
      </c>
      <c r="C190" s="24">
        <v>7.37015917E8</v>
      </c>
      <c r="D190" s="25" t="s">
        <v>43</v>
      </c>
      <c r="E190" s="24" t="s">
        <v>737</v>
      </c>
      <c r="F190" s="25" t="s">
        <v>738</v>
      </c>
      <c r="G190" s="25" t="s">
        <v>418</v>
      </c>
      <c r="H190" s="22" t="s">
        <v>69</v>
      </c>
      <c r="I190" s="22" t="s">
        <v>739</v>
      </c>
      <c r="J190" s="26" t="s">
        <v>562</v>
      </c>
      <c r="K190" s="24" t="s">
        <v>740</v>
      </c>
    </row>
    <row r="191" ht="33.0" customHeight="1">
      <c r="A191" s="23" t="s">
        <v>741</v>
      </c>
      <c r="B191" s="24" t="s">
        <v>521</v>
      </c>
      <c r="C191" s="24" t="s">
        <v>742</v>
      </c>
      <c r="D191" s="25" t="s">
        <v>17</v>
      </c>
      <c r="E191" s="24" t="s">
        <v>457</v>
      </c>
      <c r="F191" s="25" t="s">
        <v>743</v>
      </c>
      <c r="G191" s="25" t="s">
        <v>72</v>
      </c>
      <c r="H191" s="22" t="s">
        <v>477</v>
      </c>
      <c r="I191" s="22" t="s">
        <v>201</v>
      </c>
      <c r="J191" s="26" t="s">
        <v>48</v>
      </c>
      <c r="K191" s="24" t="s">
        <v>523</v>
      </c>
    </row>
    <row r="192" ht="33.0" customHeight="1">
      <c r="A192" s="17" t="s">
        <v>713</v>
      </c>
      <c r="B192" s="18" t="s">
        <v>521</v>
      </c>
      <c r="C192" s="18" t="s">
        <v>714</v>
      </c>
      <c r="D192" s="19" t="s">
        <v>17</v>
      </c>
      <c r="E192" s="18" t="s">
        <v>715</v>
      </c>
      <c r="F192" s="19" t="s">
        <v>716</v>
      </c>
      <c r="G192" s="19" t="s">
        <v>556</v>
      </c>
      <c r="H192" s="22" t="s">
        <v>541</v>
      </c>
      <c r="I192" s="22" t="s">
        <v>22</v>
      </c>
      <c r="J192" s="21" t="s">
        <v>562</v>
      </c>
      <c r="K192" s="18" t="s">
        <v>718</v>
      </c>
    </row>
    <row r="193" ht="33.0" customHeight="1">
      <c r="A193" s="17" t="s">
        <v>744</v>
      </c>
      <c r="B193" s="18" t="s">
        <v>521</v>
      </c>
      <c r="C193" s="18" t="s">
        <v>745</v>
      </c>
      <c r="D193" s="19" t="s">
        <v>17</v>
      </c>
      <c r="E193" s="18" t="s">
        <v>746</v>
      </c>
      <c r="F193" s="19" t="s">
        <v>747</v>
      </c>
      <c r="G193" s="19" t="s">
        <v>615</v>
      </c>
      <c r="H193" s="22" t="s">
        <v>316</v>
      </c>
      <c r="I193" s="20" t="s">
        <v>201</v>
      </c>
      <c r="J193" s="21" t="s">
        <v>23</v>
      </c>
      <c r="K193" s="18" t="s">
        <v>748</v>
      </c>
    </row>
    <row r="194" ht="33.0" customHeight="1">
      <c r="A194" s="17" t="s">
        <v>749</v>
      </c>
      <c r="B194" s="18" t="s">
        <v>521</v>
      </c>
      <c r="C194" s="18" t="s">
        <v>750</v>
      </c>
      <c r="D194" s="19" t="s">
        <v>17</v>
      </c>
      <c r="E194" s="18" t="s">
        <v>457</v>
      </c>
      <c r="F194" s="19" t="s">
        <v>743</v>
      </c>
      <c r="G194" s="19" t="s">
        <v>615</v>
      </c>
      <c r="H194" s="20" t="s">
        <v>293</v>
      </c>
      <c r="I194" s="20" t="s">
        <v>201</v>
      </c>
      <c r="J194" s="21" t="s">
        <v>23</v>
      </c>
      <c r="K194" s="18" t="s">
        <v>751</v>
      </c>
    </row>
    <row r="195" ht="33.0" customHeight="1">
      <c r="A195" s="17" t="s">
        <v>752</v>
      </c>
      <c r="B195" s="18" t="s">
        <v>521</v>
      </c>
      <c r="C195" s="18" t="s">
        <v>26</v>
      </c>
      <c r="D195" s="19" t="s">
        <v>17</v>
      </c>
      <c r="E195" s="18" t="s">
        <v>27</v>
      </c>
      <c r="F195" s="19" t="s">
        <v>28</v>
      </c>
      <c r="G195" s="19" t="s">
        <v>527</v>
      </c>
      <c r="H195" s="20" t="s">
        <v>21</v>
      </c>
      <c r="I195" s="20" t="s">
        <v>29</v>
      </c>
      <c r="J195" s="21" t="s">
        <v>23</v>
      </c>
      <c r="K195" s="18" t="s">
        <v>620</v>
      </c>
    </row>
    <row r="196" ht="33.0" customHeight="1">
      <c r="A196" s="49" t="s">
        <v>753</v>
      </c>
      <c r="B196" s="18" t="s">
        <v>521</v>
      </c>
      <c r="C196" s="18" t="s">
        <v>514</v>
      </c>
      <c r="D196" s="19" t="s">
        <v>43</v>
      </c>
      <c r="E196" s="18" t="s">
        <v>515</v>
      </c>
      <c r="F196" s="19" t="s">
        <v>516</v>
      </c>
      <c r="G196" s="19" t="s">
        <v>754</v>
      </c>
      <c r="H196" s="48" t="s">
        <v>477</v>
      </c>
      <c r="I196" s="52" t="s">
        <v>130</v>
      </c>
      <c r="J196" s="18" t="s">
        <v>23</v>
      </c>
      <c r="K196" s="18" t="s">
        <v>755</v>
      </c>
    </row>
    <row r="197" ht="33.0" customHeight="1">
      <c r="A197" s="23" t="s">
        <v>736</v>
      </c>
      <c r="B197" s="24" t="s">
        <v>521</v>
      </c>
      <c r="C197" s="24">
        <v>7.32720424E8</v>
      </c>
      <c r="D197" s="25" t="s">
        <v>43</v>
      </c>
      <c r="E197" s="24" t="s">
        <v>737</v>
      </c>
      <c r="F197" s="25" t="s">
        <v>756</v>
      </c>
      <c r="G197" s="25" t="s">
        <v>556</v>
      </c>
      <c r="H197" s="22" t="s">
        <v>316</v>
      </c>
      <c r="I197" s="22" t="s">
        <v>643</v>
      </c>
      <c r="J197" s="26" t="s">
        <v>562</v>
      </c>
      <c r="K197" s="24" t="s">
        <v>563</v>
      </c>
    </row>
    <row r="198" ht="33.0" customHeight="1">
      <c r="A198" s="23" t="s">
        <v>736</v>
      </c>
      <c r="B198" s="24" t="s">
        <v>521</v>
      </c>
      <c r="C198" s="24">
        <v>7.14857187E8</v>
      </c>
      <c r="D198" s="25" t="s">
        <v>43</v>
      </c>
      <c r="E198" s="24" t="s">
        <v>737</v>
      </c>
      <c r="F198" s="25" t="s">
        <v>757</v>
      </c>
      <c r="G198" s="25" t="s">
        <v>418</v>
      </c>
      <c r="H198" s="22" t="s">
        <v>477</v>
      </c>
      <c r="I198" s="22" t="s">
        <v>47</v>
      </c>
      <c r="J198" s="26" t="s">
        <v>562</v>
      </c>
      <c r="K198" s="24" t="s">
        <v>563</v>
      </c>
    </row>
    <row r="199" ht="33.0" customHeight="1">
      <c r="A199" s="23" t="s">
        <v>736</v>
      </c>
      <c r="B199" s="24" t="s">
        <v>521</v>
      </c>
      <c r="C199" s="24">
        <v>7.89038779E8</v>
      </c>
      <c r="D199" s="25" t="s">
        <v>43</v>
      </c>
      <c r="E199" s="24" t="s">
        <v>737</v>
      </c>
      <c r="F199" s="25" t="s">
        <v>758</v>
      </c>
      <c r="G199" s="25" t="s">
        <v>418</v>
      </c>
      <c r="H199" s="22" t="s">
        <v>477</v>
      </c>
      <c r="I199" s="22" t="s">
        <v>47</v>
      </c>
      <c r="J199" s="26" t="s">
        <v>562</v>
      </c>
      <c r="K199" s="24" t="s">
        <v>563</v>
      </c>
    </row>
    <row r="200" ht="33.0" customHeight="1">
      <c r="A200" s="23" t="s">
        <v>736</v>
      </c>
      <c r="B200" s="24" t="s">
        <v>521</v>
      </c>
      <c r="C200" s="24">
        <v>7.7567298E8</v>
      </c>
      <c r="D200" s="25" t="s">
        <v>43</v>
      </c>
      <c r="E200" s="24" t="s">
        <v>737</v>
      </c>
      <c r="F200" s="25" t="s">
        <v>759</v>
      </c>
      <c r="G200" s="25" t="s">
        <v>418</v>
      </c>
      <c r="H200" s="22" t="s">
        <v>477</v>
      </c>
      <c r="I200" s="22" t="s">
        <v>47</v>
      </c>
      <c r="J200" s="26" t="s">
        <v>562</v>
      </c>
      <c r="K200" s="24" t="s">
        <v>563</v>
      </c>
    </row>
    <row r="201" ht="33.0" customHeight="1">
      <c r="A201" s="23" t="s">
        <v>736</v>
      </c>
      <c r="B201" s="24" t="s">
        <v>521</v>
      </c>
      <c r="C201" s="24">
        <v>7.74926166E8</v>
      </c>
      <c r="D201" s="25" t="s">
        <v>43</v>
      </c>
      <c r="E201" s="24" t="s">
        <v>737</v>
      </c>
      <c r="F201" s="25" t="s">
        <v>760</v>
      </c>
      <c r="G201" s="25" t="s">
        <v>418</v>
      </c>
      <c r="H201" s="22" t="s">
        <v>477</v>
      </c>
      <c r="I201" s="22" t="s">
        <v>739</v>
      </c>
      <c r="J201" s="26" t="s">
        <v>761</v>
      </c>
      <c r="K201" s="24" t="s">
        <v>762</v>
      </c>
    </row>
    <row r="202" ht="33.0" customHeight="1">
      <c r="A202" s="46" t="s">
        <v>736</v>
      </c>
      <c r="B202" s="24" t="s">
        <v>521</v>
      </c>
      <c r="C202" s="24">
        <v>7.14842001E8</v>
      </c>
      <c r="D202" s="24" t="s">
        <v>43</v>
      </c>
      <c r="E202" s="24" t="s">
        <v>737</v>
      </c>
      <c r="F202" s="25" t="s">
        <v>763</v>
      </c>
      <c r="G202" s="25" t="s">
        <v>418</v>
      </c>
      <c r="H202" s="22" t="s">
        <v>477</v>
      </c>
      <c r="I202" s="43" t="s">
        <v>47</v>
      </c>
      <c r="J202" s="26" t="s">
        <v>562</v>
      </c>
      <c r="K202" s="24" t="s">
        <v>563</v>
      </c>
    </row>
    <row r="203" ht="33.0" customHeight="1">
      <c r="A203" s="46" t="s">
        <v>736</v>
      </c>
      <c r="B203" s="24" t="s">
        <v>521</v>
      </c>
      <c r="C203" s="24">
        <v>7.4523394E8</v>
      </c>
      <c r="D203" s="24" t="s">
        <v>43</v>
      </c>
      <c r="E203" s="24" t="s">
        <v>737</v>
      </c>
      <c r="F203" s="25" t="s">
        <v>764</v>
      </c>
      <c r="G203" s="25" t="s">
        <v>556</v>
      </c>
      <c r="H203" s="22" t="s">
        <v>477</v>
      </c>
      <c r="I203" s="43" t="s">
        <v>47</v>
      </c>
      <c r="J203" s="26" t="s">
        <v>48</v>
      </c>
      <c r="K203" s="24" t="s">
        <v>105</v>
      </c>
    </row>
    <row r="204" ht="33.0" customHeight="1">
      <c r="A204" s="46" t="s">
        <v>765</v>
      </c>
      <c r="B204" s="24" t="s">
        <v>521</v>
      </c>
      <c r="C204" s="24">
        <v>7.64621033E8</v>
      </c>
      <c r="D204" s="24" t="s">
        <v>43</v>
      </c>
      <c r="E204" s="24" t="s">
        <v>737</v>
      </c>
      <c r="F204" s="25" t="s">
        <v>766</v>
      </c>
      <c r="G204" s="25" t="s">
        <v>418</v>
      </c>
      <c r="H204" s="22" t="s">
        <v>477</v>
      </c>
      <c r="I204" s="43" t="s">
        <v>47</v>
      </c>
      <c r="J204" s="26" t="s">
        <v>48</v>
      </c>
      <c r="K204" s="24" t="s">
        <v>49</v>
      </c>
    </row>
    <row r="205" ht="33.0" customHeight="1">
      <c r="A205" s="46" t="s">
        <v>767</v>
      </c>
      <c r="B205" s="24" t="s">
        <v>521</v>
      </c>
      <c r="C205" s="24">
        <v>7.96746379E8</v>
      </c>
      <c r="D205" s="24" t="s">
        <v>43</v>
      </c>
      <c r="E205" s="24" t="s">
        <v>737</v>
      </c>
      <c r="F205" s="25" t="s">
        <v>768</v>
      </c>
      <c r="G205" s="25" t="s">
        <v>418</v>
      </c>
      <c r="H205" s="42" t="s">
        <v>241</v>
      </c>
      <c r="I205" s="43" t="s">
        <v>105</v>
      </c>
      <c r="J205" s="26" t="s">
        <v>48</v>
      </c>
      <c r="K205" s="24" t="s">
        <v>49</v>
      </c>
    </row>
    <row r="206" ht="33.0" customHeight="1">
      <c r="A206" s="46" t="s">
        <v>769</v>
      </c>
      <c r="B206" s="24" t="s">
        <v>521</v>
      </c>
      <c r="C206" s="24">
        <v>7.4684284E8</v>
      </c>
      <c r="D206" s="24" t="s">
        <v>43</v>
      </c>
      <c r="E206" s="24" t="s">
        <v>208</v>
      </c>
      <c r="F206" s="25" t="s">
        <v>770</v>
      </c>
      <c r="G206" s="25" t="s">
        <v>418</v>
      </c>
      <c r="H206" s="22" t="s">
        <v>477</v>
      </c>
      <c r="I206" s="43" t="s">
        <v>47</v>
      </c>
      <c r="J206" s="26" t="s">
        <v>562</v>
      </c>
      <c r="K206" s="24" t="s">
        <v>563</v>
      </c>
    </row>
    <row r="207" ht="33.0" customHeight="1">
      <c r="A207" s="46" t="s">
        <v>771</v>
      </c>
      <c r="B207" s="24" t="s">
        <v>521</v>
      </c>
      <c r="C207" s="24">
        <v>7.633597E8</v>
      </c>
      <c r="D207" s="24" t="s">
        <v>43</v>
      </c>
      <c r="E207" s="24" t="s">
        <v>772</v>
      </c>
      <c r="F207" s="25" t="s">
        <v>773</v>
      </c>
      <c r="G207" s="25" t="s">
        <v>774</v>
      </c>
      <c r="H207" s="22" t="s">
        <v>129</v>
      </c>
      <c r="I207" s="22" t="s">
        <v>105</v>
      </c>
      <c r="J207" s="26" t="s">
        <v>562</v>
      </c>
      <c r="K207" s="24" t="s">
        <v>775</v>
      </c>
    </row>
    <row r="208" ht="33.0" customHeight="1">
      <c r="A208" s="46" t="s">
        <v>771</v>
      </c>
      <c r="B208" s="24" t="s">
        <v>521</v>
      </c>
      <c r="C208" s="24">
        <v>7.2867559E8</v>
      </c>
      <c r="D208" s="24" t="s">
        <v>43</v>
      </c>
      <c r="E208" s="24" t="s">
        <v>737</v>
      </c>
      <c r="F208" s="25" t="s">
        <v>766</v>
      </c>
      <c r="G208" s="25" t="s">
        <v>418</v>
      </c>
      <c r="H208" s="22" t="s">
        <v>129</v>
      </c>
      <c r="I208" s="43" t="s">
        <v>105</v>
      </c>
      <c r="J208" s="26" t="s">
        <v>562</v>
      </c>
      <c r="K208" s="24" t="s">
        <v>775</v>
      </c>
    </row>
    <row r="209" ht="33.0" customHeight="1">
      <c r="A209" s="46" t="s">
        <v>776</v>
      </c>
      <c r="B209" s="24" t="s">
        <v>521</v>
      </c>
      <c r="C209" s="24">
        <v>7.04593632E8</v>
      </c>
      <c r="D209" s="24" t="s">
        <v>43</v>
      </c>
      <c r="E209" s="24" t="s">
        <v>737</v>
      </c>
      <c r="F209" s="25" t="s">
        <v>768</v>
      </c>
      <c r="G209" s="25" t="s">
        <v>418</v>
      </c>
      <c r="H209" s="22" t="s">
        <v>241</v>
      </c>
      <c r="I209" s="43" t="s">
        <v>105</v>
      </c>
      <c r="J209" s="26" t="s">
        <v>48</v>
      </c>
      <c r="K209" s="24" t="s">
        <v>49</v>
      </c>
    </row>
    <row r="210" ht="33.0" customHeight="1">
      <c r="A210" s="46" t="s">
        <v>736</v>
      </c>
      <c r="B210" s="24" t="s">
        <v>521</v>
      </c>
      <c r="C210" s="24">
        <v>7.19078286E8</v>
      </c>
      <c r="D210" s="24" t="s">
        <v>43</v>
      </c>
      <c r="E210" s="18" t="s">
        <v>737</v>
      </c>
      <c r="F210" s="19" t="s">
        <v>777</v>
      </c>
      <c r="G210" s="19" t="s">
        <v>778</v>
      </c>
      <c r="H210" s="53" t="s">
        <v>162</v>
      </c>
      <c r="I210" s="43" t="s">
        <v>201</v>
      </c>
      <c r="J210" s="21" t="s">
        <v>23</v>
      </c>
      <c r="K210" s="18" t="s">
        <v>528</v>
      </c>
    </row>
    <row r="211" ht="33.0" customHeight="1">
      <c r="A211" s="46" t="s">
        <v>776</v>
      </c>
      <c r="B211" s="24" t="s">
        <v>521</v>
      </c>
      <c r="C211" s="24">
        <v>7.33356561E8</v>
      </c>
      <c r="D211" s="24" t="s">
        <v>17</v>
      </c>
      <c r="E211" s="24" t="s">
        <v>779</v>
      </c>
      <c r="F211" s="25" t="s">
        <v>780</v>
      </c>
      <c r="G211" s="25" t="s">
        <v>418</v>
      </c>
      <c r="H211" s="22" t="s">
        <v>59</v>
      </c>
      <c r="I211" s="22" t="s">
        <v>22</v>
      </c>
      <c r="J211" s="26" t="s">
        <v>48</v>
      </c>
      <c r="K211" s="24" t="s">
        <v>49</v>
      </c>
    </row>
    <row r="212" ht="33.0" customHeight="1">
      <c r="A212" s="46" t="s">
        <v>781</v>
      </c>
      <c r="B212" s="24" t="s">
        <v>521</v>
      </c>
      <c r="C212" s="24">
        <v>7.353321E8</v>
      </c>
      <c r="D212" s="24" t="s">
        <v>43</v>
      </c>
      <c r="E212" s="24" t="s">
        <v>782</v>
      </c>
      <c r="F212" s="25" t="s">
        <v>783</v>
      </c>
      <c r="G212" s="25" t="s">
        <v>784</v>
      </c>
      <c r="H212" s="22" t="s">
        <v>59</v>
      </c>
      <c r="I212" s="22" t="s">
        <v>22</v>
      </c>
      <c r="J212" s="26" t="s">
        <v>81</v>
      </c>
      <c r="K212" s="24" t="s">
        <v>523</v>
      </c>
    </row>
    <row r="213" ht="33.0" customHeight="1">
      <c r="A213" s="46" t="s">
        <v>785</v>
      </c>
      <c r="B213" s="24" t="s">
        <v>521</v>
      </c>
      <c r="C213" s="24">
        <v>7.30313763E8</v>
      </c>
      <c r="D213" s="24" t="s">
        <v>43</v>
      </c>
      <c r="E213" s="24" t="s">
        <v>786</v>
      </c>
      <c r="F213" s="25" t="s">
        <v>783</v>
      </c>
      <c r="G213" s="25" t="s">
        <v>72</v>
      </c>
      <c r="H213" s="22" t="s">
        <v>59</v>
      </c>
      <c r="I213" s="43" t="s">
        <v>22</v>
      </c>
      <c r="J213" s="26" t="s">
        <v>48</v>
      </c>
      <c r="K213" s="24" t="s">
        <v>523</v>
      </c>
    </row>
    <row r="214" ht="33.0" customHeight="1">
      <c r="A214" s="46" t="s">
        <v>781</v>
      </c>
      <c r="B214" s="24" t="s">
        <v>521</v>
      </c>
      <c r="C214" s="24">
        <v>7.7625743E8</v>
      </c>
      <c r="D214" s="24" t="s">
        <v>43</v>
      </c>
      <c r="E214" s="24" t="s">
        <v>782</v>
      </c>
      <c r="F214" s="25" t="s">
        <v>783</v>
      </c>
      <c r="G214" s="25" t="s">
        <v>784</v>
      </c>
      <c r="H214" s="22" t="s">
        <v>162</v>
      </c>
      <c r="I214" s="43" t="s">
        <v>201</v>
      </c>
      <c r="J214" s="26" t="s">
        <v>81</v>
      </c>
      <c r="K214" s="24" t="s">
        <v>523</v>
      </c>
    </row>
    <row r="215" ht="33.0" customHeight="1">
      <c r="A215" s="46" t="s">
        <v>785</v>
      </c>
      <c r="B215" s="24" t="s">
        <v>521</v>
      </c>
      <c r="C215" s="24">
        <v>7.60146963E8</v>
      </c>
      <c r="D215" s="24" t="s">
        <v>43</v>
      </c>
      <c r="E215" s="24" t="s">
        <v>786</v>
      </c>
      <c r="F215" s="25" t="s">
        <v>783</v>
      </c>
      <c r="G215" s="25" t="s">
        <v>72</v>
      </c>
      <c r="H215" s="22" t="s">
        <v>162</v>
      </c>
      <c r="I215" s="22" t="s">
        <v>201</v>
      </c>
      <c r="J215" s="26" t="s">
        <v>48</v>
      </c>
      <c r="K215" s="24" t="s">
        <v>523</v>
      </c>
    </row>
    <row r="216" ht="33.0" customHeight="1">
      <c r="A216" s="46" t="s">
        <v>787</v>
      </c>
      <c r="B216" s="24" t="s">
        <v>521</v>
      </c>
      <c r="C216" s="24">
        <v>7.95132602E8</v>
      </c>
      <c r="D216" s="24" t="s">
        <v>17</v>
      </c>
      <c r="E216" s="24" t="s">
        <v>779</v>
      </c>
      <c r="F216" s="25" t="s">
        <v>788</v>
      </c>
      <c r="G216" s="25" t="s">
        <v>418</v>
      </c>
      <c r="H216" s="22" t="s">
        <v>59</v>
      </c>
      <c r="I216" s="43" t="s">
        <v>22</v>
      </c>
      <c r="J216" s="26" t="s">
        <v>789</v>
      </c>
      <c r="K216" s="24" t="s">
        <v>790</v>
      </c>
    </row>
    <row r="217" ht="33.0" customHeight="1">
      <c r="A217" s="46" t="s">
        <v>736</v>
      </c>
      <c r="B217" s="24" t="s">
        <v>521</v>
      </c>
      <c r="C217" s="24">
        <v>7.27039656E8</v>
      </c>
      <c r="D217" s="24" t="s">
        <v>17</v>
      </c>
      <c r="E217" s="24" t="s">
        <v>779</v>
      </c>
      <c r="F217" s="25" t="s">
        <v>791</v>
      </c>
      <c r="G217" s="25" t="s">
        <v>418</v>
      </c>
      <c r="H217" s="22" t="s">
        <v>59</v>
      </c>
      <c r="I217" s="22" t="s">
        <v>22</v>
      </c>
      <c r="J217" s="21" t="s">
        <v>562</v>
      </c>
      <c r="K217" s="18" t="s">
        <v>563</v>
      </c>
    </row>
    <row r="218" ht="33.0" customHeight="1">
      <c r="A218" s="46" t="s">
        <v>736</v>
      </c>
      <c r="B218" s="24" t="s">
        <v>521</v>
      </c>
      <c r="C218" s="24">
        <v>7.18666046E8</v>
      </c>
      <c r="D218" s="24" t="s">
        <v>43</v>
      </c>
      <c r="E218" s="18" t="s">
        <v>737</v>
      </c>
      <c r="F218" s="19" t="s">
        <v>759</v>
      </c>
      <c r="G218" s="19" t="s">
        <v>418</v>
      </c>
      <c r="H218" s="20" t="s">
        <v>59</v>
      </c>
      <c r="I218" s="20" t="s">
        <v>47</v>
      </c>
      <c r="J218" s="21" t="s">
        <v>562</v>
      </c>
      <c r="K218" s="18" t="s">
        <v>563</v>
      </c>
    </row>
    <row r="219" ht="33.0" customHeight="1">
      <c r="A219" s="46" t="s">
        <v>736</v>
      </c>
      <c r="B219" s="24" t="s">
        <v>521</v>
      </c>
      <c r="C219" s="24">
        <v>7.47036777E8</v>
      </c>
      <c r="D219" s="24" t="s">
        <v>43</v>
      </c>
      <c r="E219" s="18" t="s">
        <v>737</v>
      </c>
      <c r="F219" s="19" t="s">
        <v>760</v>
      </c>
      <c r="G219" s="19" t="s">
        <v>418</v>
      </c>
      <c r="H219" s="22" t="s">
        <v>129</v>
      </c>
      <c r="I219" s="22" t="s">
        <v>201</v>
      </c>
      <c r="J219" s="21" t="s">
        <v>761</v>
      </c>
      <c r="K219" s="18" t="s">
        <v>762</v>
      </c>
    </row>
    <row r="220" ht="33.0" customHeight="1">
      <c r="A220" s="46" t="s">
        <v>736</v>
      </c>
      <c r="B220" s="24" t="s">
        <v>521</v>
      </c>
      <c r="C220" s="24">
        <v>7.95456062E8</v>
      </c>
      <c r="D220" s="24" t="s">
        <v>43</v>
      </c>
      <c r="E220" s="18" t="s">
        <v>737</v>
      </c>
      <c r="F220" s="19" t="s">
        <v>763</v>
      </c>
      <c r="G220" s="19" t="s">
        <v>418</v>
      </c>
      <c r="H220" s="22" t="s">
        <v>129</v>
      </c>
      <c r="I220" s="20" t="s">
        <v>47</v>
      </c>
      <c r="J220" s="21" t="s">
        <v>562</v>
      </c>
      <c r="K220" s="18" t="s">
        <v>563</v>
      </c>
    </row>
    <row r="221" ht="33.0" customHeight="1">
      <c r="A221" s="46" t="s">
        <v>736</v>
      </c>
      <c r="B221" s="24" t="s">
        <v>521</v>
      </c>
      <c r="C221" s="24">
        <v>7.3923184E8</v>
      </c>
      <c r="D221" s="24" t="s">
        <v>43</v>
      </c>
      <c r="E221" s="18" t="s">
        <v>737</v>
      </c>
      <c r="F221" s="19" t="s">
        <v>764</v>
      </c>
      <c r="G221" s="19" t="s">
        <v>556</v>
      </c>
      <c r="H221" s="20" t="s">
        <v>129</v>
      </c>
      <c r="I221" s="20" t="s">
        <v>105</v>
      </c>
      <c r="J221" s="21" t="s">
        <v>48</v>
      </c>
      <c r="K221" s="18" t="s">
        <v>105</v>
      </c>
    </row>
    <row r="222" ht="33.0" customHeight="1">
      <c r="A222" s="17" t="s">
        <v>765</v>
      </c>
      <c r="B222" s="18" t="s">
        <v>521</v>
      </c>
      <c r="C222" s="18">
        <v>7.29079856E8</v>
      </c>
      <c r="D222" s="19" t="s">
        <v>43</v>
      </c>
      <c r="E222" s="18" t="s">
        <v>737</v>
      </c>
      <c r="F222" s="19" t="s">
        <v>766</v>
      </c>
      <c r="G222" s="19" t="s">
        <v>418</v>
      </c>
      <c r="H222" s="20" t="s">
        <v>129</v>
      </c>
      <c r="I222" s="20" t="s">
        <v>105</v>
      </c>
      <c r="J222" s="21" t="s">
        <v>48</v>
      </c>
      <c r="K222" s="18" t="s">
        <v>49</v>
      </c>
    </row>
    <row r="223" ht="33.0" customHeight="1">
      <c r="A223" s="23" t="s">
        <v>792</v>
      </c>
      <c r="B223" s="24" t="s">
        <v>521</v>
      </c>
      <c r="C223" s="24">
        <v>7.38314941E8</v>
      </c>
      <c r="D223" s="25" t="s">
        <v>43</v>
      </c>
      <c r="E223" s="24" t="s">
        <v>793</v>
      </c>
      <c r="F223" s="25" t="s">
        <v>794</v>
      </c>
      <c r="G223" s="25" t="s">
        <v>418</v>
      </c>
      <c r="H223" s="22" t="s">
        <v>129</v>
      </c>
      <c r="I223" s="22" t="s">
        <v>201</v>
      </c>
      <c r="J223" s="26" t="s">
        <v>48</v>
      </c>
      <c r="K223" s="24" t="s">
        <v>49</v>
      </c>
    </row>
    <row r="224" ht="33.0" customHeight="1">
      <c r="A224" s="23" t="s">
        <v>795</v>
      </c>
      <c r="B224" s="24" t="s">
        <v>521</v>
      </c>
      <c r="C224" s="24">
        <v>7.97227685E8</v>
      </c>
      <c r="D224" s="25" t="s">
        <v>43</v>
      </c>
      <c r="E224" s="24" t="s">
        <v>796</v>
      </c>
      <c r="F224" s="25" t="s">
        <v>794</v>
      </c>
      <c r="G224" s="25" t="s">
        <v>797</v>
      </c>
      <c r="H224" s="22" t="s">
        <v>129</v>
      </c>
      <c r="I224" s="22" t="s">
        <v>47</v>
      </c>
      <c r="J224" s="26" t="s">
        <v>562</v>
      </c>
      <c r="K224" s="24" t="s">
        <v>523</v>
      </c>
    </row>
    <row r="225" ht="33.0" customHeight="1">
      <c r="A225" s="23" t="s">
        <v>798</v>
      </c>
      <c r="B225" s="24" t="s">
        <v>521</v>
      </c>
      <c r="C225" s="24">
        <v>7.51718485E8</v>
      </c>
      <c r="D225" s="25" t="s">
        <v>17</v>
      </c>
      <c r="E225" s="24" t="s">
        <v>779</v>
      </c>
      <c r="F225" s="25" t="s">
        <v>780</v>
      </c>
      <c r="G225" s="25" t="s">
        <v>418</v>
      </c>
      <c r="H225" s="22" t="s">
        <v>59</v>
      </c>
      <c r="I225" s="22" t="s">
        <v>22</v>
      </c>
      <c r="J225" s="26" t="s">
        <v>48</v>
      </c>
      <c r="K225" s="24" t="s">
        <v>49</v>
      </c>
    </row>
    <row r="226" ht="33.0" customHeight="1">
      <c r="A226" s="17" t="s">
        <v>799</v>
      </c>
      <c r="B226" s="18" t="s">
        <v>521</v>
      </c>
      <c r="C226" s="18">
        <v>7.33142702E8</v>
      </c>
      <c r="D226" s="25" t="s">
        <v>17</v>
      </c>
      <c r="E226" s="24" t="s">
        <v>800</v>
      </c>
      <c r="F226" s="25" t="s">
        <v>801</v>
      </c>
      <c r="G226" s="25" t="s">
        <v>422</v>
      </c>
      <c r="H226" s="22" t="s">
        <v>34</v>
      </c>
      <c r="I226" s="43" t="s">
        <v>201</v>
      </c>
      <c r="J226" s="21" t="s">
        <v>23</v>
      </c>
      <c r="K226" s="18" t="s">
        <v>528</v>
      </c>
    </row>
    <row r="227" ht="33.0" customHeight="1">
      <c r="A227" s="23" t="s">
        <v>798</v>
      </c>
      <c r="B227" s="24" t="s">
        <v>521</v>
      </c>
      <c r="C227" s="24">
        <v>7.45834459E8</v>
      </c>
      <c r="D227" s="25" t="s">
        <v>17</v>
      </c>
      <c r="E227" s="24" t="s">
        <v>800</v>
      </c>
      <c r="F227" s="25" t="s">
        <v>802</v>
      </c>
      <c r="G227" s="25" t="s">
        <v>418</v>
      </c>
      <c r="H227" s="22" t="s">
        <v>447</v>
      </c>
      <c r="I227" s="22" t="s">
        <v>130</v>
      </c>
      <c r="J227" s="26" t="s">
        <v>48</v>
      </c>
      <c r="K227" s="24" t="s">
        <v>49</v>
      </c>
    </row>
    <row r="228" ht="33.0" customHeight="1">
      <c r="A228" s="23" t="s">
        <v>798</v>
      </c>
      <c r="B228" s="24" t="s">
        <v>521</v>
      </c>
      <c r="C228" s="24">
        <v>7.42108808E8</v>
      </c>
      <c r="D228" s="25" t="s">
        <v>43</v>
      </c>
      <c r="E228" s="24" t="s">
        <v>233</v>
      </c>
      <c r="F228" s="25" t="s">
        <v>803</v>
      </c>
      <c r="G228" s="25" t="s">
        <v>418</v>
      </c>
      <c r="H228" s="22" t="s">
        <v>21</v>
      </c>
      <c r="I228" s="22" t="s">
        <v>130</v>
      </c>
      <c r="J228" s="26" t="s">
        <v>48</v>
      </c>
      <c r="K228" s="24" t="s">
        <v>49</v>
      </c>
    </row>
    <row r="229" ht="33.0" customHeight="1">
      <c r="A229" s="17" t="s">
        <v>804</v>
      </c>
      <c r="B229" s="18" t="s">
        <v>521</v>
      </c>
      <c r="C229" s="18">
        <v>7.69520125E8</v>
      </c>
      <c r="D229" s="19" t="s">
        <v>43</v>
      </c>
      <c r="E229" s="18" t="s">
        <v>805</v>
      </c>
      <c r="F229" s="19" t="s">
        <v>783</v>
      </c>
      <c r="G229" s="19" t="s">
        <v>806</v>
      </c>
      <c r="H229" s="20" t="s">
        <v>162</v>
      </c>
      <c r="I229" s="20" t="s">
        <v>201</v>
      </c>
      <c r="J229" s="21" t="s">
        <v>277</v>
      </c>
      <c r="K229" s="18" t="s">
        <v>807</v>
      </c>
    </row>
    <row r="230" ht="33.0" customHeight="1">
      <c r="A230" s="23" t="s">
        <v>798</v>
      </c>
      <c r="B230" s="24" t="s">
        <v>521</v>
      </c>
      <c r="C230" s="24">
        <v>7.00976351E8</v>
      </c>
      <c r="D230" s="25" t="s">
        <v>43</v>
      </c>
      <c r="E230" s="24" t="s">
        <v>808</v>
      </c>
      <c r="F230" s="25" t="s">
        <v>788</v>
      </c>
      <c r="G230" s="25" t="s">
        <v>418</v>
      </c>
      <c r="H230" s="22" t="s">
        <v>255</v>
      </c>
      <c r="I230" s="22" t="s">
        <v>485</v>
      </c>
      <c r="J230" s="31" t="s">
        <v>48</v>
      </c>
      <c r="K230" s="24" t="s">
        <v>49</v>
      </c>
    </row>
    <row r="231" ht="33.0" customHeight="1">
      <c r="A231" s="23" t="s">
        <v>798</v>
      </c>
      <c r="B231" s="24" t="s">
        <v>521</v>
      </c>
      <c r="C231" s="24">
        <v>7.57893352E8</v>
      </c>
      <c r="D231" s="25" t="s">
        <v>43</v>
      </c>
      <c r="E231" s="24" t="s">
        <v>808</v>
      </c>
      <c r="F231" s="25" t="s">
        <v>791</v>
      </c>
      <c r="G231" s="25" t="s">
        <v>418</v>
      </c>
      <c r="H231" s="22" t="s">
        <v>255</v>
      </c>
      <c r="I231" s="22" t="s">
        <v>485</v>
      </c>
      <c r="J231" s="26" t="s">
        <v>48</v>
      </c>
      <c r="K231" s="24" t="s">
        <v>49</v>
      </c>
    </row>
    <row r="232" ht="33.0" customHeight="1">
      <c r="A232" s="23" t="s">
        <v>798</v>
      </c>
      <c r="B232" s="24" t="s">
        <v>521</v>
      </c>
      <c r="C232" s="24">
        <v>7.88920442E8</v>
      </c>
      <c r="D232" s="25" t="s">
        <v>43</v>
      </c>
      <c r="E232" s="24" t="s">
        <v>808</v>
      </c>
      <c r="F232" s="25" t="s">
        <v>809</v>
      </c>
      <c r="G232" s="25" t="s">
        <v>418</v>
      </c>
      <c r="H232" s="22" t="s">
        <v>77</v>
      </c>
      <c r="I232" s="54" t="s">
        <v>201</v>
      </c>
      <c r="J232" s="31" t="s">
        <v>48</v>
      </c>
      <c r="K232" s="24" t="s">
        <v>49</v>
      </c>
    </row>
    <row r="233" ht="33.0" customHeight="1">
      <c r="A233" s="17" t="s">
        <v>810</v>
      </c>
      <c r="B233" s="18" t="s">
        <v>521</v>
      </c>
      <c r="C233" s="18">
        <v>7.05342003E8</v>
      </c>
      <c r="D233" s="19" t="s">
        <v>43</v>
      </c>
      <c r="E233" s="18" t="s">
        <v>811</v>
      </c>
      <c r="F233" s="19" t="s">
        <v>812</v>
      </c>
      <c r="G233" s="19" t="s">
        <v>813</v>
      </c>
      <c r="H233" s="22" t="s">
        <v>59</v>
      </c>
      <c r="I233" s="22" t="s">
        <v>22</v>
      </c>
      <c r="J233" s="21" t="s">
        <v>814</v>
      </c>
      <c r="K233" s="18" t="s">
        <v>815</v>
      </c>
    </row>
    <row r="234" ht="33.0" customHeight="1">
      <c r="A234" s="17" t="s">
        <v>816</v>
      </c>
      <c r="B234" s="18" t="s">
        <v>521</v>
      </c>
      <c r="C234" s="18">
        <v>7.83042564E8</v>
      </c>
      <c r="D234" s="19" t="s">
        <v>43</v>
      </c>
      <c r="E234" s="18" t="s">
        <v>817</v>
      </c>
      <c r="F234" s="19" t="s">
        <v>818</v>
      </c>
      <c r="G234" s="19" t="s">
        <v>819</v>
      </c>
      <c r="H234" s="22" t="s">
        <v>59</v>
      </c>
      <c r="I234" s="43" t="s">
        <v>22</v>
      </c>
      <c r="J234" s="21" t="s">
        <v>23</v>
      </c>
      <c r="K234" s="18" t="s">
        <v>528</v>
      </c>
    </row>
    <row r="235" ht="33.0" customHeight="1">
      <c r="A235" s="55" t="s">
        <v>820</v>
      </c>
      <c r="B235" s="51" t="s">
        <v>521</v>
      </c>
      <c r="C235" s="51">
        <v>7.30394118E8</v>
      </c>
      <c r="D235" s="56" t="s">
        <v>17</v>
      </c>
      <c r="E235" s="51" t="s">
        <v>489</v>
      </c>
      <c r="F235" s="56" t="s">
        <v>821</v>
      </c>
      <c r="G235" s="56" t="s">
        <v>615</v>
      </c>
      <c r="H235" s="57" t="s">
        <v>59</v>
      </c>
      <c r="I235" s="57" t="s">
        <v>22</v>
      </c>
      <c r="J235" s="51" t="s">
        <v>23</v>
      </c>
      <c r="K235" s="51" t="s">
        <v>822</v>
      </c>
    </row>
    <row r="236" ht="33.0" customHeight="1">
      <c r="A236" s="23" t="s">
        <v>823</v>
      </c>
      <c r="B236" s="24" t="s">
        <v>521</v>
      </c>
      <c r="C236" s="24">
        <v>7.22369924E8</v>
      </c>
      <c r="D236" s="25" t="s">
        <v>43</v>
      </c>
      <c r="E236" s="24" t="s">
        <v>800</v>
      </c>
      <c r="F236" s="25" t="s">
        <v>824</v>
      </c>
      <c r="G236" s="25" t="s">
        <v>418</v>
      </c>
      <c r="H236" s="22" t="s">
        <v>21</v>
      </c>
      <c r="I236" s="22" t="s">
        <v>130</v>
      </c>
      <c r="J236" s="26" t="s">
        <v>48</v>
      </c>
      <c r="K236" s="24" t="s">
        <v>49</v>
      </c>
    </row>
    <row r="237" ht="33.0" customHeight="1">
      <c r="A237" s="23" t="s">
        <v>823</v>
      </c>
      <c r="B237" s="24" t="s">
        <v>521</v>
      </c>
      <c r="C237" s="24">
        <v>7.54839658E8</v>
      </c>
      <c r="D237" s="25" t="s">
        <v>43</v>
      </c>
      <c r="E237" s="24" t="s">
        <v>800</v>
      </c>
      <c r="F237" s="25" t="s">
        <v>825</v>
      </c>
      <c r="G237" s="25" t="s">
        <v>418</v>
      </c>
      <c r="H237" s="22" t="s">
        <v>349</v>
      </c>
      <c r="I237" s="22" t="s">
        <v>97</v>
      </c>
      <c r="J237" s="26" t="s">
        <v>48</v>
      </c>
      <c r="K237" s="24" t="s">
        <v>49</v>
      </c>
    </row>
    <row r="238" ht="33.0" customHeight="1">
      <c r="A238" s="23" t="s">
        <v>798</v>
      </c>
      <c r="B238" s="24" t="s">
        <v>521</v>
      </c>
      <c r="C238" s="24">
        <v>7.6165696E8</v>
      </c>
      <c r="D238" s="25" t="s">
        <v>17</v>
      </c>
      <c r="E238" s="24" t="s">
        <v>746</v>
      </c>
      <c r="F238" s="25" t="s">
        <v>826</v>
      </c>
      <c r="G238" s="25" t="s">
        <v>827</v>
      </c>
      <c r="H238" s="58" t="s">
        <v>447</v>
      </c>
      <c r="I238" s="22" t="s">
        <v>130</v>
      </c>
      <c r="J238" s="26" t="s">
        <v>48</v>
      </c>
      <c r="K238" s="24" t="s">
        <v>49</v>
      </c>
    </row>
    <row r="239" ht="33.0" customHeight="1">
      <c r="A239" s="23" t="s">
        <v>828</v>
      </c>
      <c r="B239" s="24" t="s">
        <v>521</v>
      </c>
      <c r="C239" s="24">
        <v>7.90045521E8</v>
      </c>
      <c r="D239" s="25" t="s">
        <v>17</v>
      </c>
      <c r="E239" s="24" t="s">
        <v>746</v>
      </c>
      <c r="F239" s="25" t="s">
        <v>826</v>
      </c>
      <c r="G239" s="25" t="s">
        <v>829</v>
      </c>
      <c r="H239" s="22" t="s">
        <v>447</v>
      </c>
      <c r="I239" s="22" t="s">
        <v>130</v>
      </c>
      <c r="J239" s="26" t="s">
        <v>48</v>
      </c>
      <c r="K239" s="24" t="s">
        <v>49</v>
      </c>
    </row>
    <row r="240" ht="33.0" customHeight="1">
      <c r="A240" s="23" t="s">
        <v>798</v>
      </c>
      <c r="B240" s="24" t="s">
        <v>521</v>
      </c>
      <c r="C240" s="24">
        <v>7.54591533E8</v>
      </c>
      <c r="D240" s="25" t="s">
        <v>17</v>
      </c>
      <c r="E240" s="24" t="s">
        <v>830</v>
      </c>
      <c r="F240" s="25" t="s">
        <v>831</v>
      </c>
      <c r="G240" s="25" t="s">
        <v>418</v>
      </c>
      <c r="H240" s="22" t="s">
        <v>59</v>
      </c>
      <c r="I240" s="22" t="s">
        <v>22</v>
      </c>
      <c r="J240" s="26" t="s">
        <v>48</v>
      </c>
      <c r="K240" s="24" t="s">
        <v>49</v>
      </c>
    </row>
    <row r="241" ht="33.0" customHeight="1">
      <c r="A241" s="23" t="s">
        <v>798</v>
      </c>
      <c r="B241" s="59" t="s">
        <v>521</v>
      </c>
      <c r="C241" s="24">
        <v>7.21110956E8</v>
      </c>
      <c r="D241" s="25" t="s">
        <v>17</v>
      </c>
      <c r="E241" s="24" t="s">
        <v>779</v>
      </c>
      <c r="F241" s="25" t="s">
        <v>788</v>
      </c>
      <c r="G241" s="25" t="s">
        <v>418</v>
      </c>
      <c r="H241" s="22" t="s">
        <v>59</v>
      </c>
      <c r="I241" s="22" t="s">
        <v>22</v>
      </c>
      <c r="J241" s="26" t="s">
        <v>48</v>
      </c>
      <c r="K241" s="24" t="s">
        <v>49</v>
      </c>
    </row>
    <row r="242" ht="33.0" customHeight="1">
      <c r="A242" s="23" t="s">
        <v>798</v>
      </c>
      <c r="B242" s="24" t="s">
        <v>521</v>
      </c>
      <c r="C242" s="24">
        <v>7.9105812E8</v>
      </c>
      <c r="D242" s="25" t="s">
        <v>17</v>
      </c>
      <c r="E242" s="24" t="s">
        <v>779</v>
      </c>
      <c r="F242" s="25" t="s">
        <v>791</v>
      </c>
      <c r="G242" s="25" t="s">
        <v>418</v>
      </c>
      <c r="H242" s="22" t="s">
        <v>34</v>
      </c>
      <c r="I242" s="22" t="s">
        <v>201</v>
      </c>
      <c r="J242" s="26" t="s">
        <v>48</v>
      </c>
      <c r="K242" s="24" t="s">
        <v>49</v>
      </c>
    </row>
    <row r="243" ht="33.0" customHeight="1">
      <c r="A243" s="23" t="s">
        <v>798</v>
      </c>
      <c r="B243" s="24" t="s">
        <v>521</v>
      </c>
      <c r="C243" s="24">
        <v>7.37280682E8</v>
      </c>
      <c r="D243" s="25" t="s">
        <v>17</v>
      </c>
      <c r="E243" s="24" t="s">
        <v>832</v>
      </c>
      <c r="F243" s="25" t="s">
        <v>833</v>
      </c>
      <c r="G243" s="25" t="s">
        <v>834</v>
      </c>
      <c r="H243" s="42" t="s">
        <v>34</v>
      </c>
      <c r="I243" s="22" t="s">
        <v>201</v>
      </c>
      <c r="J243" s="26" t="s">
        <v>48</v>
      </c>
      <c r="K243" s="24" t="s">
        <v>49</v>
      </c>
    </row>
    <row r="244" ht="33.0" customHeight="1">
      <c r="A244" s="46" t="s">
        <v>798</v>
      </c>
      <c r="B244" s="24" t="s">
        <v>521</v>
      </c>
      <c r="C244" s="24">
        <v>7.70578335E8</v>
      </c>
      <c r="D244" s="24" t="s">
        <v>17</v>
      </c>
      <c r="E244" s="24" t="s">
        <v>779</v>
      </c>
      <c r="F244" s="25" t="s">
        <v>835</v>
      </c>
      <c r="G244" s="25" t="s">
        <v>418</v>
      </c>
      <c r="H244" s="22" t="s">
        <v>59</v>
      </c>
      <c r="I244" s="43" t="s">
        <v>22</v>
      </c>
      <c r="J244" s="26" t="s">
        <v>48</v>
      </c>
      <c r="K244" s="24" t="s">
        <v>49</v>
      </c>
    </row>
    <row r="245" ht="33.0" customHeight="1">
      <c r="A245" s="46" t="s">
        <v>836</v>
      </c>
      <c r="B245" s="24" t="s">
        <v>521</v>
      </c>
      <c r="C245" s="24">
        <v>7.09340545E8</v>
      </c>
      <c r="D245" s="24" t="s">
        <v>43</v>
      </c>
      <c r="E245" s="18" t="s">
        <v>18</v>
      </c>
      <c r="F245" s="19" t="s">
        <v>837</v>
      </c>
      <c r="G245" s="19" t="s">
        <v>418</v>
      </c>
      <c r="H245" s="20" t="s">
        <v>34</v>
      </c>
      <c r="I245" s="33" t="s">
        <v>97</v>
      </c>
      <c r="J245" s="21" t="s">
        <v>23</v>
      </c>
      <c r="K245" s="18" t="s">
        <v>838</v>
      </c>
    </row>
    <row r="246" ht="33.0" customHeight="1">
      <c r="A246" s="46" t="s">
        <v>823</v>
      </c>
      <c r="B246" s="24" t="s">
        <v>521</v>
      </c>
      <c r="C246" s="24">
        <v>7.9356429E8</v>
      </c>
      <c r="D246" s="24" t="s">
        <v>17</v>
      </c>
      <c r="E246" s="24" t="s">
        <v>274</v>
      </c>
      <c r="F246" s="25" t="s">
        <v>824</v>
      </c>
      <c r="G246" s="25" t="s">
        <v>418</v>
      </c>
      <c r="H246" s="42" t="s">
        <v>349</v>
      </c>
      <c r="I246" s="22" t="s">
        <v>22</v>
      </c>
      <c r="J246" s="26" t="s">
        <v>48</v>
      </c>
      <c r="K246" s="24" t="s">
        <v>49</v>
      </c>
    </row>
    <row r="247" ht="33.0" customHeight="1">
      <c r="A247" s="23" t="s">
        <v>839</v>
      </c>
      <c r="B247" s="24" t="s">
        <v>376</v>
      </c>
      <c r="C247" s="24">
        <v>7.22600536E8</v>
      </c>
      <c r="D247" s="25" t="s">
        <v>17</v>
      </c>
      <c r="E247" s="24" t="s">
        <v>800</v>
      </c>
      <c r="F247" s="25" t="s">
        <v>801</v>
      </c>
      <c r="G247" s="25" t="s">
        <v>422</v>
      </c>
      <c r="H247" s="22" t="s">
        <v>104</v>
      </c>
      <c r="I247" s="43" t="s">
        <v>22</v>
      </c>
      <c r="J247" s="26" t="s">
        <v>48</v>
      </c>
      <c r="K247" s="24" t="s">
        <v>393</v>
      </c>
    </row>
    <row r="248" ht="33.0" customHeight="1">
      <c r="A248" s="23" t="s">
        <v>840</v>
      </c>
      <c r="B248" s="24" t="s">
        <v>376</v>
      </c>
      <c r="C248" s="24">
        <v>7.52273971E8</v>
      </c>
      <c r="D248" s="25" t="s">
        <v>17</v>
      </c>
      <c r="E248" s="24" t="s">
        <v>800</v>
      </c>
      <c r="F248" s="25" t="s">
        <v>802</v>
      </c>
      <c r="G248" s="25" t="s">
        <v>418</v>
      </c>
      <c r="H248" s="22" t="s">
        <v>447</v>
      </c>
      <c r="I248" s="22" t="s">
        <v>130</v>
      </c>
      <c r="J248" s="26" t="s">
        <v>48</v>
      </c>
      <c r="K248" s="24" t="s">
        <v>49</v>
      </c>
    </row>
    <row r="249" ht="33.0" customHeight="1">
      <c r="A249" s="23" t="s">
        <v>828</v>
      </c>
      <c r="B249" s="24" t="s">
        <v>521</v>
      </c>
      <c r="C249" s="24">
        <v>7.50120203E8</v>
      </c>
      <c r="D249" s="25" t="s">
        <v>17</v>
      </c>
      <c r="E249" s="24" t="s">
        <v>841</v>
      </c>
      <c r="F249" s="25" t="s">
        <v>842</v>
      </c>
      <c r="G249" s="25" t="s">
        <v>418</v>
      </c>
      <c r="H249" s="22" t="s">
        <v>561</v>
      </c>
      <c r="I249" s="22" t="s">
        <v>97</v>
      </c>
      <c r="J249" s="31" t="s">
        <v>48</v>
      </c>
      <c r="K249" s="24" t="s">
        <v>49</v>
      </c>
    </row>
    <row r="250" ht="33.0" customHeight="1">
      <c r="A250" s="23" t="s">
        <v>843</v>
      </c>
      <c r="B250" s="24" t="s">
        <v>521</v>
      </c>
      <c r="C250" s="24">
        <v>7.77103915E8</v>
      </c>
      <c r="D250" s="25" t="s">
        <v>43</v>
      </c>
      <c r="E250" s="24" t="s">
        <v>844</v>
      </c>
      <c r="F250" s="25" t="s">
        <v>845</v>
      </c>
      <c r="G250" s="25" t="s">
        <v>418</v>
      </c>
      <c r="H250" s="22" t="s">
        <v>447</v>
      </c>
      <c r="I250" s="22" t="s">
        <v>130</v>
      </c>
      <c r="J250" s="26" t="s">
        <v>562</v>
      </c>
      <c r="K250" s="24" t="s">
        <v>211</v>
      </c>
    </row>
    <row r="251" ht="33.0" customHeight="1">
      <c r="A251" s="17" t="s">
        <v>846</v>
      </c>
      <c r="B251" s="18" t="s">
        <v>521</v>
      </c>
      <c r="C251" s="18" t="s">
        <v>847</v>
      </c>
      <c r="D251" s="19" t="s">
        <v>17</v>
      </c>
      <c r="E251" s="18" t="s">
        <v>848</v>
      </c>
      <c r="F251" s="19" t="s">
        <v>849</v>
      </c>
      <c r="G251" s="19" t="s">
        <v>667</v>
      </c>
      <c r="H251" s="22" t="s">
        <v>255</v>
      </c>
      <c r="I251" s="20" t="s">
        <v>201</v>
      </c>
      <c r="J251" s="32" t="s">
        <v>89</v>
      </c>
      <c r="K251" s="18" t="s">
        <v>850</v>
      </c>
    </row>
    <row r="252" ht="33.0" customHeight="1">
      <c r="A252" s="17" t="s">
        <v>851</v>
      </c>
      <c r="B252" s="18" t="s">
        <v>521</v>
      </c>
      <c r="C252" s="18" t="s">
        <v>852</v>
      </c>
      <c r="D252" s="19" t="s">
        <v>17</v>
      </c>
      <c r="E252" s="18" t="s">
        <v>779</v>
      </c>
      <c r="F252" s="19" t="s">
        <v>853</v>
      </c>
      <c r="G252" s="19" t="s">
        <v>556</v>
      </c>
      <c r="H252" s="20" t="s">
        <v>59</v>
      </c>
      <c r="I252" s="20" t="s">
        <v>22</v>
      </c>
      <c r="J252" s="21" t="s">
        <v>277</v>
      </c>
      <c r="K252" s="18" t="s">
        <v>523</v>
      </c>
    </row>
    <row r="253" ht="33.0" customHeight="1">
      <c r="A253" s="46" t="s">
        <v>854</v>
      </c>
      <c r="B253" s="24" t="s">
        <v>376</v>
      </c>
      <c r="C253" s="24" t="s">
        <v>855</v>
      </c>
      <c r="D253" s="25" t="s">
        <v>17</v>
      </c>
      <c r="E253" s="24" t="s">
        <v>746</v>
      </c>
      <c r="F253" s="25" t="s">
        <v>826</v>
      </c>
      <c r="G253" s="25" t="s">
        <v>856</v>
      </c>
      <c r="H253" s="22" t="s">
        <v>447</v>
      </c>
      <c r="I253" s="22" t="s">
        <v>130</v>
      </c>
      <c r="J253" s="26" t="s">
        <v>48</v>
      </c>
      <c r="K253" s="24" t="s">
        <v>857</v>
      </c>
    </row>
    <row r="254" ht="33.0" customHeight="1">
      <c r="A254" s="46" t="s">
        <v>858</v>
      </c>
      <c r="B254" s="24" t="s">
        <v>376</v>
      </c>
      <c r="C254" s="24" t="s">
        <v>859</v>
      </c>
      <c r="D254" s="25" t="s">
        <v>17</v>
      </c>
      <c r="E254" s="24" t="s">
        <v>746</v>
      </c>
      <c r="F254" s="25" t="s">
        <v>826</v>
      </c>
      <c r="G254" s="25" t="s">
        <v>860</v>
      </c>
      <c r="H254" s="22" t="s">
        <v>447</v>
      </c>
      <c r="I254" s="22" t="s">
        <v>130</v>
      </c>
      <c r="J254" s="26" t="s">
        <v>48</v>
      </c>
      <c r="K254" s="24" t="s">
        <v>861</v>
      </c>
    </row>
    <row r="255" ht="33.0" customHeight="1">
      <c r="A255" s="46" t="s">
        <v>862</v>
      </c>
      <c r="B255" s="24" t="s">
        <v>376</v>
      </c>
      <c r="C255" s="24" t="s">
        <v>863</v>
      </c>
      <c r="D255" s="25" t="s">
        <v>17</v>
      </c>
      <c r="E255" s="24" t="s">
        <v>746</v>
      </c>
      <c r="F255" s="25" t="s">
        <v>826</v>
      </c>
      <c r="G255" s="25" t="s">
        <v>827</v>
      </c>
      <c r="H255" s="22" t="s">
        <v>447</v>
      </c>
      <c r="I255" s="22" t="s">
        <v>130</v>
      </c>
      <c r="J255" s="26" t="s">
        <v>48</v>
      </c>
      <c r="K255" s="24" t="s">
        <v>857</v>
      </c>
    </row>
    <row r="256" ht="33.0" customHeight="1">
      <c r="A256" s="46" t="s">
        <v>864</v>
      </c>
      <c r="B256" s="24" t="s">
        <v>376</v>
      </c>
      <c r="C256" s="24" t="s">
        <v>865</v>
      </c>
      <c r="D256" s="25" t="s">
        <v>17</v>
      </c>
      <c r="E256" s="24" t="s">
        <v>746</v>
      </c>
      <c r="F256" s="25" t="s">
        <v>826</v>
      </c>
      <c r="G256" s="25" t="s">
        <v>829</v>
      </c>
      <c r="H256" s="22" t="s">
        <v>447</v>
      </c>
      <c r="I256" s="22" t="s">
        <v>130</v>
      </c>
      <c r="J256" s="26" t="s">
        <v>48</v>
      </c>
      <c r="K256" s="24" t="s">
        <v>866</v>
      </c>
    </row>
    <row r="257" ht="15.75" customHeight="1">
      <c r="A257" s="46" t="s">
        <v>798</v>
      </c>
      <c r="B257" s="24" t="s">
        <v>521</v>
      </c>
      <c r="C257" s="24">
        <v>7.84211966E8</v>
      </c>
      <c r="D257" s="25" t="s">
        <v>17</v>
      </c>
      <c r="E257" s="24" t="s">
        <v>746</v>
      </c>
      <c r="F257" s="19" t="s">
        <v>788</v>
      </c>
      <c r="G257" s="19" t="s">
        <v>418</v>
      </c>
      <c r="H257" s="20" t="s">
        <v>447</v>
      </c>
      <c r="I257" s="20" t="s">
        <v>130</v>
      </c>
      <c r="J257" s="21" t="s">
        <v>48</v>
      </c>
      <c r="K257" s="18" t="s">
        <v>49</v>
      </c>
    </row>
    <row r="258" ht="15.75" customHeight="1">
      <c r="A258" s="46" t="s">
        <v>798</v>
      </c>
      <c r="B258" s="24" t="s">
        <v>521</v>
      </c>
      <c r="C258" s="24">
        <v>7.52909412E8</v>
      </c>
      <c r="D258" s="25" t="s">
        <v>17</v>
      </c>
      <c r="E258" s="24" t="s">
        <v>746</v>
      </c>
      <c r="F258" s="19" t="s">
        <v>791</v>
      </c>
      <c r="G258" s="19" t="s">
        <v>418</v>
      </c>
      <c r="H258" s="20" t="s">
        <v>447</v>
      </c>
      <c r="I258" s="20" t="s">
        <v>130</v>
      </c>
      <c r="J258" s="21" t="s">
        <v>48</v>
      </c>
      <c r="K258" s="18" t="s">
        <v>49</v>
      </c>
    </row>
    <row r="259" ht="15.75" customHeight="1">
      <c r="A259" s="46" t="s">
        <v>867</v>
      </c>
      <c r="B259" s="24" t="s">
        <v>376</v>
      </c>
      <c r="C259" s="24" t="s">
        <v>868</v>
      </c>
      <c r="D259" s="25" t="s">
        <v>17</v>
      </c>
      <c r="E259" s="24" t="s">
        <v>832</v>
      </c>
      <c r="F259" s="25" t="s">
        <v>833</v>
      </c>
      <c r="G259" s="25" t="s">
        <v>422</v>
      </c>
      <c r="H259" s="22" t="s">
        <v>34</v>
      </c>
      <c r="I259" s="22" t="s">
        <v>201</v>
      </c>
      <c r="J259" s="26" t="s">
        <v>48</v>
      </c>
      <c r="K259" s="24" t="s">
        <v>393</v>
      </c>
    </row>
    <row r="260" ht="15.75" customHeight="1">
      <c r="A260" s="46" t="s">
        <v>869</v>
      </c>
      <c r="B260" s="24" t="s">
        <v>376</v>
      </c>
      <c r="C260" s="24" t="s">
        <v>870</v>
      </c>
      <c r="D260" s="25" t="s">
        <v>17</v>
      </c>
      <c r="E260" s="24" t="s">
        <v>832</v>
      </c>
      <c r="F260" s="25" t="s">
        <v>833</v>
      </c>
      <c r="G260" s="25" t="s">
        <v>834</v>
      </c>
      <c r="H260" s="22" t="s">
        <v>34</v>
      </c>
      <c r="I260" s="22" t="s">
        <v>201</v>
      </c>
      <c r="J260" s="26" t="s">
        <v>48</v>
      </c>
      <c r="K260" s="24" t="s">
        <v>861</v>
      </c>
    </row>
    <row r="261" ht="15.75" customHeight="1">
      <c r="A261" s="46" t="s">
        <v>839</v>
      </c>
      <c r="B261" s="24" t="s">
        <v>376</v>
      </c>
      <c r="C261" s="24">
        <v>7.25691377E8</v>
      </c>
      <c r="D261" s="25" t="s">
        <v>43</v>
      </c>
      <c r="E261" s="24" t="s">
        <v>800</v>
      </c>
      <c r="F261" s="25" t="s">
        <v>801</v>
      </c>
      <c r="G261" s="25" t="s">
        <v>422</v>
      </c>
      <c r="H261" s="22" t="s">
        <v>21</v>
      </c>
      <c r="I261" s="22" t="s">
        <v>130</v>
      </c>
      <c r="J261" s="26" t="s">
        <v>48</v>
      </c>
      <c r="K261" s="24" t="s">
        <v>393</v>
      </c>
    </row>
    <row r="262" ht="15.75" customHeight="1">
      <c r="A262" s="23" t="s">
        <v>871</v>
      </c>
      <c r="B262" s="24" t="s">
        <v>376</v>
      </c>
      <c r="C262" s="24" t="s">
        <v>872</v>
      </c>
      <c r="D262" s="25" t="s">
        <v>17</v>
      </c>
      <c r="E262" s="24" t="s">
        <v>873</v>
      </c>
      <c r="F262" s="25" t="s">
        <v>874</v>
      </c>
      <c r="G262" s="25" t="s">
        <v>875</v>
      </c>
      <c r="H262" s="22" t="s">
        <v>316</v>
      </c>
      <c r="I262" s="22" t="s">
        <v>22</v>
      </c>
      <c r="J262" s="26" t="s">
        <v>48</v>
      </c>
      <c r="K262" s="24" t="s">
        <v>876</v>
      </c>
    </row>
    <row r="263" ht="15.75" customHeight="1">
      <c r="A263" s="17" t="s">
        <v>823</v>
      </c>
      <c r="B263" s="18" t="s">
        <v>521</v>
      </c>
      <c r="C263" s="18">
        <v>7.40285177E8</v>
      </c>
      <c r="D263" s="19" t="s">
        <v>17</v>
      </c>
      <c r="E263" s="18" t="s">
        <v>873</v>
      </c>
      <c r="F263" s="19" t="s">
        <v>824</v>
      </c>
      <c r="G263" s="19" t="s">
        <v>418</v>
      </c>
      <c r="H263" s="20" t="s">
        <v>316</v>
      </c>
      <c r="I263" s="20" t="s">
        <v>22</v>
      </c>
      <c r="J263" s="21" t="s">
        <v>48</v>
      </c>
      <c r="K263" s="18" t="s">
        <v>49</v>
      </c>
    </row>
    <row r="264" ht="15.75" customHeight="1">
      <c r="A264" s="46" t="s">
        <v>877</v>
      </c>
      <c r="B264" s="24" t="s">
        <v>376</v>
      </c>
      <c r="C264" s="24" t="s">
        <v>878</v>
      </c>
      <c r="D264" s="24" t="s">
        <v>17</v>
      </c>
      <c r="E264" s="24" t="s">
        <v>101</v>
      </c>
      <c r="F264" s="25" t="s">
        <v>879</v>
      </c>
      <c r="G264" s="25" t="s">
        <v>422</v>
      </c>
      <c r="H264" s="22" t="s">
        <v>104</v>
      </c>
      <c r="I264" s="22" t="s">
        <v>22</v>
      </c>
      <c r="J264" s="26" t="s">
        <v>48</v>
      </c>
      <c r="K264" s="24" t="s">
        <v>393</v>
      </c>
    </row>
    <row r="265" ht="15.75" customHeight="1">
      <c r="A265" s="23" t="s">
        <v>880</v>
      </c>
      <c r="B265" s="24" t="s">
        <v>376</v>
      </c>
      <c r="C265" s="24">
        <v>7.7711497E8</v>
      </c>
      <c r="D265" s="25" t="s">
        <v>43</v>
      </c>
      <c r="E265" s="24" t="s">
        <v>811</v>
      </c>
      <c r="F265" s="25" t="s">
        <v>812</v>
      </c>
      <c r="G265" s="25" t="s">
        <v>881</v>
      </c>
      <c r="H265" s="22" t="s">
        <v>77</v>
      </c>
      <c r="I265" s="43" t="s">
        <v>201</v>
      </c>
      <c r="J265" s="26" t="s">
        <v>48</v>
      </c>
      <c r="K265" s="24" t="s">
        <v>423</v>
      </c>
    </row>
    <row r="266" ht="15.75" customHeight="1">
      <c r="A266" s="17" t="s">
        <v>828</v>
      </c>
      <c r="B266" s="18" t="s">
        <v>521</v>
      </c>
      <c r="C266" s="18">
        <v>7.83111226E8</v>
      </c>
      <c r="D266" s="19" t="s">
        <v>43</v>
      </c>
      <c r="E266" s="18" t="s">
        <v>811</v>
      </c>
      <c r="F266" s="19" t="s">
        <v>842</v>
      </c>
      <c r="G266" s="19" t="s">
        <v>418</v>
      </c>
      <c r="H266" s="22" t="s">
        <v>349</v>
      </c>
      <c r="I266" s="22" t="s">
        <v>97</v>
      </c>
      <c r="J266" s="21" t="s">
        <v>48</v>
      </c>
      <c r="K266" s="18" t="s">
        <v>49</v>
      </c>
    </row>
    <row r="267" ht="15.75" customHeight="1">
      <c r="A267" s="23" t="s">
        <v>882</v>
      </c>
      <c r="B267" s="24" t="s">
        <v>376</v>
      </c>
      <c r="C267" s="24" t="s">
        <v>883</v>
      </c>
      <c r="D267" s="25" t="s">
        <v>17</v>
      </c>
      <c r="E267" s="24" t="s">
        <v>746</v>
      </c>
      <c r="F267" s="25" t="s">
        <v>826</v>
      </c>
      <c r="G267" s="25" t="s">
        <v>422</v>
      </c>
      <c r="H267" s="22" t="s">
        <v>447</v>
      </c>
      <c r="I267" s="22" t="s">
        <v>130</v>
      </c>
      <c r="J267" s="26" t="s">
        <v>48</v>
      </c>
      <c r="K267" s="24" t="s">
        <v>393</v>
      </c>
    </row>
    <row r="268" ht="15.75" customHeight="1">
      <c r="A268" s="46" t="s">
        <v>884</v>
      </c>
      <c r="B268" s="24" t="s">
        <v>376</v>
      </c>
      <c r="C268" s="24">
        <v>7.67203712E8</v>
      </c>
      <c r="D268" s="24" t="s">
        <v>43</v>
      </c>
      <c r="E268" s="24" t="s">
        <v>532</v>
      </c>
      <c r="F268" s="25" t="s">
        <v>885</v>
      </c>
      <c r="G268" s="25" t="s">
        <v>418</v>
      </c>
      <c r="H268" s="22" t="s">
        <v>129</v>
      </c>
      <c r="I268" s="22" t="s">
        <v>22</v>
      </c>
      <c r="J268" s="26" t="s">
        <v>48</v>
      </c>
      <c r="K268" s="24" t="s">
        <v>49</v>
      </c>
    </row>
    <row r="269" ht="15.75" customHeight="1">
      <c r="A269" s="46" t="s">
        <v>843</v>
      </c>
      <c r="B269" s="24" t="s">
        <v>521</v>
      </c>
      <c r="C269" s="24">
        <v>7.35173634E8</v>
      </c>
      <c r="D269" s="24" t="s">
        <v>43</v>
      </c>
      <c r="E269" s="18" t="s">
        <v>844</v>
      </c>
      <c r="F269" s="19" t="s">
        <v>886</v>
      </c>
      <c r="G269" s="19" t="s">
        <v>887</v>
      </c>
      <c r="H269" s="20" t="s">
        <v>163</v>
      </c>
      <c r="I269" s="20" t="s">
        <v>22</v>
      </c>
      <c r="J269" s="21" t="s">
        <v>23</v>
      </c>
      <c r="K269" s="18" t="s">
        <v>528</v>
      </c>
    </row>
    <row r="270" ht="15.75" customHeight="1">
      <c r="A270" s="23" t="s">
        <v>888</v>
      </c>
      <c r="B270" s="24" t="s">
        <v>376</v>
      </c>
      <c r="C270" s="24" t="s">
        <v>889</v>
      </c>
      <c r="D270" s="25" t="s">
        <v>17</v>
      </c>
      <c r="E270" s="24" t="s">
        <v>890</v>
      </c>
      <c r="F270" s="25" t="s">
        <v>891</v>
      </c>
      <c r="G270" s="25" t="s">
        <v>834</v>
      </c>
      <c r="H270" s="22" t="s">
        <v>349</v>
      </c>
      <c r="I270" s="43" t="s">
        <v>97</v>
      </c>
      <c r="J270" s="26" t="s">
        <v>48</v>
      </c>
      <c r="K270" s="24" t="s">
        <v>892</v>
      </c>
    </row>
    <row r="271" ht="15.75" customHeight="1">
      <c r="A271" s="23" t="s">
        <v>854</v>
      </c>
      <c r="B271" s="24" t="s">
        <v>376</v>
      </c>
      <c r="C271" s="24" t="s">
        <v>855</v>
      </c>
      <c r="D271" s="25" t="s">
        <v>43</v>
      </c>
      <c r="E271" s="24" t="s">
        <v>893</v>
      </c>
      <c r="F271" s="25" t="s">
        <v>894</v>
      </c>
      <c r="G271" s="25" t="s">
        <v>856</v>
      </c>
      <c r="H271" s="22" t="s">
        <v>349</v>
      </c>
      <c r="I271" s="22" t="s">
        <v>97</v>
      </c>
      <c r="J271" s="26" t="s">
        <v>48</v>
      </c>
      <c r="K271" s="24" t="s">
        <v>857</v>
      </c>
    </row>
    <row r="272" ht="15.75" customHeight="1">
      <c r="A272" s="23" t="s">
        <v>858</v>
      </c>
      <c r="B272" s="24" t="s">
        <v>376</v>
      </c>
      <c r="C272" s="24" t="s">
        <v>859</v>
      </c>
      <c r="D272" s="25" t="s">
        <v>43</v>
      </c>
      <c r="E272" s="24" t="s">
        <v>893</v>
      </c>
      <c r="F272" s="25" t="s">
        <v>894</v>
      </c>
      <c r="G272" s="25" t="s">
        <v>860</v>
      </c>
      <c r="H272" s="22" t="s">
        <v>349</v>
      </c>
      <c r="I272" s="22" t="s">
        <v>97</v>
      </c>
      <c r="J272" s="26" t="s">
        <v>48</v>
      </c>
      <c r="K272" s="24" t="s">
        <v>861</v>
      </c>
    </row>
    <row r="273" ht="15.75" customHeight="1">
      <c r="A273" s="23" t="s">
        <v>862</v>
      </c>
      <c r="B273" s="24" t="s">
        <v>376</v>
      </c>
      <c r="C273" s="24" t="s">
        <v>863</v>
      </c>
      <c r="D273" s="25" t="s">
        <v>43</v>
      </c>
      <c r="E273" s="24" t="s">
        <v>682</v>
      </c>
      <c r="F273" s="25" t="s">
        <v>683</v>
      </c>
      <c r="G273" s="25" t="s">
        <v>382</v>
      </c>
      <c r="H273" s="42" t="s">
        <v>118</v>
      </c>
      <c r="I273" s="43" t="s">
        <v>201</v>
      </c>
      <c r="J273" s="26" t="s">
        <v>48</v>
      </c>
      <c r="K273" s="24" t="s">
        <v>857</v>
      </c>
    </row>
    <row r="274" ht="15.75" customHeight="1">
      <c r="A274" s="23" t="s">
        <v>864</v>
      </c>
      <c r="B274" s="24" t="s">
        <v>376</v>
      </c>
      <c r="C274" s="24" t="s">
        <v>865</v>
      </c>
      <c r="D274" s="25" t="s">
        <v>43</v>
      </c>
      <c r="E274" s="24" t="s">
        <v>893</v>
      </c>
      <c r="F274" s="25" t="s">
        <v>894</v>
      </c>
      <c r="G274" s="25" t="s">
        <v>829</v>
      </c>
      <c r="H274" s="22" t="s">
        <v>349</v>
      </c>
      <c r="I274" s="22" t="s">
        <v>97</v>
      </c>
      <c r="J274" s="60" t="s">
        <v>48</v>
      </c>
      <c r="K274" s="24" t="s">
        <v>866</v>
      </c>
    </row>
    <row r="275" ht="15.75" customHeight="1">
      <c r="A275" s="17" t="s">
        <v>895</v>
      </c>
      <c r="B275" s="18" t="s">
        <v>376</v>
      </c>
      <c r="C275" s="18">
        <v>7.94203519E8</v>
      </c>
      <c r="D275" s="19" t="s">
        <v>43</v>
      </c>
      <c r="E275" s="18" t="s">
        <v>482</v>
      </c>
      <c r="F275" s="19" t="s">
        <v>896</v>
      </c>
      <c r="G275" s="19" t="s">
        <v>897</v>
      </c>
      <c r="H275" s="22" t="s">
        <v>34</v>
      </c>
      <c r="I275" s="22" t="s">
        <v>130</v>
      </c>
      <c r="J275" s="21" t="s">
        <v>23</v>
      </c>
      <c r="K275" s="18" t="s">
        <v>898</v>
      </c>
    </row>
    <row r="276" ht="15.75" customHeight="1">
      <c r="A276" s="17" t="s">
        <v>899</v>
      </c>
      <c r="B276" s="18" t="s">
        <v>376</v>
      </c>
      <c r="C276" s="18">
        <v>7.13374217E8</v>
      </c>
      <c r="D276" s="19" t="s">
        <v>43</v>
      </c>
      <c r="E276" s="21" t="s">
        <v>431</v>
      </c>
      <c r="F276" s="19" t="s">
        <v>432</v>
      </c>
      <c r="G276" s="19" t="s">
        <v>379</v>
      </c>
      <c r="H276" s="20" t="s">
        <v>433</v>
      </c>
      <c r="I276" s="20" t="s">
        <v>22</v>
      </c>
      <c r="J276" s="21" t="s">
        <v>23</v>
      </c>
      <c r="K276" s="18" t="s">
        <v>24</v>
      </c>
    </row>
    <row r="277" ht="15.75" customHeight="1">
      <c r="A277" s="23" t="s">
        <v>869</v>
      </c>
      <c r="B277" s="24" t="s">
        <v>376</v>
      </c>
      <c r="C277" s="24" t="s">
        <v>870</v>
      </c>
      <c r="D277" s="25" t="s">
        <v>17</v>
      </c>
      <c r="E277" s="24" t="s">
        <v>900</v>
      </c>
      <c r="F277" s="25" t="s">
        <v>901</v>
      </c>
      <c r="G277" s="25" t="s">
        <v>834</v>
      </c>
      <c r="H277" s="22" t="s">
        <v>34</v>
      </c>
      <c r="I277" s="22" t="s">
        <v>201</v>
      </c>
      <c r="J277" s="26" t="s">
        <v>48</v>
      </c>
      <c r="K277" s="24" t="s">
        <v>861</v>
      </c>
    </row>
    <row r="278" ht="15.75" customHeight="1">
      <c r="A278" s="17" t="s">
        <v>839</v>
      </c>
      <c r="B278" s="18" t="s">
        <v>376</v>
      </c>
      <c r="C278" s="18">
        <v>7.63056168E8</v>
      </c>
      <c r="D278" s="19" t="s">
        <v>17</v>
      </c>
      <c r="E278" s="18" t="s">
        <v>800</v>
      </c>
      <c r="F278" s="19" t="s">
        <v>801</v>
      </c>
      <c r="G278" s="19" t="s">
        <v>422</v>
      </c>
      <c r="H278" s="20" t="s">
        <v>34</v>
      </c>
      <c r="I278" s="20" t="s">
        <v>201</v>
      </c>
      <c r="J278" s="21" t="s">
        <v>48</v>
      </c>
      <c r="K278" s="18" t="s">
        <v>393</v>
      </c>
    </row>
    <row r="279" ht="15.75" customHeight="1">
      <c r="A279" s="17" t="s">
        <v>840</v>
      </c>
      <c r="B279" s="18" t="s">
        <v>376</v>
      </c>
      <c r="C279" s="18">
        <v>7.65075859E8</v>
      </c>
      <c r="D279" s="19" t="s">
        <v>17</v>
      </c>
      <c r="E279" s="24" t="s">
        <v>902</v>
      </c>
      <c r="F279" s="25" t="s">
        <v>903</v>
      </c>
      <c r="G279" s="19" t="s">
        <v>418</v>
      </c>
      <c r="H279" s="22" t="s">
        <v>447</v>
      </c>
      <c r="I279" s="22" t="s">
        <v>130</v>
      </c>
      <c r="J279" s="21" t="s">
        <v>48</v>
      </c>
      <c r="K279" s="18" t="s">
        <v>49</v>
      </c>
    </row>
    <row r="280" ht="15.75" customHeight="1">
      <c r="A280" s="23" t="s">
        <v>871</v>
      </c>
      <c r="B280" s="24" t="s">
        <v>376</v>
      </c>
      <c r="C280" s="24" t="s">
        <v>872</v>
      </c>
      <c r="D280" s="25" t="s">
        <v>17</v>
      </c>
      <c r="E280" s="24" t="s">
        <v>873</v>
      </c>
      <c r="F280" s="25" t="s">
        <v>874</v>
      </c>
      <c r="G280" s="25" t="s">
        <v>875</v>
      </c>
      <c r="H280" s="22" t="s">
        <v>34</v>
      </c>
      <c r="I280" s="22" t="s">
        <v>130</v>
      </c>
      <c r="J280" s="26" t="s">
        <v>48</v>
      </c>
      <c r="K280" s="24" t="s">
        <v>876</v>
      </c>
    </row>
    <row r="281" ht="15.75" customHeight="1">
      <c r="A281" s="23" t="s">
        <v>904</v>
      </c>
      <c r="B281" s="24" t="s">
        <v>905</v>
      </c>
      <c r="C281" s="24" t="s">
        <v>906</v>
      </c>
      <c r="D281" s="25" t="s">
        <v>17</v>
      </c>
      <c r="E281" s="24" t="s">
        <v>890</v>
      </c>
      <c r="F281" s="25" t="s">
        <v>891</v>
      </c>
      <c r="G281" s="25" t="s">
        <v>654</v>
      </c>
      <c r="H281" s="22" t="s">
        <v>210</v>
      </c>
      <c r="I281" s="22" t="s">
        <v>130</v>
      </c>
      <c r="J281" s="26" t="s">
        <v>48</v>
      </c>
      <c r="K281" s="24" t="s">
        <v>907</v>
      </c>
    </row>
    <row r="282" ht="15.75" customHeight="1">
      <c r="A282" s="23" t="s">
        <v>877</v>
      </c>
      <c r="B282" s="24" t="s">
        <v>376</v>
      </c>
      <c r="C282" s="24" t="s">
        <v>878</v>
      </c>
      <c r="D282" s="25" t="s">
        <v>17</v>
      </c>
      <c r="E282" s="24" t="s">
        <v>101</v>
      </c>
      <c r="F282" s="25" t="s">
        <v>879</v>
      </c>
      <c r="G282" s="25" t="s">
        <v>422</v>
      </c>
      <c r="H282" s="22" t="s">
        <v>316</v>
      </c>
      <c r="I282" s="22" t="s">
        <v>201</v>
      </c>
      <c r="J282" s="26" t="s">
        <v>48</v>
      </c>
      <c r="K282" s="24" t="s">
        <v>393</v>
      </c>
    </row>
    <row r="283" ht="15.75" customHeight="1">
      <c r="A283" s="23" t="s">
        <v>908</v>
      </c>
      <c r="B283" s="24" t="s">
        <v>905</v>
      </c>
      <c r="C283" s="24" t="s">
        <v>909</v>
      </c>
      <c r="D283" s="25" t="s">
        <v>17</v>
      </c>
      <c r="E283" s="24" t="s">
        <v>682</v>
      </c>
      <c r="F283" s="25" t="s">
        <v>683</v>
      </c>
      <c r="G283" s="25" t="s">
        <v>382</v>
      </c>
      <c r="H283" s="22" t="s">
        <v>118</v>
      </c>
      <c r="I283" s="22" t="s">
        <v>201</v>
      </c>
      <c r="J283" s="26" t="s">
        <v>48</v>
      </c>
      <c r="K283" s="24" t="s">
        <v>383</v>
      </c>
    </row>
    <row r="284" ht="15.75" customHeight="1">
      <c r="A284" s="17" t="s">
        <v>910</v>
      </c>
      <c r="B284" s="18" t="s">
        <v>376</v>
      </c>
      <c r="C284" s="18">
        <v>7.7847975E8</v>
      </c>
      <c r="D284" s="19" t="s">
        <v>43</v>
      </c>
      <c r="E284" s="18" t="s">
        <v>532</v>
      </c>
      <c r="F284" s="19" t="s">
        <v>911</v>
      </c>
      <c r="G284" s="19" t="s">
        <v>379</v>
      </c>
      <c r="H284" s="35" t="s">
        <v>129</v>
      </c>
      <c r="I284" s="20" t="s">
        <v>22</v>
      </c>
      <c r="J284" s="21" t="s">
        <v>23</v>
      </c>
      <c r="K284" s="18" t="s">
        <v>24</v>
      </c>
    </row>
    <row r="285" ht="15.75" customHeight="1">
      <c r="A285" s="23" t="s">
        <v>912</v>
      </c>
      <c r="B285" s="24" t="s">
        <v>905</v>
      </c>
      <c r="C285" s="24" t="s">
        <v>913</v>
      </c>
      <c r="D285" s="25" t="s">
        <v>17</v>
      </c>
      <c r="E285" s="24" t="s">
        <v>900</v>
      </c>
      <c r="F285" s="25" t="s">
        <v>901</v>
      </c>
      <c r="G285" s="25" t="s">
        <v>382</v>
      </c>
      <c r="H285" s="22" t="s">
        <v>21</v>
      </c>
      <c r="I285" s="43" t="s">
        <v>130</v>
      </c>
      <c r="J285" s="26" t="s">
        <v>48</v>
      </c>
      <c r="K285" s="24" t="s">
        <v>383</v>
      </c>
    </row>
    <row r="286" ht="15.75" customHeight="1">
      <c r="A286" s="23" t="s">
        <v>914</v>
      </c>
      <c r="B286" s="24" t="s">
        <v>905</v>
      </c>
      <c r="C286" s="24" t="s">
        <v>664</v>
      </c>
      <c r="D286" s="25" t="s">
        <v>17</v>
      </c>
      <c r="E286" s="24" t="s">
        <v>746</v>
      </c>
      <c r="F286" s="25" t="s">
        <v>826</v>
      </c>
      <c r="G286" s="25" t="s">
        <v>915</v>
      </c>
      <c r="H286" s="22" t="s">
        <v>447</v>
      </c>
      <c r="I286" s="22" t="s">
        <v>130</v>
      </c>
      <c r="J286" s="26" t="s">
        <v>48</v>
      </c>
      <c r="K286" s="24" t="s">
        <v>916</v>
      </c>
    </row>
    <row r="287" ht="15.75" customHeight="1">
      <c r="A287" s="23" t="s">
        <v>917</v>
      </c>
      <c r="B287" s="24" t="s">
        <v>905</v>
      </c>
      <c r="C287" s="24" t="s">
        <v>918</v>
      </c>
      <c r="D287" s="25" t="s">
        <v>17</v>
      </c>
      <c r="E287" s="24" t="s">
        <v>902</v>
      </c>
      <c r="F287" s="25" t="s">
        <v>903</v>
      </c>
      <c r="G287" s="25" t="s">
        <v>654</v>
      </c>
      <c r="H287" s="22" t="s">
        <v>359</v>
      </c>
      <c r="I287" s="22" t="s">
        <v>130</v>
      </c>
      <c r="J287" s="26" t="s">
        <v>48</v>
      </c>
      <c r="K287" s="24" t="s">
        <v>907</v>
      </c>
    </row>
    <row r="288" ht="15.75" customHeight="1">
      <c r="A288" s="23" t="s">
        <v>919</v>
      </c>
      <c r="B288" s="24" t="s">
        <v>905</v>
      </c>
      <c r="C288" s="24" t="s">
        <v>920</v>
      </c>
      <c r="D288" s="25" t="s">
        <v>17</v>
      </c>
      <c r="E288" s="24" t="s">
        <v>902</v>
      </c>
      <c r="F288" s="25" t="s">
        <v>921</v>
      </c>
      <c r="G288" s="25" t="s">
        <v>922</v>
      </c>
      <c r="H288" s="22" t="s">
        <v>359</v>
      </c>
      <c r="I288" s="22" t="s">
        <v>130</v>
      </c>
      <c r="J288" s="26" t="s">
        <v>89</v>
      </c>
      <c r="K288" s="24" t="s">
        <v>923</v>
      </c>
    </row>
    <row r="289" ht="15.75" customHeight="1">
      <c r="A289" s="17" t="s">
        <v>862</v>
      </c>
      <c r="B289" s="18" t="s">
        <v>376</v>
      </c>
      <c r="C289" s="18" t="s">
        <v>863</v>
      </c>
      <c r="D289" s="19" t="s">
        <v>17</v>
      </c>
      <c r="E289" s="18" t="s">
        <v>902</v>
      </c>
      <c r="F289" s="19" t="s">
        <v>921</v>
      </c>
      <c r="G289" s="19" t="s">
        <v>827</v>
      </c>
      <c r="H289" s="20" t="s">
        <v>359</v>
      </c>
      <c r="I289" s="20" t="s">
        <v>130</v>
      </c>
      <c r="J289" s="21" t="s">
        <v>48</v>
      </c>
      <c r="K289" s="18" t="s">
        <v>857</v>
      </c>
    </row>
    <row r="290" ht="15.75" customHeight="1">
      <c r="A290" s="17" t="s">
        <v>864</v>
      </c>
      <c r="B290" s="18" t="s">
        <v>376</v>
      </c>
      <c r="C290" s="18" t="s">
        <v>865</v>
      </c>
      <c r="D290" s="19" t="s">
        <v>17</v>
      </c>
      <c r="E290" s="18" t="s">
        <v>902</v>
      </c>
      <c r="F290" s="19" t="s">
        <v>921</v>
      </c>
      <c r="G290" s="19" t="s">
        <v>829</v>
      </c>
      <c r="H290" s="20" t="s">
        <v>359</v>
      </c>
      <c r="I290" s="20" t="s">
        <v>130</v>
      </c>
      <c r="J290" s="21" t="s">
        <v>48</v>
      </c>
      <c r="K290" s="18" t="s">
        <v>866</v>
      </c>
    </row>
    <row r="291" ht="15.75" customHeight="1">
      <c r="A291" s="17" t="s">
        <v>924</v>
      </c>
      <c r="B291" s="18" t="s">
        <v>376</v>
      </c>
      <c r="C291" s="18" t="s">
        <v>925</v>
      </c>
      <c r="D291" s="25" t="s">
        <v>43</v>
      </c>
      <c r="E291" s="24" t="s">
        <v>926</v>
      </c>
      <c r="F291" s="25" t="s">
        <v>927</v>
      </c>
      <c r="G291" s="25" t="s">
        <v>928</v>
      </c>
      <c r="H291" s="42" t="s">
        <v>210</v>
      </c>
      <c r="I291" s="22" t="s">
        <v>130</v>
      </c>
      <c r="J291" s="32" t="s">
        <v>89</v>
      </c>
      <c r="K291" s="18" t="s">
        <v>24</v>
      </c>
    </row>
    <row r="292" ht="15.75" customHeight="1">
      <c r="A292" s="23" t="s">
        <v>929</v>
      </c>
      <c r="B292" s="24" t="s">
        <v>905</v>
      </c>
      <c r="C292" s="24" t="s">
        <v>688</v>
      </c>
      <c r="D292" s="25" t="s">
        <v>17</v>
      </c>
      <c r="E292" s="24" t="s">
        <v>38</v>
      </c>
      <c r="F292" s="25" t="s">
        <v>930</v>
      </c>
      <c r="G292" s="25" t="s">
        <v>931</v>
      </c>
      <c r="H292" s="22" t="s">
        <v>932</v>
      </c>
      <c r="I292" s="22" t="s">
        <v>22</v>
      </c>
      <c r="J292" s="26" t="s">
        <v>48</v>
      </c>
      <c r="K292" s="24" t="s">
        <v>916</v>
      </c>
    </row>
    <row r="293" ht="15.75" customHeight="1">
      <c r="A293" s="17" t="s">
        <v>867</v>
      </c>
      <c r="B293" s="18" t="s">
        <v>376</v>
      </c>
      <c r="C293" s="18" t="s">
        <v>868</v>
      </c>
      <c r="D293" s="19" t="s">
        <v>17</v>
      </c>
      <c r="E293" s="45" t="s">
        <v>832</v>
      </c>
      <c r="F293" s="19" t="s">
        <v>833</v>
      </c>
      <c r="G293" s="19" t="s">
        <v>422</v>
      </c>
      <c r="H293" s="20" t="s">
        <v>932</v>
      </c>
      <c r="I293" s="20" t="s">
        <v>22</v>
      </c>
      <c r="J293" s="21" t="s">
        <v>48</v>
      </c>
      <c r="K293" s="18" t="s">
        <v>393</v>
      </c>
    </row>
    <row r="294" ht="15.75" customHeight="1">
      <c r="A294" s="17" t="s">
        <v>869</v>
      </c>
      <c r="B294" s="18" t="s">
        <v>376</v>
      </c>
      <c r="C294" s="18" t="s">
        <v>870</v>
      </c>
      <c r="D294" s="19" t="s">
        <v>17</v>
      </c>
      <c r="E294" s="18" t="s">
        <v>832</v>
      </c>
      <c r="F294" s="19" t="s">
        <v>833</v>
      </c>
      <c r="G294" s="19" t="s">
        <v>834</v>
      </c>
      <c r="H294" s="20" t="s">
        <v>932</v>
      </c>
      <c r="I294" s="20" t="s">
        <v>22</v>
      </c>
      <c r="J294" s="21" t="s">
        <v>48</v>
      </c>
      <c r="K294" s="18" t="s">
        <v>861</v>
      </c>
    </row>
    <row r="295" ht="15.75" customHeight="1">
      <c r="A295" s="17" t="s">
        <v>933</v>
      </c>
      <c r="B295" s="18" t="s">
        <v>376</v>
      </c>
      <c r="C295" s="18" t="s">
        <v>934</v>
      </c>
      <c r="D295" s="19" t="s">
        <v>17</v>
      </c>
      <c r="E295" s="45" t="s">
        <v>873</v>
      </c>
      <c r="F295" s="19" t="s">
        <v>874</v>
      </c>
      <c r="G295" s="19" t="s">
        <v>379</v>
      </c>
      <c r="H295" s="20" t="s">
        <v>34</v>
      </c>
      <c r="I295" s="20" t="s">
        <v>130</v>
      </c>
      <c r="J295" s="21" t="s">
        <v>23</v>
      </c>
      <c r="K295" s="18" t="s">
        <v>24</v>
      </c>
    </row>
    <row r="296" ht="15.75" customHeight="1">
      <c r="A296" s="23" t="s">
        <v>935</v>
      </c>
      <c r="B296" s="24" t="s">
        <v>905</v>
      </c>
      <c r="C296" s="24" t="s">
        <v>936</v>
      </c>
      <c r="D296" s="25" t="s">
        <v>17</v>
      </c>
      <c r="E296" s="24" t="s">
        <v>902</v>
      </c>
      <c r="F296" s="25" t="s">
        <v>903</v>
      </c>
      <c r="G296" s="25" t="s">
        <v>937</v>
      </c>
      <c r="H296" s="22" t="s">
        <v>104</v>
      </c>
      <c r="I296" s="22" t="s">
        <v>201</v>
      </c>
      <c r="J296" s="26" t="s">
        <v>48</v>
      </c>
      <c r="K296" s="24" t="s">
        <v>907</v>
      </c>
    </row>
    <row r="297" ht="15.75" customHeight="1">
      <c r="A297" s="23" t="s">
        <v>938</v>
      </c>
      <c r="B297" s="24" t="s">
        <v>905</v>
      </c>
      <c r="C297" s="24" t="s">
        <v>939</v>
      </c>
      <c r="D297" s="25" t="s">
        <v>17</v>
      </c>
      <c r="E297" s="24" t="s">
        <v>940</v>
      </c>
      <c r="F297" s="25" t="s">
        <v>941</v>
      </c>
      <c r="G297" s="25" t="s">
        <v>922</v>
      </c>
      <c r="H297" s="53" t="s">
        <v>104</v>
      </c>
      <c r="I297" s="22" t="s">
        <v>22</v>
      </c>
      <c r="J297" s="26" t="s">
        <v>48</v>
      </c>
      <c r="K297" s="24" t="s">
        <v>942</v>
      </c>
    </row>
    <row r="298" ht="15.75" customHeight="1">
      <c r="A298" s="23" t="s">
        <v>943</v>
      </c>
      <c r="B298" s="24" t="s">
        <v>905</v>
      </c>
      <c r="C298" s="24" t="s">
        <v>944</v>
      </c>
      <c r="D298" s="25" t="s">
        <v>43</v>
      </c>
      <c r="E298" s="24" t="s">
        <v>926</v>
      </c>
      <c r="F298" s="25" t="s">
        <v>927</v>
      </c>
      <c r="G298" s="25" t="s">
        <v>928</v>
      </c>
      <c r="H298" s="22" t="s">
        <v>210</v>
      </c>
      <c r="I298" s="22" t="s">
        <v>130</v>
      </c>
      <c r="J298" s="26" t="s">
        <v>81</v>
      </c>
      <c r="K298" s="24" t="s">
        <v>945</v>
      </c>
    </row>
    <row r="299" ht="15.75" customHeight="1">
      <c r="A299" s="17" t="s">
        <v>946</v>
      </c>
      <c r="B299" s="18" t="s">
        <v>376</v>
      </c>
      <c r="C299" s="18" t="s">
        <v>947</v>
      </c>
      <c r="D299" s="19" t="s">
        <v>43</v>
      </c>
      <c r="E299" s="18" t="s">
        <v>948</v>
      </c>
      <c r="F299" s="19" t="s">
        <v>949</v>
      </c>
      <c r="G299" s="19" t="s">
        <v>950</v>
      </c>
      <c r="H299" s="20" t="s">
        <v>447</v>
      </c>
      <c r="I299" s="20" t="s">
        <v>130</v>
      </c>
      <c r="J299" s="32" t="s">
        <v>89</v>
      </c>
      <c r="K299" s="18" t="s">
        <v>24</v>
      </c>
    </row>
    <row r="300" ht="15.75" customHeight="1">
      <c r="A300" s="17" t="s">
        <v>882</v>
      </c>
      <c r="B300" s="18" t="s">
        <v>376</v>
      </c>
      <c r="C300" s="18" t="s">
        <v>883</v>
      </c>
      <c r="D300" s="25" t="s">
        <v>17</v>
      </c>
      <c r="E300" s="26" t="s">
        <v>951</v>
      </c>
      <c r="F300" s="25" t="s">
        <v>952</v>
      </c>
      <c r="G300" s="25" t="s">
        <v>928</v>
      </c>
      <c r="H300" s="22" t="s">
        <v>544</v>
      </c>
      <c r="I300" s="22" t="s">
        <v>97</v>
      </c>
      <c r="J300" s="21" t="s">
        <v>48</v>
      </c>
      <c r="K300" s="18" t="s">
        <v>393</v>
      </c>
    </row>
    <row r="301" ht="15.75" customHeight="1">
      <c r="A301" s="23" t="s">
        <v>953</v>
      </c>
      <c r="B301" s="24" t="s">
        <v>905</v>
      </c>
      <c r="C301" s="24" t="s">
        <v>639</v>
      </c>
      <c r="D301" s="25" t="s">
        <v>43</v>
      </c>
      <c r="E301" s="24" t="s">
        <v>954</v>
      </c>
      <c r="F301" s="25" t="s">
        <v>955</v>
      </c>
      <c r="G301" s="25" t="s">
        <v>915</v>
      </c>
      <c r="H301" s="22" t="s">
        <v>316</v>
      </c>
      <c r="I301" s="22" t="s">
        <v>22</v>
      </c>
      <c r="J301" s="26" t="s">
        <v>48</v>
      </c>
      <c r="K301" s="24" t="s">
        <v>916</v>
      </c>
    </row>
    <row r="302" ht="15.75" customHeight="1">
      <c r="A302" s="23" t="s">
        <v>956</v>
      </c>
      <c r="B302" s="24" t="s">
        <v>905</v>
      </c>
      <c r="C302" s="24" t="s">
        <v>957</v>
      </c>
      <c r="D302" s="25" t="s">
        <v>17</v>
      </c>
      <c r="E302" s="24" t="s">
        <v>958</v>
      </c>
      <c r="F302" s="25" t="s">
        <v>959</v>
      </c>
      <c r="G302" s="25" t="s">
        <v>960</v>
      </c>
      <c r="H302" s="22" t="s">
        <v>316</v>
      </c>
      <c r="I302" s="22" t="s">
        <v>485</v>
      </c>
      <c r="J302" s="26" t="s">
        <v>48</v>
      </c>
      <c r="K302" s="24" t="s">
        <v>942</v>
      </c>
    </row>
    <row r="303" ht="15.75" customHeight="1">
      <c r="A303" s="23" t="s">
        <v>961</v>
      </c>
      <c r="B303" s="24" t="s">
        <v>905</v>
      </c>
      <c r="C303" s="24" t="s">
        <v>962</v>
      </c>
      <c r="D303" s="25" t="s">
        <v>43</v>
      </c>
      <c r="E303" s="24" t="s">
        <v>902</v>
      </c>
      <c r="F303" s="25" t="s">
        <v>903</v>
      </c>
      <c r="G303" s="25" t="s">
        <v>937</v>
      </c>
      <c r="H303" s="22" t="s">
        <v>104</v>
      </c>
      <c r="I303" s="22" t="s">
        <v>201</v>
      </c>
      <c r="J303" s="26" t="s">
        <v>562</v>
      </c>
      <c r="K303" s="24" t="s">
        <v>963</v>
      </c>
    </row>
    <row r="304" ht="15.75" customHeight="1">
      <c r="A304" s="23" t="s">
        <v>904</v>
      </c>
      <c r="B304" s="24" t="s">
        <v>905</v>
      </c>
      <c r="C304" s="24" t="s">
        <v>906</v>
      </c>
      <c r="D304" s="25" t="s">
        <v>17</v>
      </c>
      <c r="E304" s="24" t="s">
        <v>964</v>
      </c>
      <c r="F304" s="25" t="s">
        <v>965</v>
      </c>
      <c r="G304" s="25" t="s">
        <v>654</v>
      </c>
      <c r="H304" s="22" t="s">
        <v>433</v>
      </c>
      <c r="I304" s="22" t="s">
        <v>105</v>
      </c>
      <c r="J304" s="38" t="s">
        <v>48</v>
      </c>
      <c r="K304" s="24" t="s">
        <v>907</v>
      </c>
    </row>
    <row r="305" ht="15.75" customHeight="1">
      <c r="A305" s="17" t="s">
        <v>966</v>
      </c>
      <c r="B305" s="18" t="s">
        <v>905</v>
      </c>
      <c r="C305" s="18" t="s">
        <v>967</v>
      </c>
      <c r="D305" s="19" t="s">
        <v>17</v>
      </c>
      <c r="E305" s="28" t="s">
        <v>968</v>
      </c>
      <c r="F305" s="19" t="s">
        <v>969</v>
      </c>
      <c r="G305" s="19" t="s">
        <v>970</v>
      </c>
      <c r="H305" s="22" t="s">
        <v>971</v>
      </c>
      <c r="I305" s="20" t="s">
        <v>201</v>
      </c>
      <c r="J305" s="21" t="s">
        <v>23</v>
      </c>
      <c r="K305" s="18" t="s">
        <v>24</v>
      </c>
    </row>
    <row r="306" ht="15.75" customHeight="1">
      <c r="A306" s="23" t="s">
        <v>972</v>
      </c>
      <c r="B306" s="24" t="s">
        <v>905</v>
      </c>
      <c r="C306" s="24" t="s">
        <v>702</v>
      </c>
      <c r="D306" s="25" t="s">
        <v>43</v>
      </c>
      <c r="E306" s="24" t="s">
        <v>204</v>
      </c>
      <c r="F306" s="25" t="s">
        <v>205</v>
      </c>
      <c r="G306" s="25" t="s">
        <v>931</v>
      </c>
      <c r="H306" s="22" t="s">
        <v>544</v>
      </c>
      <c r="I306" s="22" t="s">
        <v>97</v>
      </c>
      <c r="J306" s="26" t="s">
        <v>48</v>
      </c>
      <c r="K306" s="24" t="s">
        <v>916</v>
      </c>
    </row>
    <row r="307" ht="15.75" customHeight="1">
      <c r="A307" s="23" t="s">
        <v>908</v>
      </c>
      <c r="B307" s="24" t="s">
        <v>905</v>
      </c>
      <c r="C307" s="24" t="s">
        <v>909</v>
      </c>
      <c r="D307" s="25" t="s">
        <v>17</v>
      </c>
      <c r="E307" s="24" t="s">
        <v>682</v>
      </c>
      <c r="F307" s="25" t="s">
        <v>683</v>
      </c>
      <c r="G307" s="25" t="s">
        <v>382</v>
      </c>
      <c r="H307" s="58" t="s">
        <v>34</v>
      </c>
      <c r="I307" s="22" t="s">
        <v>130</v>
      </c>
      <c r="J307" s="26" t="s">
        <v>48</v>
      </c>
      <c r="K307" s="24" t="s">
        <v>383</v>
      </c>
    </row>
    <row r="308" ht="15.75" customHeight="1">
      <c r="A308" s="23" t="s">
        <v>973</v>
      </c>
      <c r="B308" s="24" t="s">
        <v>905</v>
      </c>
      <c r="C308" s="24" t="s">
        <v>974</v>
      </c>
      <c r="D308" s="25" t="s">
        <v>17</v>
      </c>
      <c r="E308" s="24" t="s">
        <v>951</v>
      </c>
      <c r="F308" s="25" t="s">
        <v>952</v>
      </c>
      <c r="G308" s="25" t="s">
        <v>928</v>
      </c>
      <c r="H308" s="22" t="s">
        <v>544</v>
      </c>
      <c r="I308" s="43" t="s">
        <v>97</v>
      </c>
      <c r="J308" s="26" t="s">
        <v>81</v>
      </c>
      <c r="K308" s="24" t="s">
        <v>945</v>
      </c>
    </row>
    <row r="309" ht="15.75" customHeight="1">
      <c r="A309" s="17" t="s">
        <v>975</v>
      </c>
      <c r="B309" s="18" t="s">
        <v>905</v>
      </c>
      <c r="C309" s="18" t="s">
        <v>976</v>
      </c>
      <c r="D309" s="19" t="s">
        <v>17</v>
      </c>
      <c r="E309" s="18" t="s">
        <v>977</v>
      </c>
      <c r="F309" s="19" t="s">
        <v>978</v>
      </c>
      <c r="G309" s="19" t="s">
        <v>979</v>
      </c>
      <c r="H309" s="20" t="s">
        <v>112</v>
      </c>
      <c r="I309" s="20" t="s">
        <v>22</v>
      </c>
      <c r="J309" s="21" t="s">
        <v>23</v>
      </c>
      <c r="K309" s="18" t="s">
        <v>24</v>
      </c>
    </row>
    <row r="310" ht="15.75" customHeight="1">
      <c r="A310" s="17" t="s">
        <v>980</v>
      </c>
      <c r="B310" s="18" t="s">
        <v>905</v>
      </c>
      <c r="C310" s="18" t="s">
        <v>389</v>
      </c>
      <c r="D310" s="19" t="s">
        <v>17</v>
      </c>
      <c r="E310" s="18" t="s">
        <v>390</v>
      </c>
      <c r="F310" s="19" t="s">
        <v>391</v>
      </c>
      <c r="G310" s="19" t="s">
        <v>981</v>
      </c>
      <c r="H310" s="22" t="s">
        <v>982</v>
      </c>
      <c r="I310" s="43" t="s">
        <v>739</v>
      </c>
      <c r="J310" s="21" t="s">
        <v>23</v>
      </c>
      <c r="K310" s="18" t="s">
        <v>24</v>
      </c>
    </row>
    <row r="311" ht="15.75" customHeight="1">
      <c r="A311" s="17" t="s">
        <v>983</v>
      </c>
      <c r="B311" s="18" t="s">
        <v>905</v>
      </c>
      <c r="C311" s="18" t="s">
        <v>984</v>
      </c>
      <c r="D311" s="19" t="s">
        <v>43</v>
      </c>
      <c r="E311" s="18" t="s">
        <v>985</v>
      </c>
      <c r="F311" s="19" t="s">
        <v>986</v>
      </c>
      <c r="G311" s="19" t="s">
        <v>987</v>
      </c>
      <c r="H311" s="22" t="s">
        <v>982</v>
      </c>
      <c r="I311" s="43" t="s">
        <v>739</v>
      </c>
      <c r="J311" s="21" t="s">
        <v>23</v>
      </c>
      <c r="K311" s="18" t="s">
        <v>24</v>
      </c>
    </row>
    <row r="312" ht="15.75" customHeight="1">
      <c r="A312" s="46" t="s">
        <v>912</v>
      </c>
      <c r="B312" s="24" t="s">
        <v>905</v>
      </c>
      <c r="C312" s="24" t="s">
        <v>913</v>
      </c>
      <c r="D312" s="24" t="s">
        <v>17</v>
      </c>
      <c r="E312" s="24" t="s">
        <v>900</v>
      </c>
      <c r="F312" s="25" t="s">
        <v>901</v>
      </c>
      <c r="G312" s="25" t="s">
        <v>382</v>
      </c>
      <c r="H312" s="22" t="s">
        <v>276</v>
      </c>
      <c r="I312" s="43" t="s">
        <v>97</v>
      </c>
      <c r="J312" s="26" t="s">
        <v>48</v>
      </c>
      <c r="K312" s="24" t="s">
        <v>383</v>
      </c>
    </row>
    <row r="313" ht="15.75" customHeight="1">
      <c r="A313" s="23" t="s">
        <v>988</v>
      </c>
      <c r="B313" s="24" t="s">
        <v>905</v>
      </c>
      <c r="C313" s="24" t="s">
        <v>989</v>
      </c>
      <c r="D313" s="25" t="s">
        <v>43</v>
      </c>
      <c r="E313" s="24" t="s">
        <v>964</v>
      </c>
      <c r="F313" s="25" t="s">
        <v>965</v>
      </c>
      <c r="G313" s="25" t="s">
        <v>990</v>
      </c>
      <c r="H313" s="22" t="s">
        <v>241</v>
      </c>
      <c r="I313" s="22" t="s">
        <v>201</v>
      </c>
      <c r="J313" s="26" t="s">
        <v>48</v>
      </c>
      <c r="K313" s="24" t="s">
        <v>523</v>
      </c>
    </row>
    <row r="314" ht="15.75" customHeight="1">
      <c r="A314" s="23" t="s">
        <v>991</v>
      </c>
      <c r="B314" s="24" t="s">
        <v>905</v>
      </c>
      <c r="C314" s="24" t="s">
        <v>992</v>
      </c>
      <c r="D314" s="25" t="s">
        <v>17</v>
      </c>
      <c r="E314" s="24" t="s">
        <v>993</v>
      </c>
      <c r="F314" s="25" t="s">
        <v>994</v>
      </c>
      <c r="G314" s="25" t="s">
        <v>960</v>
      </c>
      <c r="H314" s="22" t="s">
        <v>241</v>
      </c>
      <c r="I314" s="22" t="s">
        <v>485</v>
      </c>
      <c r="J314" s="26" t="s">
        <v>48</v>
      </c>
      <c r="K314" s="24" t="s">
        <v>942</v>
      </c>
    </row>
    <row r="315" ht="15.75" customHeight="1">
      <c r="A315" s="23" t="s">
        <v>919</v>
      </c>
      <c r="B315" s="24" t="s">
        <v>905</v>
      </c>
      <c r="C315" s="24" t="s">
        <v>920</v>
      </c>
      <c r="D315" s="25" t="s">
        <v>43</v>
      </c>
      <c r="E315" s="24" t="s">
        <v>995</v>
      </c>
      <c r="F315" s="25" t="s">
        <v>921</v>
      </c>
      <c r="G315" s="25" t="s">
        <v>922</v>
      </c>
      <c r="H315" s="22" t="s">
        <v>982</v>
      </c>
      <c r="I315" s="22" t="s">
        <v>739</v>
      </c>
      <c r="J315" s="26" t="s">
        <v>89</v>
      </c>
      <c r="K315" s="24" t="s">
        <v>923</v>
      </c>
    </row>
    <row r="316" ht="15.75" customHeight="1">
      <c r="A316" s="23" t="s">
        <v>996</v>
      </c>
      <c r="B316" s="24" t="s">
        <v>905</v>
      </c>
      <c r="C316" s="24" t="s">
        <v>997</v>
      </c>
      <c r="D316" s="25" t="s">
        <v>43</v>
      </c>
      <c r="E316" s="24" t="s">
        <v>995</v>
      </c>
      <c r="F316" s="25" t="s">
        <v>921</v>
      </c>
      <c r="G316" s="25" t="s">
        <v>998</v>
      </c>
      <c r="H316" s="22" t="s">
        <v>982</v>
      </c>
      <c r="I316" s="43" t="s">
        <v>739</v>
      </c>
      <c r="J316" s="26" t="s">
        <v>48</v>
      </c>
      <c r="K316" s="24" t="s">
        <v>523</v>
      </c>
    </row>
    <row r="317" ht="15.75" customHeight="1">
      <c r="A317" s="17" t="s">
        <v>999</v>
      </c>
      <c r="B317" s="18" t="s">
        <v>905</v>
      </c>
      <c r="C317" s="18" t="s">
        <v>1000</v>
      </c>
      <c r="D317" s="19" t="s">
        <v>17</v>
      </c>
      <c r="E317" s="18" t="s">
        <v>964</v>
      </c>
      <c r="F317" s="19" t="s">
        <v>965</v>
      </c>
      <c r="G317" s="19" t="s">
        <v>970</v>
      </c>
      <c r="H317" s="20" t="s">
        <v>544</v>
      </c>
      <c r="I317" s="20" t="s">
        <v>201</v>
      </c>
      <c r="J317" s="21" t="s">
        <v>23</v>
      </c>
      <c r="K317" s="18" t="s">
        <v>24</v>
      </c>
    </row>
    <row r="318" ht="15.75" customHeight="1">
      <c r="A318" s="17" t="s">
        <v>1001</v>
      </c>
      <c r="B318" s="18" t="s">
        <v>905</v>
      </c>
      <c r="C318" s="18" t="s">
        <v>1002</v>
      </c>
      <c r="D318" s="19" t="s">
        <v>43</v>
      </c>
      <c r="E318" s="18" t="s">
        <v>954</v>
      </c>
      <c r="F318" s="19" t="s">
        <v>1003</v>
      </c>
      <c r="G318" s="19" t="s">
        <v>979</v>
      </c>
      <c r="H318" s="22" t="s">
        <v>118</v>
      </c>
      <c r="I318" s="22" t="s">
        <v>130</v>
      </c>
      <c r="J318" s="21" t="s">
        <v>23</v>
      </c>
      <c r="K318" s="18" t="s">
        <v>24</v>
      </c>
    </row>
    <row r="319" ht="15.75" customHeight="1">
      <c r="A319" s="46" t="s">
        <v>1001</v>
      </c>
      <c r="B319" s="24" t="s">
        <v>905</v>
      </c>
      <c r="C319" s="24" t="s">
        <v>1002</v>
      </c>
      <c r="D319" s="24" t="s">
        <v>43</v>
      </c>
      <c r="E319" s="18" t="s">
        <v>954</v>
      </c>
      <c r="F319" s="19" t="s">
        <v>955</v>
      </c>
      <c r="G319" s="19" t="s">
        <v>979</v>
      </c>
      <c r="H319" s="40" t="s">
        <v>316</v>
      </c>
      <c r="I319" s="20" t="s">
        <v>22</v>
      </c>
      <c r="J319" s="21" t="s">
        <v>23</v>
      </c>
      <c r="K319" s="18" t="s">
        <v>24</v>
      </c>
    </row>
    <row r="320" ht="15.75" customHeight="1">
      <c r="A320" s="23" t="s">
        <v>929</v>
      </c>
      <c r="B320" s="24" t="s">
        <v>905</v>
      </c>
      <c r="C320" s="24" t="s">
        <v>688</v>
      </c>
      <c r="D320" s="25" t="s">
        <v>17</v>
      </c>
      <c r="E320" s="24" t="s">
        <v>38</v>
      </c>
      <c r="F320" s="25" t="s">
        <v>930</v>
      </c>
      <c r="G320" s="25" t="s">
        <v>931</v>
      </c>
      <c r="H320" s="22" t="s">
        <v>54</v>
      </c>
      <c r="I320" s="22" t="s">
        <v>22</v>
      </c>
      <c r="J320" s="26" t="s">
        <v>48</v>
      </c>
      <c r="K320" s="24" t="s">
        <v>916</v>
      </c>
    </row>
    <row r="321" ht="15.75" customHeight="1">
      <c r="A321" s="23" t="s">
        <v>1004</v>
      </c>
      <c r="B321" s="24" t="s">
        <v>905</v>
      </c>
      <c r="C321" s="24" t="s">
        <v>1005</v>
      </c>
      <c r="D321" s="25" t="s">
        <v>17</v>
      </c>
      <c r="E321" s="24" t="s">
        <v>964</v>
      </c>
      <c r="F321" s="25" t="s">
        <v>965</v>
      </c>
      <c r="G321" s="25" t="s">
        <v>931</v>
      </c>
      <c r="H321" s="22" t="s">
        <v>544</v>
      </c>
      <c r="I321" s="22" t="s">
        <v>97</v>
      </c>
      <c r="J321" s="26" t="s">
        <v>48</v>
      </c>
      <c r="K321" s="24" t="s">
        <v>916</v>
      </c>
    </row>
    <row r="322" ht="15.75" customHeight="1">
      <c r="A322" s="23" t="s">
        <v>1006</v>
      </c>
      <c r="B322" s="24" t="s">
        <v>905</v>
      </c>
      <c r="C322" s="24" t="s">
        <v>1007</v>
      </c>
      <c r="D322" s="25" t="s">
        <v>17</v>
      </c>
      <c r="E322" s="61" t="s">
        <v>964</v>
      </c>
      <c r="F322" s="25" t="s">
        <v>965</v>
      </c>
      <c r="G322" s="25" t="s">
        <v>915</v>
      </c>
      <c r="H322" s="22" t="s">
        <v>544</v>
      </c>
      <c r="I322" s="22" t="s">
        <v>97</v>
      </c>
      <c r="J322" s="26" t="s">
        <v>48</v>
      </c>
      <c r="K322" s="24" t="s">
        <v>1008</v>
      </c>
    </row>
    <row r="323" ht="15.75" customHeight="1">
      <c r="A323" s="17" t="s">
        <v>904</v>
      </c>
      <c r="B323" s="18" t="s">
        <v>905</v>
      </c>
      <c r="C323" s="18" t="s">
        <v>906</v>
      </c>
      <c r="D323" s="19" t="s">
        <v>17</v>
      </c>
      <c r="E323" s="18" t="s">
        <v>964</v>
      </c>
      <c r="F323" s="19" t="s">
        <v>965</v>
      </c>
      <c r="G323" s="19" t="s">
        <v>654</v>
      </c>
      <c r="H323" s="22" t="s">
        <v>210</v>
      </c>
      <c r="I323" s="22" t="s">
        <v>130</v>
      </c>
      <c r="J323" s="21" t="s">
        <v>48</v>
      </c>
      <c r="K323" s="18" t="s">
        <v>907</v>
      </c>
    </row>
    <row r="324" ht="15.75" customHeight="1">
      <c r="A324" s="23" t="s">
        <v>935</v>
      </c>
      <c r="B324" s="24" t="s">
        <v>905</v>
      </c>
      <c r="C324" s="24" t="s">
        <v>936</v>
      </c>
      <c r="D324" s="25" t="s">
        <v>43</v>
      </c>
      <c r="E324" s="24" t="s">
        <v>1009</v>
      </c>
      <c r="F324" s="25" t="s">
        <v>1010</v>
      </c>
      <c r="G324" s="25" t="s">
        <v>654</v>
      </c>
      <c r="H324" s="22" t="s">
        <v>349</v>
      </c>
      <c r="I324" s="22" t="s">
        <v>97</v>
      </c>
      <c r="J324" s="26" t="s">
        <v>48</v>
      </c>
      <c r="K324" s="24" t="s">
        <v>907</v>
      </c>
    </row>
    <row r="325" ht="15.75" customHeight="1">
      <c r="A325" s="23" t="s">
        <v>1011</v>
      </c>
      <c r="B325" s="24" t="s">
        <v>905</v>
      </c>
      <c r="C325" s="24" t="s">
        <v>1012</v>
      </c>
      <c r="D325" s="25" t="s">
        <v>43</v>
      </c>
      <c r="E325" s="24" t="s">
        <v>1013</v>
      </c>
      <c r="F325" s="25" t="s">
        <v>1014</v>
      </c>
      <c r="G325" s="25" t="s">
        <v>1015</v>
      </c>
      <c r="H325" s="22" t="s">
        <v>678</v>
      </c>
      <c r="I325" s="22" t="s">
        <v>97</v>
      </c>
      <c r="J325" s="26" t="s">
        <v>81</v>
      </c>
      <c r="K325" s="24" t="s">
        <v>945</v>
      </c>
    </row>
    <row r="326" ht="15.75" customHeight="1">
      <c r="A326" s="17" t="s">
        <v>908</v>
      </c>
      <c r="B326" s="18" t="s">
        <v>905</v>
      </c>
      <c r="C326" s="18" t="s">
        <v>909</v>
      </c>
      <c r="D326" s="19" t="s">
        <v>17</v>
      </c>
      <c r="E326" s="18" t="s">
        <v>1013</v>
      </c>
      <c r="F326" s="19" t="s">
        <v>1014</v>
      </c>
      <c r="G326" s="19" t="s">
        <v>382</v>
      </c>
      <c r="H326" s="20" t="s">
        <v>678</v>
      </c>
      <c r="I326" s="20" t="s">
        <v>97</v>
      </c>
      <c r="J326" s="21" t="s">
        <v>48</v>
      </c>
      <c r="K326" s="18" t="s">
        <v>383</v>
      </c>
    </row>
    <row r="327" ht="15.75" customHeight="1">
      <c r="A327" s="17" t="s">
        <v>1016</v>
      </c>
      <c r="B327" s="18" t="s">
        <v>905</v>
      </c>
      <c r="C327" s="18" t="s">
        <v>1017</v>
      </c>
      <c r="D327" s="19" t="s">
        <v>43</v>
      </c>
      <c r="E327" s="18" t="s">
        <v>1018</v>
      </c>
      <c r="F327" s="19" t="s">
        <v>1019</v>
      </c>
      <c r="G327" s="19" t="s">
        <v>979</v>
      </c>
      <c r="H327" s="22" t="s">
        <v>104</v>
      </c>
      <c r="I327" s="22" t="s">
        <v>201</v>
      </c>
      <c r="J327" s="21" t="s">
        <v>23</v>
      </c>
      <c r="K327" s="18" t="s">
        <v>24</v>
      </c>
    </row>
    <row r="328" ht="15.75" customHeight="1">
      <c r="A328" s="23" t="s">
        <v>1020</v>
      </c>
      <c r="B328" s="24" t="s">
        <v>905</v>
      </c>
      <c r="C328" s="24" t="s">
        <v>1007</v>
      </c>
      <c r="D328" s="25" t="s">
        <v>17</v>
      </c>
      <c r="E328" s="24" t="s">
        <v>431</v>
      </c>
      <c r="F328" s="25" t="s">
        <v>432</v>
      </c>
      <c r="G328" s="25" t="s">
        <v>1021</v>
      </c>
      <c r="H328" s="22" t="s">
        <v>34</v>
      </c>
      <c r="I328" s="22" t="s">
        <v>22</v>
      </c>
      <c r="J328" s="26" t="s">
        <v>48</v>
      </c>
      <c r="K328" s="24" t="s">
        <v>1022</v>
      </c>
    </row>
    <row r="329" ht="15.75" customHeight="1">
      <c r="A329" s="17" t="s">
        <v>1023</v>
      </c>
      <c r="B329" s="18" t="s">
        <v>905</v>
      </c>
      <c r="C329" s="18" t="s">
        <v>1024</v>
      </c>
      <c r="D329" s="25" t="s">
        <v>17</v>
      </c>
      <c r="E329" s="24" t="s">
        <v>431</v>
      </c>
      <c r="F329" s="25" t="s">
        <v>432</v>
      </c>
      <c r="G329" s="25" t="s">
        <v>1021</v>
      </c>
      <c r="H329" s="22" t="s">
        <v>34</v>
      </c>
      <c r="I329" s="43" t="s">
        <v>22</v>
      </c>
      <c r="J329" s="21" t="s">
        <v>23</v>
      </c>
      <c r="K329" s="18" t="s">
        <v>24</v>
      </c>
    </row>
    <row r="330" ht="15.75" customHeight="1">
      <c r="A330" s="17" t="s">
        <v>912</v>
      </c>
      <c r="B330" s="18" t="s">
        <v>905</v>
      </c>
      <c r="C330" s="18" t="s">
        <v>913</v>
      </c>
      <c r="D330" s="19" t="s">
        <v>17</v>
      </c>
      <c r="E330" s="18" t="s">
        <v>431</v>
      </c>
      <c r="F330" s="19" t="s">
        <v>432</v>
      </c>
      <c r="G330" s="19" t="s">
        <v>382</v>
      </c>
      <c r="H330" s="22" t="s">
        <v>21</v>
      </c>
      <c r="I330" s="22" t="s">
        <v>130</v>
      </c>
      <c r="J330" s="21" t="s">
        <v>48</v>
      </c>
      <c r="K330" s="18" t="s">
        <v>383</v>
      </c>
    </row>
    <row r="331" ht="15.75" customHeight="1">
      <c r="A331" s="23" t="s">
        <v>1025</v>
      </c>
      <c r="B331" s="24" t="s">
        <v>376</v>
      </c>
      <c r="C331" s="24">
        <v>7.93682756E8</v>
      </c>
      <c r="D331" s="25" t="s">
        <v>43</v>
      </c>
      <c r="E331" s="24" t="s">
        <v>1026</v>
      </c>
      <c r="F331" s="25" t="s">
        <v>1027</v>
      </c>
      <c r="G331" s="25" t="s">
        <v>1028</v>
      </c>
      <c r="H331" s="22" t="s">
        <v>535</v>
      </c>
      <c r="I331" s="22" t="s">
        <v>105</v>
      </c>
      <c r="J331" s="26" t="s">
        <v>48</v>
      </c>
      <c r="K331" s="24" t="s">
        <v>397</v>
      </c>
    </row>
    <row r="332" ht="15.75" customHeight="1">
      <c r="A332" s="17" t="s">
        <v>917</v>
      </c>
      <c r="B332" s="18" t="s">
        <v>905</v>
      </c>
      <c r="C332" s="18" t="s">
        <v>918</v>
      </c>
      <c r="D332" s="19" t="s">
        <v>17</v>
      </c>
      <c r="E332" s="18" t="s">
        <v>1026</v>
      </c>
      <c r="F332" s="19" t="s">
        <v>1027</v>
      </c>
      <c r="G332" s="19" t="s">
        <v>654</v>
      </c>
      <c r="H332" s="22" t="s">
        <v>359</v>
      </c>
      <c r="I332" s="22" t="s">
        <v>130</v>
      </c>
      <c r="J332" s="21" t="s">
        <v>48</v>
      </c>
      <c r="K332" s="18" t="s">
        <v>907</v>
      </c>
    </row>
    <row r="333" ht="15.75" customHeight="1">
      <c r="A333" s="23" t="s">
        <v>1029</v>
      </c>
      <c r="B333" s="24" t="s">
        <v>905</v>
      </c>
      <c r="C333" s="24">
        <v>7.68484847E8</v>
      </c>
      <c r="D333" s="25" t="s">
        <v>17</v>
      </c>
      <c r="E333" s="24" t="s">
        <v>1030</v>
      </c>
      <c r="F333" s="25" t="s">
        <v>1031</v>
      </c>
      <c r="G333" s="25" t="s">
        <v>1032</v>
      </c>
      <c r="H333" s="22" t="s">
        <v>54</v>
      </c>
      <c r="I333" s="22" t="s">
        <v>22</v>
      </c>
      <c r="J333" s="38" t="s">
        <v>48</v>
      </c>
      <c r="K333" s="24" t="s">
        <v>49</v>
      </c>
    </row>
    <row r="334" ht="15.75" customHeight="1">
      <c r="A334" s="23" t="s">
        <v>1033</v>
      </c>
      <c r="B334" s="24" t="s">
        <v>905</v>
      </c>
      <c r="C334" s="24">
        <v>7.04881044E8</v>
      </c>
      <c r="D334" s="25" t="s">
        <v>17</v>
      </c>
      <c r="E334" s="24" t="s">
        <v>1030</v>
      </c>
      <c r="F334" s="25" t="s">
        <v>1034</v>
      </c>
      <c r="G334" s="25" t="s">
        <v>1032</v>
      </c>
      <c r="H334" s="22" t="s">
        <v>54</v>
      </c>
      <c r="I334" s="22" t="s">
        <v>22</v>
      </c>
      <c r="J334" s="26" t="s">
        <v>48</v>
      </c>
      <c r="K334" s="24" t="s">
        <v>49</v>
      </c>
    </row>
    <row r="335" ht="15.75" customHeight="1">
      <c r="A335" s="17" t="s">
        <v>1035</v>
      </c>
      <c r="B335" s="18" t="s">
        <v>905</v>
      </c>
      <c r="C335" s="18" t="s">
        <v>669</v>
      </c>
      <c r="D335" s="19" t="s">
        <v>17</v>
      </c>
      <c r="E335" s="18" t="s">
        <v>670</v>
      </c>
      <c r="F335" s="19" t="s">
        <v>671</v>
      </c>
      <c r="G335" s="19" t="s">
        <v>1036</v>
      </c>
      <c r="H335" s="22" t="s">
        <v>932</v>
      </c>
      <c r="I335" s="22" t="s">
        <v>130</v>
      </c>
      <c r="J335" s="21" t="s">
        <v>23</v>
      </c>
      <c r="K335" s="18" t="s">
        <v>24</v>
      </c>
    </row>
    <row r="336" ht="15.75" customHeight="1">
      <c r="A336" s="23" t="s">
        <v>973</v>
      </c>
      <c r="B336" s="24" t="s">
        <v>905</v>
      </c>
      <c r="C336" s="24" t="s">
        <v>974</v>
      </c>
      <c r="D336" s="25" t="s">
        <v>17</v>
      </c>
      <c r="E336" s="24" t="s">
        <v>951</v>
      </c>
      <c r="F336" s="25" t="s">
        <v>952</v>
      </c>
      <c r="G336" s="25" t="s">
        <v>928</v>
      </c>
      <c r="H336" s="22" t="s">
        <v>359</v>
      </c>
      <c r="I336" s="22" t="s">
        <v>130</v>
      </c>
      <c r="J336" s="26" t="s">
        <v>81</v>
      </c>
      <c r="K336" s="24" t="s">
        <v>945</v>
      </c>
    </row>
    <row r="337" ht="15.75" customHeight="1">
      <c r="A337" s="17" t="s">
        <v>1037</v>
      </c>
      <c r="B337" s="18" t="s">
        <v>905</v>
      </c>
      <c r="C337" s="18" t="s">
        <v>1038</v>
      </c>
      <c r="D337" s="19" t="s">
        <v>17</v>
      </c>
      <c r="E337" s="18" t="s">
        <v>38</v>
      </c>
      <c r="F337" s="19" t="s">
        <v>930</v>
      </c>
      <c r="G337" s="19" t="s">
        <v>1039</v>
      </c>
      <c r="H337" s="62" t="s">
        <v>932</v>
      </c>
      <c r="I337" s="20" t="s">
        <v>22</v>
      </c>
      <c r="J337" s="21" t="s">
        <v>23</v>
      </c>
      <c r="K337" s="18" t="s">
        <v>440</v>
      </c>
    </row>
    <row r="338" ht="15.75" customHeight="1">
      <c r="A338" s="23" t="s">
        <v>1040</v>
      </c>
      <c r="B338" s="24" t="s">
        <v>905</v>
      </c>
      <c r="C338" s="24">
        <v>7.52141448E8</v>
      </c>
      <c r="D338" s="25" t="s">
        <v>43</v>
      </c>
      <c r="E338" s="24" t="s">
        <v>1041</v>
      </c>
      <c r="F338" s="25" t="s">
        <v>1042</v>
      </c>
      <c r="G338" s="25" t="s">
        <v>1032</v>
      </c>
      <c r="H338" s="22" t="s">
        <v>54</v>
      </c>
      <c r="I338" s="22" t="s">
        <v>22</v>
      </c>
      <c r="J338" s="26" t="s">
        <v>48</v>
      </c>
      <c r="K338" s="24" t="s">
        <v>49</v>
      </c>
    </row>
    <row r="339" ht="15.75" customHeight="1">
      <c r="A339" s="23" t="s">
        <v>1043</v>
      </c>
      <c r="B339" s="24" t="s">
        <v>905</v>
      </c>
      <c r="C339" s="24">
        <v>7.40381494E8</v>
      </c>
      <c r="D339" s="25" t="s">
        <v>43</v>
      </c>
      <c r="E339" s="24" t="s">
        <v>1041</v>
      </c>
      <c r="F339" s="25" t="s">
        <v>1044</v>
      </c>
      <c r="G339" s="25" t="s">
        <v>1032</v>
      </c>
      <c r="H339" s="22" t="s">
        <v>54</v>
      </c>
      <c r="I339" s="22" t="s">
        <v>29</v>
      </c>
      <c r="J339" s="26" t="s">
        <v>48</v>
      </c>
      <c r="K339" s="24" t="s">
        <v>49</v>
      </c>
    </row>
    <row r="340" ht="15.75" customHeight="1">
      <c r="A340" s="23" t="s">
        <v>988</v>
      </c>
      <c r="B340" s="24" t="s">
        <v>905</v>
      </c>
      <c r="C340" s="24" t="s">
        <v>989</v>
      </c>
      <c r="D340" s="25" t="s">
        <v>43</v>
      </c>
      <c r="E340" s="24" t="s">
        <v>1045</v>
      </c>
      <c r="F340" s="25" t="s">
        <v>1046</v>
      </c>
      <c r="G340" s="25" t="s">
        <v>990</v>
      </c>
      <c r="H340" s="22" t="s">
        <v>932</v>
      </c>
      <c r="I340" s="22" t="s">
        <v>130</v>
      </c>
      <c r="J340" s="31" t="s">
        <v>48</v>
      </c>
      <c r="K340" s="24" t="s">
        <v>523</v>
      </c>
    </row>
    <row r="341" ht="15.75" customHeight="1">
      <c r="A341" s="23" t="s">
        <v>991</v>
      </c>
      <c r="B341" s="24" t="s">
        <v>905</v>
      </c>
      <c r="C341" s="24" t="s">
        <v>992</v>
      </c>
      <c r="D341" s="25" t="s">
        <v>17</v>
      </c>
      <c r="E341" s="24" t="s">
        <v>993</v>
      </c>
      <c r="F341" s="25" t="s">
        <v>994</v>
      </c>
      <c r="G341" s="25" t="s">
        <v>960</v>
      </c>
      <c r="H341" s="22" t="s">
        <v>932</v>
      </c>
      <c r="I341" s="43" t="s">
        <v>485</v>
      </c>
      <c r="J341" s="26" t="s">
        <v>48</v>
      </c>
      <c r="K341" s="24" t="s">
        <v>942</v>
      </c>
    </row>
    <row r="342" ht="15.75" customHeight="1">
      <c r="A342" s="23" t="s">
        <v>1047</v>
      </c>
      <c r="B342" s="24" t="s">
        <v>1048</v>
      </c>
      <c r="C342" s="24" t="s">
        <v>1049</v>
      </c>
      <c r="D342" s="25" t="s">
        <v>17</v>
      </c>
      <c r="E342" s="24" t="s">
        <v>1050</v>
      </c>
      <c r="F342" s="25" t="s">
        <v>1051</v>
      </c>
      <c r="G342" s="25" t="s">
        <v>1052</v>
      </c>
      <c r="H342" s="22" t="s">
        <v>971</v>
      </c>
      <c r="I342" s="22" t="s">
        <v>22</v>
      </c>
      <c r="J342" s="26" t="s">
        <v>48</v>
      </c>
      <c r="K342" s="24" t="s">
        <v>1052</v>
      </c>
    </row>
    <row r="343" ht="15.75" customHeight="1">
      <c r="A343" s="17" t="s">
        <v>1053</v>
      </c>
      <c r="B343" s="18" t="s">
        <v>905</v>
      </c>
      <c r="C343" s="18" t="s">
        <v>1054</v>
      </c>
      <c r="D343" s="19" t="s">
        <v>17</v>
      </c>
      <c r="E343" s="18" t="s">
        <v>1055</v>
      </c>
      <c r="F343" s="19" t="s">
        <v>1056</v>
      </c>
      <c r="G343" s="19" t="s">
        <v>979</v>
      </c>
      <c r="H343" s="22" t="s">
        <v>932</v>
      </c>
      <c r="I343" s="22" t="s">
        <v>201</v>
      </c>
      <c r="J343" s="21" t="s">
        <v>23</v>
      </c>
      <c r="K343" s="18" t="s">
        <v>24</v>
      </c>
    </row>
    <row r="344" ht="15.75" customHeight="1">
      <c r="A344" s="17" t="s">
        <v>1057</v>
      </c>
      <c r="B344" s="18" t="s">
        <v>905</v>
      </c>
      <c r="C344" s="18" t="s">
        <v>1058</v>
      </c>
      <c r="D344" s="19" t="s">
        <v>43</v>
      </c>
      <c r="E344" s="18" t="s">
        <v>926</v>
      </c>
      <c r="F344" s="19" t="s">
        <v>927</v>
      </c>
      <c r="G344" s="25" t="s">
        <v>1059</v>
      </c>
      <c r="H344" s="20" t="s">
        <v>210</v>
      </c>
      <c r="I344" s="20" t="s">
        <v>130</v>
      </c>
      <c r="J344" s="21" t="s">
        <v>23</v>
      </c>
      <c r="K344" s="18" t="s">
        <v>24</v>
      </c>
    </row>
    <row r="345" ht="15.75" customHeight="1">
      <c r="A345" s="23" t="s">
        <v>1060</v>
      </c>
      <c r="B345" s="24" t="s">
        <v>1048</v>
      </c>
      <c r="C345" s="24" t="s">
        <v>1061</v>
      </c>
      <c r="D345" s="25" t="s">
        <v>17</v>
      </c>
      <c r="E345" s="24" t="s">
        <v>693</v>
      </c>
      <c r="F345" s="25" t="s">
        <v>1062</v>
      </c>
      <c r="G345" s="25" t="s">
        <v>1063</v>
      </c>
      <c r="H345" s="22" t="s">
        <v>1064</v>
      </c>
      <c r="I345" s="22" t="s">
        <v>47</v>
      </c>
      <c r="J345" s="26" t="s">
        <v>48</v>
      </c>
      <c r="K345" s="24" t="s">
        <v>1065</v>
      </c>
    </row>
    <row r="346" ht="15.75" customHeight="1">
      <c r="A346" s="23" t="s">
        <v>1060</v>
      </c>
      <c r="B346" s="24" t="s">
        <v>1048</v>
      </c>
      <c r="C346" s="24" t="s">
        <v>1061</v>
      </c>
      <c r="D346" s="25" t="s">
        <v>17</v>
      </c>
      <c r="E346" s="24" t="s">
        <v>693</v>
      </c>
      <c r="F346" s="25" t="s">
        <v>1066</v>
      </c>
      <c r="G346" s="25" t="s">
        <v>1028</v>
      </c>
      <c r="H346" s="22" t="s">
        <v>932</v>
      </c>
      <c r="I346" s="22" t="s">
        <v>22</v>
      </c>
      <c r="J346" s="26" t="s">
        <v>48</v>
      </c>
      <c r="K346" s="24" t="s">
        <v>1065</v>
      </c>
    </row>
    <row r="347" ht="15.75" customHeight="1">
      <c r="A347" s="17" t="s">
        <v>1067</v>
      </c>
      <c r="B347" s="18" t="s">
        <v>905</v>
      </c>
      <c r="C347" s="18" t="s">
        <v>1068</v>
      </c>
      <c r="D347" s="19" t="s">
        <v>43</v>
      </c>
      <c r="E347" s="18" t="s">
        <v>793</v>
      </c>
      <c r="F347" s="19" t="s">
        <v>1069</v>
      </c>
      <c r="G347" s="19" t="s">
        <v>979</v>
      </c>
      <c r="H347" s="20" t="s">
        <v>104</v>
      </c>
      <c r="I347" s="20" t="s">
        <v>22</v>
      </c>
      <c r="J347" s="21" t="s">
        <v>23</v>
      </c>
      <c r="K347" s="18" t="s">
        <v>24</v>
      </c>
    </row>
    <row r="348" ht="15.75" customHeight="1">
      <c r="A348" s="17" t="s">
        <v>1070</v>
      </c>
      <c r="B348" s="18" t="s">
        <v>905</v>
      </c>
      <c r="C348" s="18" t="s">
        <v>1071</v>
      </c>
      <c r="D348" s="19" t="s">
        <v>17</v>
      </c>
      <c r="E348" s="18" t="s">
        <v>902</v>
      </c>
      <c r="F348" s="19" t="s">
        <v>903</v>
      </c>
      <c r="G348" s="19" t="s">
        <v>970</v>
      </c>
      <c r="H348" s="20" t="s">
        <v>104</v>
      </c>
      <c r="I348" s="20" t="s">
        <v>201</v>
      </c>
      <c r="J348" s="21" t="s">
        <v>23</v>
      </c>
      <c r="K348" s="18" t="s">
        <v>24</v>
      </c>
    </row>
    <row r="349" ht="15.75" customHeight="1">
      <c r="A349" s="17" t="s">
        <v>961</v>
      </c>
      <c r="B349" s="18" t="s">
        <v>905</v>
      </c>
      <c r="C349" s="18" t="s">
        <v>962</v>
      </c>
      <c r="D349" s="25" t="s">
        <v>17</v>
      </c>
      <c r="E349" s="24" t="s">
        <v>1072</v>
      </c>
      <c r="F349" s="19" t="s">
        <v>903</v>
      </c>
      <c r="G349" s="19" t="s">
        <v>937</v>
      </c>
      <c r="H349" s="20" t="s">
        <v>104</v>
      </c>
      <c r="I349" s="20" t="s">
        <v>201</v>
      </c>
      <c r="J349" s="21" t="s">
        <v>562</v>
      </c>
      <c r="K349" s="18" t="s">
        <v>963</v>
      </c>
    </row>
    <row r="350" ht="15.75" customHeight="1">
      <c r="A350" s="17" t="s">
        <v>1073</v>
      </c>
      <c r="B350" s="18" t="s">
        <v>905</v>
      </c>
      <c r="C350" s="18" t="s">
        <v>115</v>
      </c>
      <c r="D350" s="25" t="s">
        <v>17</v>
      </c>
      <c r="E350" s="24" t="s">
        <v>1072</v>
      </c>
      <c r="F350" s="25" t="s">
        <v>1034</v>
      </c>
      <c r="G350" s="25" t="s">
        <v>1032</v>
      </c>
      <c r="H350" s="22" t="s">
        <v>54</v>
      </c>
      <c r="I350" s="22" t="s">
        <v>22</v>
      </c>
      <c r="J350" s="21" t="s">
        <v>23</v>
      </c>
      <c r="K350" s="18" t="s">
        <v>24</v>
      </c>
    </row>
    <row r="351" ht="15.75" customHeight="1">
      <c r="A351" s="17" t="s">
        <v>1074</v>
      </c>
      <c r="B351" s="18" t="s">
        <v>905</v>
      </c>
      <c r="C351" s="18" t="s">
        <v>203</v>
      </c>
      <c r="D351" s="19" t="s">
        <v>43</v>
      </c>
      <c r="E351" s="18" t="s">
        <v>204</v>
      </c>
      <c r="F351" s="19" t="s">
        <v>205</v>
      </c>
      <c r="G351" s="19" t="s">
        <v>979</v>
      </c>
      <c r="H351" s="20" t="s">
        <v>21</v>
      </c>
      <c r="I351" s="20" t="s">
        <v>130</v>
      </c>
      <c r="J351" s="21" t="s">
        <v>23</v>
      </c>
      <c r="K351" s="18" t="s">
        <v>1075</v>
      </c>
    </row>
    <row r="352" ht="15.75" customHeight="1">
      <c r="A352" s="23" t="s">
        <v>1076</v>
      </c>
      <c r="B352" s="24" t="s">
        <v>1048</v>
      </c>
      <c r="C352" s="24" t="s">
        <v>1077</v>
      </c>
      <c r="D352" s="25" t="s">
        <v>17</v>
      </c>
      <c r="E352" s="24" t="s">
        <v>1078</v>
      </c>
      <c r="F352" s="25" t="s">
        <v>1079</v>
      </c>
      <c r="G352" s="25" t="s">
        <v>1080</v>
      </c>
      <c r="H352" s="22" t="s">
        <v>535</v>
      </c>
      <c r="I352" s="22" t="s">
        <v>97</v>
      </c>
      <c r="J352" s="26" t="s">
        <v>48</v>
      </c>
      <c r="K352" s="24" t="s">
        <v>1081</v>
      </c>
    </row>
    <row r="353" ht="15.75" customHeight="1">
      <c r="A353" s="23" t="s">
        <v>1082</v>
      </c>
      <c r="B353" s="24" t="s">
        <v>1048</v>
      </c>
      <c r="C353" s="24" t="s">
        <v>1083</v>
      </c>
      <c r="D353" s="25" t="s">
        <v>17</v>
      </c>
      <c r="E353" s="24" t="s">
        <v>1078</v>
      </c>
      <c r="F353" s="25" t="s">
        <v>1079</v>
      </c>
      <c r="G353" s="25" t="s">
        <v>1080</v>
      </c>
      <c r="H353" s="22" t="s">
        <v>535</v>
      </c>
      <c r="I353" s="22" t="s">
        <v>97</v>
      </c>
      <c r="J353" s="26" t="s">
        <v>48</v>
      </c>
      <c r="K353" s="24" t="s">
        <v>1081</v>
      </c>
    </row>
    <row r="354" ht="15.75" customHeight="1">
      <c r="A354" s="17" t="s">
        <v>973</v>
      </c>
      <c r="B354" s="18" t="s">
        <v>905</v>
      </c>
      <c r="C354" s="18" t="s">
        <v>974</v>
      </c>
      <c r="D354" s="25" t="s">
        <v>17</v>
      </c>
      <c r="E354" s="24" t="s">
        <v>1084</v>
      </c>
      <c r="F354" s="25" t="s">
        <v>1042</v>
      </c>
      <c r="G354" s="25" t="s">
        <v>1032</v>
      </c>
      <c r="H354" s="22" t="s">
        <v>267</v>
      </c>
      <c r="I354" s="22" t="s">
        <v>105</v>
      </c>
      <c r="J354" s="63" t="s">
        <v>81</v>
      </c>
      <c r="K354" s="18" t="s">
        <v>945</v>
      </c>
    </row>
    <row r="355" ht="15.75" customHeight="1">
      <c r="A355" s="17" t="s">
        <v>1085</v>
      </c>
      <c r="B355" s="18" t="s">
        <v>905</v>
      </c>
      <c r="C355" s="18" t="s">
        <v>261</v>
      </c>
      <c r="D355" s="25" t="s">
        <v>17</v>
      </c>
      <c r="E355" s="24" t="s">
        <v>1084</v>
      </c>
      <c r="F355" s="19" t="s">
        <v>1086</v>
      </c>
      <c r="G355" s="19" t="s">
        <v>1036</v>
      </c>
      <c r="H355" s="27" t="s">
        <v>54</v>
      </c>
      <c r="I355" s="20" t="s">
        <v>130</v>
      </c>
      <c r="J355" s="21" t="s">
        <v>23</v>
      </c>
      <c r="K355" s="18" t="s">
        <v>440</v>
      </c>
    </row>
    <row r="356" ht="15.75" customHeight="1">
      <c r="A356" s="17" t="s">
        <v>988</v>
      </c>
      <c r="B356" s="18" t="s">
        <v>905</v>
      </c>
      <c r="C356" s="18" t="s">
        <v>989</v>
      </c>
      <c r="D356" s="25" t="s">
        <v>17</v>
      </c>
      <c r="E356" s="24" t="s">
        <v>1050</v>
      </c>
      <c r="F356" s="25" t="s">
        <v>1051</v>
      </c>
      <c r="G356" s="25" t="s">
        <v>1052</v>
      </c>
      <c r="H356" s="22" t="s">
        <v>971</v>
      </c>
      <c r="I356" s="22" t="s">
        <v>22</v>
      </c>
      <c r="J356" s="21" t="s">
        <v>48</v>
      </c>
      <c r="K356" s="18" t="s">
        <v>523</v>
      </c>
    </row>
    <row r="357" ht="15.75" customHeight="1">
      <c r="A357" s="17" t="s">
        <v>991</v>
      </c>
      <c r="B357" s="18" t="s">
        <v>905</v>
      </c>
      <c r="C357" s="18" t="s">
        <v>992</v>
      </c>
      <c r="D357" s="19" t="s">
        <v>17</v>
      </c>
      <c r="E357" s="18" t="s">
        <v>993</v>
      </c>
      <c r="F357" s="19" t="s">
        <v>994</v>
      </c>
      <c r="G357" s="19" t="s">
        <v>960</v>
      </c>
      <c r="H357" s="20" t="s">
        <v>971</v>
      </c>
      <c r="I357" s="20" t="s">
        <v>485</v>
      </c>
      <c r="J357" s="21" t="s">
        <v>48</v>
      </c>
      <c r="K357" s="18" t="s">
        <v>942</v>
      </c>
    </row>
    <row r="358" ht="15.75" customHeight="1">
      <c r="A358" s="23" t="s">
        <v>1011</v>
      </c>
      <c r="B358" s="24" t="s">
        <v>905</v>
      </c>
      <c r="C358" s="24" t="s">
        <v>1012</v>
      </c>
      <c r="D358" s="25" t="s">
        <v>43</v>
      </c>
      <c r="E358" s="61" t="s">
        <v>1013</v>
      </c>
      <c r="F358" s="25" t="s">
        <v>1014</v>
      </c>
      <c r="G358" s="25" t="s">
        <v>1015</v>
      </c>
      <c r="H358" s="22" t="s">
        <v>597</v>
      </c>
      <c r="I358" s="22" t="s">
        <v>201</v>
      </c>
      <c r="J358" s="26" t="s">
        <v>81</v>
      </c>
      <c r="K358" s="24" t="s">
        <v>945</v>
      </c>
    </row>
    <row r="359" ht="15.75" customHeight="1">
      <c r="A359" s="17" t="s">
        <v>1087</v>
      </c>
      <c r="B359" s="18" t="s">
        <v>905</v>
      </c>
      <c r="C359" s="18" t="s">
        <v>1088</v>
      </c>
      <c r="D359" s="19" t="s">
        <v>17</v>
      </c>
      <c r="E359" s="18" t="s">
        <v>1089</v>
      </c>
      <c r="F359" s="19" t="s">
        <v>1090</v>
      </c>
      <c r="G359" s="19" t="s">
        <v>1091</v>
      </c>
      <c r="H359" s="22" t="s">
        <v>433</v>
      </c>
      <c r="I359" s="22" t="s">
        <v>22</v>
      </c>
      <c r="J359" s="21" t="s">
        <v>23</v>
      </c>
      <c r="K359" s="18" t="s">
        <v>24</v>
      </c>
    </row>
    <row r="360" ht="15.75" customHeight="1">
      <c r="A360" s="23" t="s">
        <v>1092</v>
      </c>
      <c r="B360" s="24" t="s">
        <v>1048</v>
      </c>
      <c r="C360" s="24" t="s">
        <v>652</v>
      </c>
      <c r="D360" s="25" t="s">
        <v>17</v>
      </c>
      <c r="E360" s="24" t="s">
        <v>1093</v>
      </c>
      <c r="F360" s="25" t="s">
        <v>1094</v>
      </c>
      <c r="G360" s="25" t="s">
        <v>1095</v>
      </c>
      <c r="H360" s="22" t="s">
        <v>535</v>
      </c>
      <c r="I360" s="22" t="s">
        <v>201</v>
      </c>
      <c r="J360" s="26" t="s">
        <v>48</v>
      </c>
      <c r="K360" s="24" t="s">
        <v>1096</v>
      </c>
    </row>
    <row r="361" ht="15.75" customHeight="1">
      <c r="A361" s="17" t="s">
        <v>1097</v>
      </c>
      <c r="B361" s="18" t="s">
        <v>905</v>
      </c>
      <c r="C361" s="18" t="s">
        <v>1098</v>
      </c>
      <c r="D361" s="19" t="s">
        <v>17</v>
      </c>
      <c r="E361" s="18" t="s">
        <v>1099</v>
      </c>
      <c r="F361" s="19" t="s">
        <v>1100</v>
      </c>
      <c r="G361" s="19" t="s">
        <v>970</v>
      </c>
      <c r="H361" s="22" t="s">
        <v>21</v>
      </c>
      <c r="I361" s="20" t="s">
        <v>201</v>
      </c>
      <c r="J361" s="32" t="s">
        <v>89</v>
      </c>
      <c r="K361" s="18" t="s">
        <v>923</v>
      </c>
    </row>
    <row r="362" ht="15.75" customHeight="1">
      <c r="A362" s="23" t="s">
        <v>1101</v>
      </c>
      <c r="B362" s="24" t="s">
        <v>905</v>
      </c>
      <c r="C362" s="24" t="s">
        <v>1102</v>
      </c>
      <c r="D362" s="25" t="s">
        <v>17</v>
      </c>
      <c r="E362" s="24" t="s">
        <v>431</v>
      </c>
      <c r="F362" s="25" t="s">
        <v>432</v>
      </c>
      <c r="G362" s="25" t="s">
        <v>998</v>
      </c>
      <c r="H362" s="22" t="s">
        <v>21</v>
      </c>
      <c r="I362" s="22" t="s">
        <v>22</v>
      </c>
      <c r="J362" s="26" t="s">
        <v>48</v>
      </c>
      <c r="K362" s="24" t="s">
        <v>523</v>
      </c>
    </row>
    <row r="363" ht="15.75" customHeight="1">
      <c r="A363" s="23" t="s">
        <v>1020</v>
      </c>
      <c r="B363" s="24" t="s">
        <v>905</v>
      </c>
      <c r="C363" s="24" t="s">
        <v>1007</v>
      </c>
      <c r="D363" s="25" t="s">
        <v>17</v>
      </c>
      <c r="E363" s="24" t="s">
        <v>431</v>
      </c>
      <c r="F363" s="25" t="s">
        <v>432</v>
      </c>
      <c r="G363" s="25" t="s">
        <v>1021</v>
      </c>
      <c r="H363" s="22" t="s">
        <v>433</v>
      </c>
      <c r="I363" s="22" t="s">
        <v>22</v>
      </c>
      <c r="J363" s="31" t="s">
        <v>48</v>
      </c>
      <c r="K363" s="24" t="s">
        <v>1022</v>
      </c>
    </row>
    <row r="364" ht="15.75" customHeight="1">
      <c r="A364" s="23" t="s">
        <v>1103</v>
      </c>
      <c r="B364" s="24" t="s">
        <v>905</v>
      </c>
      <c r="C364" s="24" t="s">
        <v>1104</v>
      </c>
      <c r="D364" s="25" t="s">
        <v>17</v>
      </c>
      <c r="E364" s="24" t="s">
        <v>431</v>
      </c>
      <c r="F364" s="25" t="s">
        <v>432</v>
      </c>
      <c r="G364" s="25" t="s">
        <v>654</v>
      </c>
      <c r="H364" s="22" t="s">
        <v>433</v>
      </c>
      <c r="I364" s="22" t="s">
        <v>22</v>
      </c>
      <c r="J364" s="26" t="s">
        <v>48</v>
      </c>
      <c r="K364" s="24" t="s">
        <v>1105</v>
      </c>
    </row>
    <row r="365" ht="15.75" customHeight="1">
      <c r="A365" s="17" t="s">
        <v>1106</v>
      </c>
      <c r="B365" s="18" t="s">
        <v>905</v>
      </c>
      <c r="C365" s="18" t="s">
        <v>1107</v>
      </c>
      <c r="D365" s="19" t="s">
        <v>17</v>
      </c>
      <c r="E365" s="18" t="s">
        <v>1108</v>
      </c>
      <c r="F365" s="19" t="s">
        <v>1109</v>
      </c>
      <c r="G365" s="19" t="s">
        <v>1039</v>
      </c>
      <c r="H365" s="22" t="s">
        <v>129</v>
      </c>
      <c r="I365" s="22" t="s">
        <v>130</v>
      </c>
      <c r="J365" s="21" t="s">
        <v>23</v>
      </c>
      <c r="K365" s="18" t="s">
        <v>24</v>
      </c>
    </row>
    <row r="366" ht="15.75" customHeight="1">
      <c r="A366" s="17" t="s">
        <v>1110</v>
      </c>
      <c r="B366" s="18" t="s">
        <v>905</v>
      </c>
      <c r="C366" s="18" t="s">
        <v>1111</v>
      </c>
      <c r="D366" s="19" t="s">
        <v>17</v>
      </c>
      <c r="E366" s="28" t="s">
        <v>1112</v>
      </c>
      <c r="F366" s="19" t="s">
        <v>1113</v>
      </c>
      <c r="G366" s="19" t="s">
        <v>1114</v>
      </c>
      <c r="H366" s="20" t="s">
        <v>332</v>
      </c>
      <c r="I366" s="33" t="s">
        <v>97</v>
      </c>
      <c r="J366" s="21" t="s">
        <v>23</v>
      </c>
      <c r="K366" s="18" t="s">
        <v>24</v>
      </c>
    </row>
    <row r="367" ht="15.75" customHeight="1">
      <c r="A367" s="23" t="s">
        <v>1115</v>
      </c>
      <c r="B367" s="24" t="s">
        <v>1048</v>
      </c>
      <c r="C367" s="24" t="s">
        <v>1116</v>
      </c>
      <c r="D367" s="25" t="s">
        <v>17</v>
      </c>
      <c r="E367" s="24" t="s">
        <v>1117</v>
      </c>
      <c r="F367" s="25" t="s">
        <v>1118</v>
      </c>
      <c r="G367" s="25" t="s">
        <v>1080</v>
      </c>
      <c r="H367" s="22" t="s">
        <v>21</v>
      </c>
      <c r="I367" s="22" t="s">
        <v>105</v>
      </c>
      <c r="J367" s="26" t="s">
        <v>48</v>
      </c>
      <c r="K367" s="24" t="s">
        <v>1081</v>
      </c>
    </row>
    <row r="368" ht="15.75" customHeight="1">
      <c r="A368" s="17" t="s">
        <v>1119</v>
      </c>
      <c r="B368" s="18" t="s">
        <v>905</v>
      </c>
      <c r="C368" s="18" t="s">
        <v>351</v>
      </c>
      <c r="D368" s="19" t="s">
        <v>17</v>
      </c>
      <c r="E368" s="18" t="s">
        <v>1120</v>
      </c>
      <c r="F368" s="19" t="s">
        <v>1121</v>
      </c>
      <c r="G368" s="19" t="s">
        <v>103</v>
      </c>
      <c r="H368" s="22" t="s">
        <v>535</v>
      </c>
      <c r="I368" s="22" t="s">
        <v>97</v>
      </c>
      <c r="J368" s="21" t="s">
        <v>48</v>
      </c>
      <c r="K368" s="18" t="s">
        <v>1122</v>
      </c>
    </row>
    <row r="369" ht="15.75" customHeight="1">
      <c r="A369" s="23" t="s">
        <v>1123</v>
      </c>
      <c r="B369" s="24" t="s">
        <v>1048</v>
      </c>
      <c r="C369" s="24" t="s">
        <v>1124</v>
      </c>
      <c r="D369" s="25" t="s">
        <v>17</v>
      </c>
      <c r="E369" s="24" t="s">
        <v>1125</v>
      </c>
      <c r="F369" s="25" t="s">
        <v>1126</v>
      </c>
      <c r="G369" s="25" t="s">
        <v>1127</v>
      </c>
      <c r="H369" s="22" t="s">
        <v>535</v>
      </c>
      <c r="I369" s="22" t="s">
        <v>97</v>
      </c>
      <c r="J369" s="26" t="s">
        <v>48</v>
      </c>
      <c r="K369" s="24" t="s">
        <v>1128</v>
      </c>
    </row>
    <row r="370" ht="15.75" customHeight="1">
      <c r="A370" s="17" t="s">
        <v>1129</v>
      </c>
      <c r="B370" s="18" t="s">
        <v>905</v>
      </c>
      <c r="C370" s="18" t="s">
        <v>322</v>
      </c>
      <c r="D370" s="19" t="s">
        <v>17</v>
      </c>
      <c r="E370" s="18" t="s">
        <v>239</v>
      </c>
      <c r="F370" s="19" t="s">
        <v>1130</v>
      </c>
      <c r="G370" s="19" t="s">
        <v>970</v>
      </c>
      <c r="H370" s="20" t="s">
        <v>248</v>
      </c>
      <c r="I370" s="20" t="s">
        <v>201</v>
      </c>
      <c r="J370" s="21" t="s">
        <v>23</v>
      </c>
      <c r="K370" s="18" t="s">
        <v>24</v>
      </c>
    </row>
    <row r="371" ht="15.75" customHeight="1">
      <c r="A371" s="17" t="s">
        <v>1131</v>
      </c>
      <c r="B371" s="18" t="s">
        <v>905</v>
      </c>
      <c r="C371" s="18" t="s">
        <v>1132</v>
      </c>
      <c r="D371" s="19" t="s">
        <v>17</v>
      </c>
      <c r="E371" s="18" t="s">
        <v>1133</v>
      </c>
      <c r="F371" s="19" t="s">
        <v>1134</v>
      </c>
      <c r="G371" s="19" t="s">
        <v>1135</v>
      </c>
      <c r="H371" s="22" t="s">
        <v>123</v>
      </c>
      <c r="I371" s="43" t="s">
        <v>201</v>
      </c>
      <c r="J371" s="21" t="s">
        <v>23</v>
      </c>
      <c r="K371" s="18" t="s">
        <v>24</v>
      </c>
    </row>
    <row r="372" ht="15.75" customHeight="1">
      <c r="A372" s="17" t="s">
        <v>1136</v>
      </c>
      <c r="B372" s="18" t="s">
        <v>905</v>
      </c>
      <c r="C372" s="18" t="s">
        <v>1137</v>
      </c>
      <c r="D372" s="19" t="s">
        <v>17</v>
      </c>
      <c r="E372" s="18" t="s">
        <v>964</v>
      </c>
      <c r="F372" s="19" t="s">
        <v>965</v>
      </c>
      <c r="G372" s="19" t="s">
        <v>1138</v>
      </c>
      <c r="H372" s="20" t="s">
        <v>544</v>
      </c>
      <c r="I372" s="33" t="s">
        <v>97</v>
      </c>
      <c r="J372" s="21" t="s">
        <v>23</v>
      </c>
      <c r="K372" s="18" t="s">
        <v>24</v>
      </c>
    </row>
    <row r="373" ht="15.75" customHeight="1">
      <c r="A373" s="23" t="s">
        <v>1139</v>
      </c>
      <c r="B373" s="24" t="s">
        <v>1048</v>
      </c>
      <c r="C373" s="24" t="s">
        <v>1140</v>
      </c>
      <c r="D373" s="25" t="s">
        <v>43</v>
      </c>
      <c r="E373" s="24" t="s">
        <v>1078</v>
      </c>
      <c r="F373" s="25" t="s">
        <v>1079</v>
      </c>
      <c r="G373" s="25" t="s">
        <v>1080</v>
      </c>
      <c r="H373" s="22" t="s">
        <v>535</v>
      </c>
      <c r="I373" s="22" t="s">
        <v>97</v>
      </c>
      <c r="J373" s="26" t="s">
        <v>48</v>
      </c>
      <c r="K373" s="24" t="s">
        <v>1141</v>
      </c>
    </row>
    <row r="374" ht="15.75" customHeight="1">
      <c r="A374" s="23" t="s">
        <v>1142</v>
      </c>
      <c r="B374" s="24" t="s">
        <v>1048</v>
      </c>
      <c r="C374" s="24" t="s">
        <v>872</v>
      </c>
      <c r="D374" s="25" t="s">
        <v>17</v>
      </c>
      <c r="E374" s="24" t="s">
        <v>1078</v>
      </c>
      <c r="F374" s="25" t="s">
        <v>1079</v>
      </c>
      <c r="G374" s="25" t="s">
        <v>1080</v>
      </c>
      <c r="H374" s="22" t="s">
        <v>535</v>
      </c>
      <c r="I374" s="22" t="s">
        <v>97</v>
      </c>
      <c r="J374" s="26" t="s">
        <v>48</v>
      </c>
      <c r="K374" s="24" t="s">
        <v>1143</v>
      </c>
    </row>
    <row r="375" ht="15.75" customHeight="1">
      <c r="A375" s="23" t="s">
        <v>1144</v>
      </c>
      <c r="B375" s="24" t="s">
        <v>905</v>
      </c>
      <c r="C375" s="24" t="s">
        <v>1145</v>
      </c>
      <c r="D375" s="25" t="s">
        <v>17</v>
      </c>
      <c r="E375" s="24" t="s">
        <v>274</v>
      </c>
      <c r="F375" s="25" t="s">
        <v>1146</v>
      </c>
      <c r="G375" s="25" t="s">
        <v>1147</v>
      </c>
      <c r="H375" s="22" t="s">
        <v>123</v>
      </c>
      <c r="I375" s="22" t="s">
        <v>201</v>
      </c>
      <c r="J375" s="26" t="s">
        <v>48</v>
      </c>
      <c r="K375" s="24" t="s">
        <v>1148</v>
      </c>
    </row>
    <row r="376" ht="15.75" customHeight="1">
      <c r="A376" s="23" t="s">
        <v>1149</v>
      </c>
      <c r="B376" s="24" t="s">
        <v>1048</v>
      </c>
      <c r="C376" s="24" t="s">
        <v>1150</v>
      </c>
      <c r="D376" s="25" t="s">
        <v>17</v>
      </c>
      <c r="E376" s="24" t="s">
        <v>52</v>
      </c>
      <c r="F376" s="25" t="s">
        <v>53</v>
      </c>
      <c r="G376" s="25" t="s">
        <v>1151</v>
      </c>
      <c r="H376" s="22" t="s">
        <v>932</v>
      </c>
      <c r="I376" s="22" t="s">
        <v>22</v>
      </c>
      <c r="J376" s="26" t="s">
        <v>48</v>
      </c>
      <c r="K376" s="24" t="s">
        <v>1152</v>
      </c>
    </row>
    <row r="377" ht="15.75" customHeight="1">
      <c r="A377" s="17" t="s">
        <v>1011</v>
      </c>
      <c r="B377" s="18" t="s">
        <v>905</v>
      </c>
      <c r="C377" s="18" t="s">
        <v>1012</v>
      </c>
      <c r="D377" s="19" t="s">
        <v>43</v>
      </c>
      <c r="E377" s="18" t="s">
        <v>52</v>
      </c>
      <c r="F377" s="19" t="s">
        <v>53</v>
      </c>
      <c r="G377" s="19" t="s">
        <v>1015</v>
      </c>
      <c r="H377" s="22" t="s">
        <v>678</v>
      </c>
      <c r="I377" s="22" t="s">
        <v>97</v>
      </c>
      <c r="J377" s="63" t="s">
        <v>81</v>
      </c>
      <c r="K377" s="18" t="s">
        <v>945</v>
      </c>
    </row>
    <row r="378" ht="15.75" customHeight="1">
      <c r="A378" s="23" t="s">
        <v>1153</v>
      </c>
      <c r="B378" s="24" t="s">
        <v>1048</v>
      </c>
      <c r="C378" s="26" t="s">
        <v>1154</v>
      </c>
      <c r="D378" s="25" t="s">
        <v>43</v>
      </c>
      <c r="E378" s="61" t="s">
        <v>1093</v>
      </c>
      <c r="F378" s="25" t="s">
        <v>1094</v>
      </c>
      <c r="G378" s="25" t="s">
        <v>1155</v>
      </c>
      <c r="H378" s="22" t="s">
        <v>535</v>
      </c>
      <c r="I378" s="22" t="s">
        <v>201</v>
      </c>
      <c r="J378" s="26" t="s">
        <v>48</v>
      </c>
      <c r="K378" s="24" t="s">
        <v>1156</v>
      </c>
    </row>
    <row r="379" ht="15.75" customHeight="1">
      <c r="A379" s="23" t="s">
        <v>1157</v>
      </c>
      <c r="B379" s="24" t="s">
        <v>1048</v>
      </c>
      <c r="C379" s="24" t="s">
        <v>1154</v>
      </c>
      <c r="D379" s="25" t="s">
        <v>43</v>
      </c>
      <c r="E379" s="24" t="s">
        <v>1093</v>
      </c>
      <c r="F379" s="25" t="s">
        <v>1094</v>
      </c>
      <c r="G379" s="25" t="s">
        <v>1155</v>
      </c>
      <c r="H379" s="22" t="s">
        <v>535</v>
      </c>
      <c r="I379" s="22" t="s">
        <v>201</v>
      </c>
      <c r="J379" s="26" t="s">
        <v>48</v>
      </c>
      <c r="K379" s="24" t="s">
        <v>1065</v>
      </c>
    </row>
    <row r="380" ht="15.75" customHeight="1">
      <c r="A380" s="17" t="s">
        <v>1158</v>
      </c>
      <c r="B380" s="18" t="s">
        <v>905</v>
      </c>
      <c r="C380" s="18" t="s">
        <v>1159</v>
      </c>
      <c r="D380" s="19" t="s">
        <v>17</v>
      </c>
      <c r="E380" s="18" t="s">
        <v>431</v>
      </c>
      <c r="F380" s="19" t="s">
        <v>432</v>
      </c>
      <c r="G380" s="19" t="s">
        <v>1039</v>
      </c>
      <c r="H380" s="22" t="s">
        <v>34</v>
      </c>
      <c r="I380" s="22" t="s">
        <v>22</v>
      </c>
      <c r="J380" s="21" t="s">
        <v>23</v>
      </c>
      <c r="K380" s="18" t="s">
        <v>1075</v>
      </c>
    </row>
    <row r="381" ht="15.75" customHeight="1">
      <c r="A381" s="23" t="s">
        <v>1160</v>
      </c>
      <c r="B381" s="24" t="s">
        <v>1048</v>
      </c>
      <c r="C381" s="24" t="s">
        <v>1161</v>
      </c>
      <c r="D381" s="25" t="s">
        <v>17</v>
      </c>
      <c r="E381" s="24" t="s">
        <v>1162</v>
      </c>
      <c r="F381" s="25" t="s">
        <v>1163</v>
      </c>
      <c r="G381" s="25" t="s">
        <v>1164</v>
      </c>
      <c r="H381" s="22" t="s">
        <v>316</v>
      </c>
      <c r="I381" s="22" t="s">
        <v>97</v>
      </c>
      <c r="J381" s="26" t="s">
        <v>48</v>
      </c>
      <c r="K381" s="24" t="s">
        <v>1065</v>
      </c>
    </row>
    <row r="382" ht="15.75" customHeight="1">
      <c r="A382" s="17" t="s">
        <v>1020</v>
      </c>
      <c r="B382" s="18" t="s">
        <v>905</v>
      </c>
      <c r="C382" s="18" t="s">
        <v>1007</v>
      </c>
      <c r="D382" s="19" t="s">
        <v>17</v>
      </c>
      <c r="E382" s="24" t="s">
        <v>1093</v>
      </c>
      <c r="F382" s="25" t="s">
        <v>1094</v>
      </c>
      <c r="G382" s="25" t="s">
        <v>1095</v>
      </c>
      <c r="H382" s="22" t="s">
        <v>535</v>
      </c>
      <c r="I382" s="22" t="s">
        <v>201</v>
      </c>
      <c r="J382" s="21" t="s">
        <v>48</v>
      </c>
      <c r="K382" s="18" t="s">
        <v>1022</v>
      </c>
    </row>
    <row r="383" ht="15.75" customHeight="1">
      <c r="A383" s="23" t="s">
        <v>1165</v>
      </c>
      <c r="B383" s="24" t="s">
        <v>1048</v>
      </c>
      <c r="C383" s="24" t="s">
        <v>1166</v>
      </c>
      <c r="D383" s="25" t="s">
        <v>17</v>
      </c>
      <c r="E383" s="24" t="s">
        <v>1084</v>
      </c>
      <c r="F383" s="25" t="s">
        <v>1167</v>
      </c>
      <c r="G383" s="25" t="s">
        <v>1151</v>
      </c>
      <c r="H383" s="22" t="s">
        <v>267</v>
      </c>
      <c r="I383" s="22" t="s">
        <v>105</v>
      </c>
      <c r="J383" s="26" t="s">
        <v>48</v>
      </c>
      <c r="K383" s="24" t="s">
        <v>1168</v>
      </c>
    </row>
    <row r="384" ht="15.75" customHeight="1">
      <c r="A384" s="23" t="s">
        <v>1169</v>
      </c>
      <c r="B384" s="24" t="s">
        <v>1048</v>
      </c>
      <c r="C384" s="24" t="s">
        <v>1170</v>
      </c>
      <c r="D384" s="25" t="s">
        <v>17</v>
      </c>
      <c r="E384" s="24" t="s">
        <v>1084</v>
      </c>
      <c r="F384" s="25" t="s">
        <v>1167</v>
      </c>
      <c r="G384" s="25" t="s">
        <v>1052</v>
      </c>
      <c r="H384" s="22" t="s">
        <v>267</v>
      </c>
      <c r="I384" s="22" t="s">
        <v>105</v>
      </c>
      <c r="J384" s="26" t="s">
        <v>48</v>
      </c>
      <c r="K384" s="24" t="s">
        <v>1052</v>
      </c>
    </row>
    <row r="385" ht="15.75" customHeight="1">
      <c r="A385" s="23" t="s">
        <v>1033</v>
      </c>
      <c r="B385" s="24" t="s">
        <v>905</v>
      </c>
      <c r="C385" s="24">
        <v>7.3478442E8</v>
      </c>
      <c r="D385" s="25" t="s">
        <v>43</v>
      </c>
      <c r="E385" s="61" t="s">
        <v>532</v>
      </c>
      <c r="F385" s="25" t="s">
        <v>1034</v>
      </c>
      <c r="G385" s="25" t="s">
        <v>1032</v>
      </c>
      <c r="H385" s="22" t="s">
        <v>34</v>
      </c>
      <c r="I385" s="22" t="s">
        <v>22</v>
      </c>
      <c r="J385" s="26" t="s">
        <v>48</v>
      </c>
      <c r="K385" s="24" t="s">
        <v>49</v>
      </c>
    </row>
    <row r="386" ht="15.75" customHeight="1">
      <c r="A386" s="17" t="s">
        <v>1171</v>
      </c>
      <c r="B386" s="18" t="s">
        <v>905</v>
      </c>
      <c r="C386" s="18" t="s">
        <v>1172</v>
      </c>
      <c r="D386" s="19" t="s">
        <v>17</v>
      </c>
      <c r="E386" s="18" t="s">
        <v>693</v>
      </c>
      <c r="F386" s="19" t="s">
        <v>1173</v>
      </c>
      <c r="G386" s="19" t="s">
        <v>1039</v>
      </c>
      <c r="H386" s="20" t="s">
        <v>104</v>
      </c>
      <c r="I386" s="20" t="s">
        <v>22</v>
      </c>
      <c r="J386" s="21" t="s">
        <v>23</v>
      </c>
      <c r="K386" s="18" t="s">
        <v>24</v>
      </c>
    </row>
    <row r="387" ht="15.75" customHeight="1">
      <c r="A387" s="23" t="s">
        <v>1174</v>
      </c>
      <c r="B387" s="24" t="s">
        <v>905</v>
      </c>
      <c r="C387" s="24">
        <v>7.44891303E8</v>
      </c>
      <c r="D387" s="25" t="s">
        <v>43</v>
      </c>
      <c r="E387" s="24" t="s">
        <v>1175</v>
      </c>
      <c r="F387" s="25" t="s">
        <v>1176</v>
      </c>
      <c r="G387" s="25" t="s">
        <v>1032</v>
      </c>
      <c r="H387" s="22" t="s">
        <v>597</v>
      </c>
      <c r="I387" s="22" t="s">
        <v>201</v>
      </c>
      <c r="J387" s="26" t="s">
        <v>48</v>
      </c>
      <c r="K387" s="24" t="s">
        <v>49</v>
      </c>
    </row>
    <row r="388" ht="15.75" customHeight="1">
      <c r="A388" s="23" t="s">
        <v>1177</v>
      </c>
      <c r="B388" s="24" t="s">
        <v>905</v>
      </c>
      <c r="C388" s="24">
        <v>7.43087827E8</v>
      </c>
      <c r="D388" s="25" t="s">
        <v>43</v>
      </c>
      <c r="E388" s="24" t="s">
        <v>1175</v>
      </c>
      <c r="F388" s="25" t="s">
        <v>1178</v>
      </c>
      <c r="G388" s="25" t="s">
        <v>1032</v>
      </c>
      <c r="H388" s="22" t="s">
        <v>597</v>
      </c>
      <c r="I388" s="22" t="s">
        <v>201</v>
      </c>
      <c r="J388" s="26" t="s">
        <v>48</v>
      </c>
      <c r="K388" s="24" t="s">
        <v>49</v>
      </c>
    </row>
    <row r="389" ht="15.75" customHeight="1">
      <c r="A389" s="23" t="s">
        <v>1040</v>
      </c>
      <c r="B389" s="24" t="s">
        <v>905</v>
      </c>
      <c r="C389" s="24">
        <v>7.42837603E8</v>
      </c>
      <c r="D389" s="25" t="s">
        <v>43</v>
      </c>
      <c r="E389" s="24" t="s">
        <v>1117</v>
      </c>
      <c r="F389" s="25" t="s">
        <v>1118</v>
      </c>
      <c r="G389" s="25" t="s">
        <v>1080</v>
      </c>
      <c r="H389" s="22" t="s">
        <v>21</v>
      </c>
      <c r="I389" s="22" t="s">
        <v>105</v>
      </c>
      <c r="J389" s="26" t="s">
        <v>48</v>
      </c>
      <c r="K389" s="24" t="s">
        <v>49</v>
      </c>
    </row>
    <row r="390" ht="15.75" customHeight="1">
      <c r="A390" s="23" t="s">
        <v>1179</v>
      </c>
      <c r="B390" s="24" t="s">
        <v>1048</v>
      </c>
      <c r="C390" s="24" t="s">
        <v>1180</v>
      </c>
      <c r="D390" s="25" t="s">
        <v>17</v>
      </c>
      <c r="E390" s="61" t="s">
        <v>187</v>
      </c>
      <c r="F390" s="25" t="s">
        <v>1181</v>
      </c>
      <c r="G390" s="25" t="s">
        <v>1182</v>
      </c>
      <c r="H390" s="22" t="s">
        <v>96</v>
      </c>
      <c r="I390" s="22" t="s">
        <v>97</v>
      </c>
      <c r="J390" s="26" t="s">
        <v>494</v>
      </c>
      <c r="K390" s="24" t="s">
        <v>1183</v>
      </c>
    </row>
    <row r="391" ht="15.75" customHeight="1">
      <c r="A391" s="17" t="s">
        <v>1184</v>
      </c>
      <c r="B391" s="18" t="s">
        <v>905</v>
      </c>
      <c r="C391" s="18" t="s">
        <v>1185</v>
      </c>
      <c r="D391" s="19" t="s">
        <v>17</v>
      </c>
      <c r="E391" s="18" t="s">
        <v>470</v>
      </c>
      <c r="F391" s="19" t="s">
        <v>1186</v>
      </c>
      <c r="G391" s="19" t="s">
        <v>1187</v>
      </c>
      <c r="H391" s="62" t="s">
        <v>535</v>
      </c>
      <c r="I391" s="22" t="s">
        <v>97</v>
      </c>
      <c r="J391" s="21" t="s">
        <v>23</v>
      </c>
      <c r="K391" s="18" t="s">
        <v>1148</v>
      </c>
    </row>
    <row r="392" ht="15.75" customHeight="1">
      <c r="A392" s="23" t="s">
        <v>1188</v>
      </c>
      <c r="B392" s="24" t="s">
        <v>1048</v>
      </c>
      <c r="C392" s="24" t="s">
        <v>1189</v>
      </c>
      <c r="D392" s="25" t="s">
        <v>43</v>
      </c>
      <c r="E392" s="24" t="s">
        <v>772</v>
      </c>
      <c r="F392" s="25" t="s">
        <v>1190</v>
      </c>
      <c r="G392" s="25" t="s">
        <v>1052</v>
      </c>
      <c r="H392" s="22" t="s">
        <v>21</v>
      </c>
      <c r="I392" s="22" t="s">
        <v>105</v>
      </c>
      <c r="J392" s="26" t="s">
        <v>48</v>
      </c>
      <c r="K392" s="24" t="s">
        <v>1191</v>
      </c>
    </row>
    <row r="393" ht="15.75" customHeight="1">
      <c r="A393" s="23" t="s">
        <v>1192</v>
      </c>
      <c r="B393" s="24" t="s">
        <v>1048</v>
      </c>
      <c r="C393" s="24" t="s">
        <v>1193</v>
      </c>
      <c r="D393" s="25" t="s">
        <v>17</v>
      </c>
      <c r="E393" s="24" t="s">
        <v>1194</v>
      </c>
      <c r="F393" s="25" t="s">
        <v>1195</v>
      </c>
      <c r="G393" s="25" t="s">
        <v>1151</v>
      </c>
      <c r="H393" s="22" t="s">
        <v>21</v>
      </c>
      <c r="I393" s="22" t="s">
        <v>1196</v>
      </c>
      <c r="J393" s="26" t="s">
        <v>23</v>
      </c>
      <c r="K393" s="24" t="s">
        <v>1065</v>
      </c>
    </row>
    <row r="394" ht="15.75" customHeight="1">
      <c r="A394" s="23" t="s">
        <v>1197</v>
      </c>
      <c r="B394" s="24" t="s">
        <v>1048</v>
      </c>
      <c r="C394" s="24" t="s">
        <v>1198</v>
      </c>
      <c r="D394" s="25" t="s">
        <v>17</v>
      </c>
      <c r="E394" s="24" t="s">
        <v>1199</v>
      </c>
      <c r="F394" s="25" t="s">
        <v>1200</v>
      </c>
      <c r="G394" s="25" t="s">
        <v>1201</v>
      </c>
      <c r="H394" s="22" t="s">
        <v>255</v>
      </c>
      <c r="I394" s="22" t="s">
        <v>105</v>
      </c>
      <c r="J394" s="26" t="s">
        <v>48</v>
      </c>
      <c r="K394" s="24" t="s">
        <v>1128</v>
      </c>
    </row>
    <row r="395" ht="15.75" customHeight="1">
      <c r="A395" s="17" t="s">
        <v>1202</v>
      </c>
      <c r="B395" s="18" t="s">
        <v>905</v>
      </c>
      <c r="C395" s="18" t="s">
        <v>1203</v>
      </c>
      <c r="D395" s="19" t="s">
        <v>17</v>
      </c>
      <c r="E395" s="18" t="s">
        <v>900</v>
      </c>
      <c r="F395" s="19" t="s">
        <v>1204</v>
      </c>
      <c r="G395" s="19" t="s">
        <v>304</v>
      </c>
      <c r="H395" s="22" t="s">
        <v>163</v>
      </c>
      <c r="I395" s="20" t="s">
        <v>22</v>
      </c>
      <c r="J395" s="21" t="s">
        <v>23</v>
      </c>
      <c r="K395" s="18" t="s">
        <v>1205</v>
      </c>
    </row>
    <row r="396" ht="15.75" customHeight="1">
      <c r="A396" s="23" t="s">
        <v>1206</v>
      </c>
      <c r="B396" s="24" t="s">
        <v>1048</v>
      </c>
      <c r="C396" s="24" t="s">
        <v>1207</v>
      </c>
      <c r="D396" s="25" t="s">
        <v>43</v>
      </c>
      <c r="E396" s="61" t="s">
        <v>1208</v>
      </c>
      <c r="F396" s="25" t="s">
        <v>1209</v>
      </c>
      <c r="G396" s="25" t="s">
        <v>1059</v>
      </c>
      <c r="H396" s="22" t="s">
        <v>21</v>
      </c>
      <c r="I396" s="43" t="s">
        <v>1196</v>
      </c>
      <c r="J396" s="26" t="s">
        <v>89</v>
      </c>
      <c r="K396" s="24" t="s">
        <v>1065</v>
      </c>
    </row>
    <row r="397" ht="15.75" customHeight="1">
      <c r="A397" s="17" t="s">
        <v>1210</v>
      </c>
      <c r="B397" s="18" t="s">
        <v>905</v>
      </c>
      <c r="C397" s="18" t="s">
        <v>1211</v>
      </c>
      <c r="D397" s="19" t="s">
        <v>17</v>
      </c>
      <c r="E397" s="61" t="s">
        <v>1212</v>
      </c>
      <c r="F397" s="25" t="s">
        <v>1213</v>
      </c>
      <c r="G397" s="25" t="s">
        <v>1151</v>
      </c>
      <c r="H397" s="22" t="s">
        <v>21</v>
      </c>
      <c r="I397" s="22" t="s">
        <v>1196</v>
      </c>
      <c r="J397" s="21" t="s">
        <v>23</v>
      </c>
      <c r="K397" s="18" t="s">
        <v>1205</v>
      </c>
    </row>
    <row r="398" ht="15.75" customHeight="1">
      <c r="A398" s="23" t="s">
        <v>1060</v>
      </c>
      <c r="B398" s="24" t="s">
        <v>1048</v>
      </c>
      <c r="C398" s="24" t="s">
        <v>1061</v>
      </c>
      <c r="D398" s="25" t="s">
        <v>17</v>
      </c>
      <c r="E398" s="24" t="s">
        <v>693</v>
      </c>
      <c r="F398" s="25" t="s">
        <v>1062</v>
      </c>
      <c r="G398" s="25" t="s">
        <v>1063</v>
      </c>
      <c r="H398" s="22" t="s">
        <v>163</v>
      </c>
      <c r="I398" s="22" t="s">
        <v>47</v>
      </c>
      <c r="J398" s="26" t="s">
        <v>48</v>
      </c>
      <c r="K398" s="24" t="s">
        <v>1065</v>
      </c>
    </row>
    <row r="399" ht="15.75" customHeight="1">
      <c r="A399" s="23" t="s">
        <v>1060</v>
      </c>
      <c r="B399" s="24" t="s">
        <v>1048</v>
      </c>
      <c r="C399" s="24" t="s">
        <v>1061</v>
      </c>
      <c r="D399" s="25" t="s">
        <v>17</v>
      </c>
      <c r="E399" s="26" t="s">
        <v>693</v>
      </c>
      <c r="F399" s="25" t="s">
        <v>1066</v>
      </c>
      <c r="G399" s="25" t="s">
        <v>1063</v>
      </c>
      <c r="H399" s="22" t="s">
        <v>932</v>
      </c>
      <c r="I399" s="43" t="s">
        <v>22</v>
      </c>
      <c r="J399" s="26" t="s">
        <v>48</v>
      </c>
      <c r="K399" s="24" t="s">
        <v>1065</v>
      </c>
    </row>
    <row r="400" ht="15.75" customHeight="1">
      <c r="A400" s="17" t="s">
        <v>1025</v>
      </c>
      <c r="B400" s="18" t="s">
        <v>376</v>
      </c>
      <c r="C400" s="18">
        <v>7.82897612E8</v>
      </c>
      <c r="D400" s="19" t="s">
        <v>43</v>
      </c>
      <c r="E400" s="18" t="s">
        <v>1026</v>
      </c>
      <c r="F400" s="19" t="s">
        <v>1066</v>
      </c>
      <c r="G400" s="19" t="s">
        <v>1028</v>
      </c>
      <c r="H400" s="20" t="s">
        <v>932</v>
      </c>
      <c r="I400" s="20" t="s">
        <v>22</v>
      </c>
      <c r="J400" s="21" t="s">
        <v>48</v>
      </c>
      <c r="K400" s="18" t="s">
        <v>397</v>
      </c>
    </row>
    <row r="401" ht="15.75" customHeight="1">
      <c r="A401" s="23" t="s">
        <v>1214</v>
      </c>
      <c r="B401" s="24" t="s">
        <v>1048</v>
      </c>
      <c r="C401" s="24" t="s">
        <v>1215</v>
      </c>
      <c r="D401" s="25" t="s">
        <v>17</v>
      </c>
      <c r="E401" s="24" t="s">
        <v>1030</v>
      </c>
      <c r="F401" s="25" t="s">
        <v>1216</v>
      </c>
      <c r="G401" s="25" t="s">
        <v>1217</v>
      </c>
      <c r="H401" s="22" t="s">
        <v>535</v>
      </c>
      <c r="I401" s="22" t="s">
        <v>201</v>
      </c>
      <c r="J401" s="26" t="s">
        <v>48</v>
      </c>
      <c r="K401" s="24" t="s">
        <v>1065</v>
      </c>
    </row>
    <row r="402" ht="15.75" customHeight="1">
      <c r="A402" s="23" t="s">
        <v>1218</v>
      </c>
      <c r="B402" s="24" t="s">
        <v>1048</v>
      </c>
      <c r="C402" s="24" t="s">
        <v>1219</v>
      </c>
      <c r="D402" s="25" t="s">
        <v>17</v>
      </c>
      <c r="E402" s="24" t="s">
        <v>1072</v>
      </c>
      <c r="F402" s="25" t="s">
        <v>1220</v>
      </c>
      <c r="G402" s="25" t="s">
        <v>1221</v>
      </c>
      <c r="H402" s="22" t="s">
        <v>535</v>
      </c>
      <c r="I402" s="22" t="s">
        <v>201</v>
      </c>
      <c r="J402" s="26" t="s">
        <v>48</v>
      </c>
      <c r="K402" s="24" t="s">
        <v>1222</v>
      </c>
    </row>
    <row r="403" ht="15.75" customHeight="1">
      <c r="A403" s="17" t="s">
        <v>1029</v>
      </c>
      <c r="B403" s="18" t="s">
        <v>905</v>
      </c>
      <c r="C403" s="18">
        <v>7.75575369E8</v>
      </c>
      <c r="D403" s="19" t="s">
        <v>17</v>
      </c>
      <c r="E403" s="18" t="s">
        <v>1072</v>
      </c>
      <c r="F403" s="19" t="s">
        <v>1031</v>
      </c>
      <c r="G403" s="19" t="s">
        <v>1032</v>
      </c>
      <c r="H403" s="22" t="s">
        <v>54</v>
      </c>
      <c r="I403" s="22" t="s">
        <v>22</v>
      </c>
      <c r="J403" s="21" t="s">
        <v>48</v>
      </c>
      <c r="K403" s="18" t="s">
        <v>49</v>
      </c>
    </row>
    <row r="404" ht="15.75" customHeight="1">
      <c r="A404" s="17" t="s">
        <v>1033</v>
      </c>
      <c r="B404" s="18" t="s">
        <v>905</v>
      </c>
      <c r="C404" s="18">
        <v>7.72298829E8</v>
      </c>
      <c r="D404" s="19" t="s">
        <v>17</v>
      </c>
      <c r="E404" s="18" t="s">
        <v>1072</v>
      </c>
      <c r="F404" s="19" t="s">
        <v>1034</v>
      </c>
      <c r="G404" s="19" t="s">
        <v>1032</v>
      </c>
      <c r="H404" s="22" t="s">
        <v>316</v>
      </c>
      <c r="I404" s="22" t="s">
        <v>97</v>
      </c>
      <c r="J404" s="21" t="s">
        <v>48</v>
      </c>
      <c r="K404" s="18" t="s">
        <v>49</v>
      </c>
    </row>
    <row r="405" ht="15.75" customHeight="1">
      <c r="A405" s="23" t="s">
        <v>1223</v>
      </c>
      <c r="B405" s="24" t="s">
        <v>1048</v>
      </c>
      <c r="C405" s="24" t="s">
        <v>1224</v>
      </c>
      <c r="D405" s="25" t="s">
        <v>17</v>
      </c>
      <c r="E405" s="24" t="s">
        <v>1225</v>
      </c>
      <c r="F405" s="25" t="s">
        <v>1226</v>
      </c>
      <c r="G405" s="25" t="s">
        <v>1227</v>
      </c>
      <c r="H405" s="22" t="s">
        <v>54</v>
      </c>
      <c r="I405" s="22" t="s">
        <v>22</v>
      </c>
      <c r="J405" s="26" t="s">
        <v>48</v>
      </c>
      <c r="K405" s="24" t="s">
        <v>1065</v>
      </c>
    </row>
    <row r="406" ht="15.75" customHeight="1">
      <c r="A406" s="23" t="s">
        <v>1228</v>
      </c>
      <c r="B406" s="24" t="s">
        <v>1048</v>
      </c>
      <c r="C406" s="24" t="s">
        <v>353</v>
      </c>
      <c r="D406" s="25" t="s">
        <v>43</v>
      </c>
      <c r="E406" s="24" t="s">
        <v>1225</v>
      </c>
      <c r="F406" s="25" t="s">
        <v>1226</v>
      </c>
      <c r="G406" s="25" t="s">
        <v>1229</v>
      </c>
      <c r="H406" s="22" t="s">
        <v>267</v>
      </c>
      <c r="I406" s="22" t="s">
        <v>105</v>
      </c>
      <c r="J406" s="26" t="s">
        <v>89</v>
      </c>
      <c r="K406" s="24" t="s">
        <v>1230</v>
      </c>
    </row>
    <row r="407" ht="15.75" customHeight="1">
      <c r="A407" s="23" t="s">
        <v>1231</v>
      </c>
      <c r="B407" s="24" t="s">
        <v>1048</v>
      </c>
      <c r="C407" s="24" t="s">
        <v>1232</v>
      </c>
      <c r="D407" s="25" t="s">
        <v>17</v>
      </c>
      <c r="E407" s="24" t="s">
        <v>1084</v>
      </c>
      <c r="F407" s="25" t="s">
        <v>1167</v>
      </c>
      <c r="G407" s="25" t="s">
        <v>1052</v>
      </c>
      <c r="H407" s="22" t="s">
        <v>267</v>
      </c>
      <c r="I407" s="22" t="s">
        <v>105</v>
      </c>
      <c r="J407" s="26" t="s">
        <v>48</v>
      </c>
      <c r="K407" s="24" t="s">
        <v>1233</v>
      </c>
    </row>
    <row r="408" ht="15.75" customHeight="1">
      <c r="A408" s="17" t="s">
        <v>1040</v>
      </c>
      <c r="B408" s="18" t="s">
        <v>905</v>
      </c>
      <c r="C408" s="18">
        <v>7.98003017E8</v>
      </c>
      <c r="D408" s="19" t="s">
        <v>17</v>
      </c>
      <c r="E408" s="18" t="s">
        <v>1084</v>
      </c>
      <c r="F408" s="19" t="s">
        <v>1042</v>
      </c>
      <c r="G408" s="19" t="s">
        <v>1032</v>
      </c>
      <c r="H408" s="20" t="s">
        <v>267</v>
      </c>
      <c r="I408" s="20" t="s">
        <v>105</v>
      </c>
      <c r="J408" s="21" t="s">
        <v>48</v>
      </c>
      <c r="K408" s="18" t="s">
        <v>49</v>
      </c>
    </row>
    <row r="409" ht="15.75" customHeight="1">
      <c r="A409" s="17" t="s">
        <v>1043</v>
      </c>
      <c r="B409" s="18" t="s">
        <v>905</v>
      </c>
      <c r="C409" s="18">
        <v>7.30579945E8</v>
      </c>
      <c r="D409" s="19" t="s">
        <v>17</v>
      </c>
      <c r="E409" s="18" t="s">
        <v>1084</v>
      </c>
      <c r="F409" s="19" t="s">
        <v>1044</v>
      </c>
      <c r="G409" s="19" t="s">
        <v>1032</v>
      </c>
      <c r="H409" s="22" t="s">
        <v>54</v>
      </c>
      <c r="I409" s="22" t="s">
        <v>29</v>
      </c>
      <c r="J409" s="21" t="s">
        <v>48</v>
      </c>
      <c r="K409" s="18" t="s">
        <v>49</v>
      </c>
    </row>
    <row r="410" ht="15.75" customHeight="1">
      <c r="A410" s="23" t="s">
        <v>1076</v>
      </c>
      <c r="B410" s="24" t="s">
        <v>1048</v>
      </c>
      <c r="C410" s="24" t="s">
        <v>1077</v>
      </c>
      <c r="D410" s="25" t="s">
        <v>17</v>
      </c>
      <c r="E410" s="64" t="s">
        <v>1050</v>
      </c>
      <c r="F410" s="65" t="s">
        <v>1051</v>
      </c>
      <c r="G410" s="25" t="s">
        <v>1080</v>
      </c>
      <c r="H410" s="42" t="s">
        <v>971</v>
      </c>
      <c r="I410" s="22" t="s">
        <v>22</v>
      </c>
      <c r="J410" s="26" t="s">
        <v>48</v>
      </c>
      <c r="K410" s="24" t="s">
        <v>1081</v>
      </c>
    </row>
    <row r="411" ht="15.75" customHeight="1">
      <c r="A411" s="23" t="s">
        <v>1082</v>
      </c>
      <c r="B411" s="24" t="s">
        <v>1048</v>
      </c>
      <c r="C411" s="24" t="s">
        <v>1083</v>
      </c>
      <c r="D411" s="25" t="s">
        <v>17</v>
      </c>
      <c r="E411" s="24" t="s">
        <v>1050</v>
      </c>
      <c r="F411" s="25" t="s">
        <v>1051</v>
      </c>
      <c r="G411" s="25" t="s">
        <v>1080</v>
      </c>
      <c r="H411" s="22" t="s">
        <v>971</v>
      </c>
      <c r="I411" s="22" t="s">
        <v>22</v>
      </c>
      <c r="J411" s="26" t="s">
        <v>48</v>
      </c>
      <c r="K411" s="24" t="s">
        <v>1081</v>
      </c>
    </row>
    <row r="412" ht="15.75" customHeight="1">
      <c r="A412" s="17" t="s">
        <v>1047</v>
      </c>
      <c r="B412" s="18" t="s">
        <v>1048</v>
      </c>
      <c r="C412" s="18" t="s">
        <v>1049</v>
      </c>
      <c r="D412" s="19" t="s">
        <v>17</v>
      </c>
      <c r="E412" s="18" t="s">
        <v>1050</v>
      </c>
      <c r="F412" s="19" t="s">
        <v>1051</v>
      </c>
      <c r="G412" s="19" t="s">
        <v>1052</v>
      </c>
      <c r="H412" s="22" t="s">
        <v>96</v>
      </c>
      <c r="I412" s="22" t="s">
        <v>97</v>
      </c>
      <c r="J412" s="21" t="s">
        <v>48</v>
      </c>
      <c r="K412" s="18" t="s">
        <v>1052</v>
      </c>
    </row>
    <row r="413" ht="15.75" customHeight="1">
      <c r="A413" s="23" t="s">
        <v>1234</v>
      </c>
      <c r="B413" s="24" t="s">
        <v>1048</v>
      </c>
      <c r="C413" s="24" t="s">
        <v>1235</v>
      </c>
      <c r="D413" s="25" t="s">
        <v>17</v>
      </c>
      <c r="E413" s="24" t="s">
        <v>187</v>
      </c>
      <c r="F413" s="25" t="s">
        <v>1181</v>
      </c>
      <c r="G413" s="25" t="s">
        <v>1182</v>
      </c>
      <c r="H413" s="22" t="s">
        <v>96</v>
      </c>
      <c r="I413" s="22" t="s">
        <v>97</v>
      </c>
      <c r="J413" s="26" t="s">
        <v>48</v>
      </c>
      <c r="K413" s="24" t="s">
        <v>1052</v>
      </c>
    </row>
    <row r="414" ht="15.75" customHeight="1">
      <c r="A414" s="17" t="s">
        <v>1236</v>
      </c>
      <c r="B414" s="18" t="s">
        <v>1048</v>
      </c>
      <c r="C414" s="18" t="s">
        <v>1237</v>
      </c>
      <c r="D414" s="19" t="s">
        <v>17</v>
      </c>
      <c r="E414" s="66" t="s">
        <v>1208</v>
      </c>
      <c r="F414" s="19" t="s">
        <v>1209</v>
      </c>
      <c r="G414" s="19" t="s">
        <v>1238</v>
      </c>
      <c r="H414" s="20" t="s">
        <v>162</v>
      </c>
      <c r="I414" s="20" t="s">
        <v>130</v>
      </c>
      <c r="J414" s="21" t="s">
        <v>23</v>
      </c>
      <c r="K414" s="18" t="s">
        <v>1239</v>
      </c>
    </row>
    <row r="415" ht="15.75" customHeight="1">
      <c r="A415" s="23" t="s">
        <v>1240</v>
      </c>
      <c r="B415" s="24" t="s">
        <v>1048</v>
      </c>
      <c r="C415" s="24" t="s">
        <v>1241</v>
      </c>
      <c r="D415" s="25" t="s">
        <v>43</v>
      </c>
      <c r="E415" s="24" t="s">
        <v>772</v>
      </c>
      <c r="F415" s="25" t="s">
        <v>1190</v>
      </c>
      <c r="G415" s="25" t="s">
        <v>1052</v>
      </c>
      <c r="H415" s="22" t="s">
        <v>21</v>
      </c>
      <c r="I415" s="22" t="s">
        <v>105</v>
      </c>
      <c r="J415" s="38" t="s">
        <v>48</v>
      </c>
      <c r="K415" s="24" t="s">
        <v>1242</v>
      </c>
    </row>
    <row r="416" ht="15.75" customHeight="1">
      <c r="A416" s="17" t="s">
        <v>1243</v>
      </c>
      <c r="B416" s="18" t="s">
        <v>1048</v>
      </c>
      <c r="C416" s="18" t="s">
        <v>1244</v>
      </c>
      <c r="D416" s="19" t="s">
        <v>17</v>
      </c>
      <c r="E416" s="66" t="s">
        <v>246</v>
      </c>
      <c r="F416" s="19" t="s">
        <v>1245</v>
      </c>
      <c r="G416" s="19" t="s">
        <v>1246</v>
      </c>
      <c r="H416" s="22" t="s">
        <v>21</v>
      </c>
      <c r="I416" s="22" t="s">
        <v>97</v>
      </c>
      <c r="J416" s="21" t="s">
        <v>23</v>
      </c>
      <c r="K416" s="18" t="s">
        <v>1247</v>
      </c>
    </row>
    <row r="417" ht="15.75" customHeight="1">
      <c r="A417" s="17" t="s">
        <v>1060</v>
      </c>
      <c r="B417" s="18" t="s">
        <v>1048</v>
      </c>
      <c r="C417" s="18" t="s">
        <v>1061</v>
      </c>
      <c r="D417" s="19" t="s">
        <v>17</v>
      </c>
      <c r="E417" s="66" t="s">
        <v>693</v>
      </c>
      <c r="F417" s="19" t="s">
        <v>1062</v>
      </c>
      <c r="G417" s="19" t="s">
        <v>1063</v>
      </c>
      <c r="H417" s="20" t="s">
        <v>21</v>
      </c>
      <c r="I417" s="20" t="s">
        <v>47</v>
      </c>
      <c r="J417" s="21" t="s">
        <v>48</v>
      </c>
      <c r="K417" s="18" t="s">
        <v>1065</v>
      </c>
    </row>
    <row r="418" ht="15.75" customHeight="1">
      <c r="A418" s="46" t="s">
        <v>1060</v>
      </c>
      <c r="B418" s="24" t="s">
        <v>1048</v>
      </c>
      <c r="C418" s="24" t="s">
        <v>1061</v>
      </c>
      <c r="D418" s="24" t="s">
        <v>17</v>
      </c>
      <c r="E418" s="66" t="s">
        <v>693</v>
      </c>
      <c r="F418" s="19" t="s">
        <v>1066</v>
      </c>
      <c r="G418" s="19" t="s">
        <v>1063</v>
      </c>
      <c r="H418" s="20" t="s">
        <v>21</v>
      </c>
      <c r="I418" s="20" t="s">
        <v>47</v>
      </c>
      <c r="J418" s="21" t="s">
        <v>48</v>
      </c>
      <c r="K418" s="18" t="s">
        <v>1065</v>
      </c>
    </row>
    <row r="419" ht="15.75" customHeight="1">
      <c r="A419" s="23" t="s">
        <v>1092</v>
      </c>
      <c r="B419" s="24" t="s">
        <v>1048</v>
      </c>
      <c r="C419" s="24" t="s">
        <v>652</v>
      </c>
      <c r="D419" s="25" t="s">
        <v>17</v>
      </c>
      <c r="E419" s="24" t="s">
        <v>38</v>
      </c>
      <c r="F419" s="65" t="s">
        <v>1248</v>
      </c>
      <c r="G419" s="25" t="s">
        <v>1095</v>
      </c>
      <c r="H419" s="22" t="s">
        <v>1064</v>
      </c>
      <c r="I419" s="22" t="s">
        <v>97</v>
      </c>
      <c r="J419" s="26" t="s">
        <v>48</v>
      </c>
      <c r="K419" s="24" t="s">
        <v>1096</v>
      </c>
    </row>
    <row r="420" ht="15.75" customHeight="1">
      <c r="A420" s="23" t="s">
        <v>1249</v>
      </c>
      <c r="B420" s="24" t="s">
        <v>1048</v>
      </c>
      <c r="C420" s="24" t="s">
        <v>1250</v>
      </c>
      <c r="D420" s="25" t="s">
        <v>43</v>
      </c>
      <c r="E420" s="61" t="s">
        <v>38</v>
      </c>
      <c r="F420" s="29" t="s">
        <v>1248</v>
      </c>
      <c r="G420" s="25" t="s">
        <v>1251</v>
      </c>
      <c r="H420" s="22" t="s">
        <v>1064</v>
      </c>
      <c r="I420" s="22" t="s">
        <v>97</v>
      </c>
      <c r="J420" s="26" t="s">
        <v>81</v>
      </c>
      <c r="K420" s="24" t="s">
        <v>1252</v>
      </c>
    </row>
    <row r="421" ht="15.75" customHeight="1">
      <c r="A421" s="17" t="s">
        <v>1214</v>
      </c>
      <c r="B421" s="18" t="s">
        <v>1048</v>
      </c>
      <c r="C421" s="18" t="s">
        <v>1215</v>
      </c>
      <c r="D421" s="19" t="s">
        <v>17</v>
      </c>
      <c r="E421" s="64" t="s">
        <v>1117</v>
      </c>
      <c r="F421" s="25" t="s">
        <v>1118</v>
      </c>
      <c r="G421" s="19" t="s">
        <v>1217</v>
      </c>
      <c r="H421" s="22" t="s">
        <v>129</v>
      </c>
      <c r="I421" s="22" t="s">
        <v>105</v>
      </c>
      <c r="J421" s="21" t="s">
        <v>48</v>
      </c>
      <c r="K421" s="18" t="s">
        <v>1065</v>
      </c>
    </row>
    <row r="422" ht="15.75" customHeight="1">
      <c r="A422" s="17" t="s">
        <v>1218</v>
      </c>
      <c r="B422" s="18" t="s">
        <v>1048</v>
      </c>
      <c r="C422" s="18" t="s">
        <v>1219</v>
      </c>
      <c r="D422" s="19" t="s">
        <v>17</v>
      </c>
      <c r="E422" s="28" t="s">
        <v>1072</v>
      </c>
      <c r="F422" s="19" t="s">
        <v>1220</v>
      </c>
      <c r="G422" s="19" t="s">
        <v>1221</v>
      </c>
      <c r="H422" s="20" t="s">
        <v>129</v>
      </c>
      <c r="I422" s="20" t="s">
        <v>105</v>
      </c>
      <c r="J422" s="21" t="s">
        <v>48</v>
      </c>
      <c r="K422" s="18" t="s">
        <v>1222</v>
      </c>
    </row>
    <row r="423" ht="15.75" customHeight="1">
      <c r="A423" s="23" t="s">
        <v>1253</v>
      </c>
      <c r="B423" s="24" t="s">
        <v>1048</v>
      </c>
      <c r="C423" s="24" t="s">
        <v>1124</v>
      </c>
      <c r="D423" s="25" t="s">
        <v>43</v>
      </c>
      <c r="E423" s="64" t="s">
        <v>1254</v>
      </c>
      <c r="F423" s="25" t="s">
        <v>1255</v>
      </c>
      <c r="G423" s="25" t="s">
        <v>1052</v>
      </c>
      <c r="H423" s="22" t="s">
        <v>541</v>
      </c>
      <c r="I423" s="22" t="s">
        <v>22</v>
      </c>
      <c r="J423" s="26" t="s">
        <v>48</v>
      </c>
      <c r="K423" s="24" t="s">
        <v>1052</v>
      </c>
    </row>
    <row r="424" ht="15.75" customHeight="1">
      <c r="A424" s="17" t="s">
        <v>1256</v>
      </c>
      <c r="B424" s="18" t="s">
        <v>1048</v>
      </c>
      <c r="C424" s="18" t="s">
        <v>1257</v>
      </c>
      <c r="D424" s="19" t="s">
        <v>17</v>
      </c>
      <c r="E424" s="28" t="s">
        <v>1258</v>
      </c>
      <c r="F424" s="19" t="s">
        <v>1259</v>
      </c>
      <c r="G424" s="19" t="s">
        <v>1246</v>
      </c>
      <c r="H424" s="62" t="s">
        <v>535</v>
      </c>
      <c r="I424" s="22" t="s">
        <v>97</v>
      </c>
      <c r="J424" s="21" t="s">
        <v>23</v>
      </c>
      <c r="K424" s="18" t="s">
        <v>1247</v>
      </c>
    </row>
    <row r="425" ht="15.75" customHeight="1">
      <c r="A425" s="17" t="s">
        <v>1223</v>
      </c>
      <c r="B425" s="18" t="s">
        <v>1048</v>
      </c>
      <c r="C425" s="18" t="s">
        <v>1224</v>
      </c>
      <c r="D425" s="19" t="s">
        <v>17</v>
      </c>
      <c r="E425" s="66" t="s">
        <v>1225</v>
      </c>
      <c r="F425" s="19" t="s">
        <v>1226</v>
      </c>
      <c r="G425" s="19" t="s">
        <v>1227</v>
      </c>
      <c r="H425" s="20" t="s">
        <v>535</v>
      </c>
      <c r="I425" s="20" t="s">
        <v>97</v>
      </c>
      <c r="J425" s="21" t="s">
        <v>48</v>
      </c>
      <c r="K425" s="18" t="s">
        <v>1065</v>
      </c>
    </row>
    <row r="426" ht="15.75" customHeight="1">
      <c r="A426" s="23" t="s">
        <v>1115</v>
      </c>
      <c r="B426" s="24" t="s">
        <v>1048</v>
      </c>
      <c r="C426" s="24" t="s">
        <v>1116</v>
      </c>
      <c r="D426" s="25" t="s">
        <v>17</v>
      </c>
      <c r="E426" s="24" t="s">
        <v>1117</v>
      </c>
      <c r="F426" s="25" t="s">
        <v>1118</v>
      </c>
      <c r="G426" s="25" t="s">
        <v>1080</v>
      </c>
      <c r="H426" s="22" t="s">
        <v>129</v>
      </c>
      <c r="I426" s="22" t="s">
        <v>105</v>
      </c>
      <c r="J426" s="38" t="s">
        <v>48</v>
      </c>
      <c r="K426" s="24" t="s">
        <v>1081</v>
      </c>
    </row>
    <row r="427" ht="15.75" customHeight="1">
      <c r="A427" s="17" t="s">
        <v>1231</v>
      </c>
      <c r="B427" s="18" t="s">
        <v>1048</v>
      </c>
      <c r="C427" s="18" t="s">
        <v>1232</v>
      </c>
      <c r="D427" s="19" t="s">
        <v>43</v>
      </c>
      <c r="E427" s="66" t="s">
        <v>1041</v>
      </c>
      <c r="F427" s="19" t="s">
        <v>1260</v>
      </c>
      <c r="G427" s="19" t="s">
        <v>1261</v>
      </c>
      <c r="H427" s="22" t="s">
        <v>34</v>
      </c>
      <c r="I427" s="22" t="s">
        <v>130</v>
      </c>
      <c r="J427" s="21" t="s">
        <v>48</v>
      </c>
      <c r="K427" s="18" t="s">
        <v>1233</v>
      </c>
    </row>
    <row r="428" ht="15.75" customHeight="1">
      <c r="A428" s="23" t="s">
        <v>1262</v>
      </c>
      <c r="B428" s="24" t="s">
        <v>1048</v>
      </c>
      <c r="C428" s="24" t="s">
        <v>1263</v>
      </c>
      <c r="D428" s="25" t="s">
        <v>17</v>
      </c>
      <c r="E428" s="64" t="s">
        <v>1078</v>
      </c>
      <c r="F428" s="25" t="s">
        <v>1079</v>
      </c>
      <c r="G428" s="25" t="s">
        <v>1151</v>
      </c>
      <c r="H428" s="22" t="s">
        <v>535</v>
      </c>
      <c r="I428" s="22" t="s">
        <v>97</v>
      </c>
      <c r="J428" s="26" t="s">
        <v>48</v>
      </c>
      <c r="K428" s="24" t="s">
        <v>1065</v>
      </c>
    </row>
    <row r="429" ht="15.75" customHeight="1">
      <c r="A429" s="23" t="s">
        <v>1264</v>
      </c>
      <c r="B429" s="24" t="s">
        <v>1048</v>
      </c>
      <c r="C429" s="24" t="s">
        <v>1265</v>
      </c>
      <c r="D429" s="25" t="s">
        <v>43</v>
      </c>
      <c r="E429" s="64" t="s">
        <v>772</v>
      </c>
      <c r="F429" s="25" t="s">
        <v>1266</v>
      </c>
      <c r="G429" s="25" t="s">
        <v>1267</v>
      </c>
      <c r="H429" s="62" t="s">
        <v>34</v>
      </c>
      <c r="I429" s="22" t="s">
        <v>130</v>
      </c>
      <c r="J429" s="26" t="s">
        <v>81</v>
      </c>
      <c r="K429" s="24" t="s">
        <v>1268</v>
      </c>
    </row>
    <row r="430" ht="15.75" customHeight="1">
      <c r="A430" s="23" t="s">
        <v>1139</v>
      </c>
      <c r="B430" s="24" t="s">
        <v>1048</v>
      </c>
      <c r="C430" s="24" t="s">
        <v>1140</v>
      </c>
      <c r="D430" s="25" t="s">
        <v>43</v>
      </c>
      <c r="E430" s="24" t="s">
        <v>1212</v>
      </c>
      <c r="F430" s="25" t="s">
        <v>1213</v>
      </c>
      <c r="G430" s="25" t="s">
        <v>1151</v>
      </c>
      <c r="H430" s="22" t="s">
        <v>34</v>
      </c>
      <c r="I430" s="22" t="s">
        <v>130</v>
      </c>
      <c r="J430" s="26" t="s">
        <v>48</v>
      </c>
      <c r="K430" s="24" t="s">
        <v>1141</v>
      </c>
    </row>
    <row r="431" ht="15.75" customHeight="1">
      <c r="A431" s="23" t="s">
        <v>1142</v>
      </c>
      <c r="B431" s="67" t="s">
        <v>1048</v>
      </c>
      <c r="C431" s="67" t="s">
        <v>872</v>
      </c>
      <c r="D431" s="25" t="s">
        <v>17</v>
      </c>
      <c r="E431" s="64" t="s">
        <v>1212</v>
      </c>
      <c r="F431" s="25" t="s">
        <v>1213</v>
      </c>
      <c r="G431" s="25" t="s">
        <v>1151</v>
      </c>
      <c r="H431" s="22" t="s">
        <v>34</v>
      </c>
      <c r="I431" s="22" t="s">
        <v>130</v>
      </c>
      <c r="J431" s="26" t="s">
        <v>48</v>
      </c>
      <c r="K431" s="24" t="s">
        <v>1143</v>
      </c>
    </row>
    <row r="432" ht="15.75" customHeight="1">
      <c r="A432" s="17" t="s">
        <v>1240</v>
      </c>
      <c r="B432" s="18" t="s">
        <v>1048</v>
      </c>
      <c r="C432" s="18" t="s">
        <v>1241</v>
      </c>
      <c r="D432" s="30" t="s">
        <v>17</v>
      </c>
      <c r="E432" s="18" t="s">
        <v>1269</v>
      </c>
      <c r="F432" s="19" t="s">
        <v>1270</v>
      </c>
      <c r="G432" s="30" t="s">
        <v>103</v>
      </c>
      <c r="H432" s="22" t="s">
        <v>316</v>
      </c>
      <c r="I432" s="22" t="s">
        <v>97</v>
      </c>
      <c r="J432" s="21" t="s">
        <v>48</v>
      </c>
      <c r="K432" s="18" t="s">
        <v>1242</v>
      </c>
    </row>
    <row r="433" ht="15.75" customHeight="1">
      <c r="A433" s="17" t="s">
        <v>1271</v>
      </c>
      <c r="B433" s="18" t="s">
        <v>1048</v>
      </c>
      <c r="C433" s="18" t="s">
        <v>1272</v>
      </c>
      <c r="D433" s="19" t="s">
        <v>17</v>
      </c>
      <c r="E433" s="66" t="s">
        <v>1273</v>
      </c>
      <c r="F433" s="19" t="s">
        <v>1274</v>
      </c>
      <c r="G433" s="19" t="s">
        <v>1246</v>
      </c>
      <c r="H433" s="20" t="s">
        <v>59</v>
      </c>
      <c r="I433" s="20" t="s">
        <v>22</v>
      </c>
      <c r="J433" s="21" t="s">
        <v>23</v>
      </c>
      <c r="K433" s="24" t="s">
        <v>1065</v>
      </c>
    </row>
    <row r="434" ht="15.75" customHeight="1">
      <c r="A434" s="23" t="s">
        <v>1275</v>
      </c>
      <c r="B434" s="24" t="s">
        <v>1048</v>
      </c>
      <c r="C434" s="24" t="s">
        <v>1276</v>
      </c>
      <c r="D434" s="25" t="s">
        <v>17</v>
      </c>
      <c r="E434" s="64" t="s">
        <v>1277</v>
      </c>
      <c r="F434" s="25" t="s">
        <v>1278</v>
      </c>
      <c r="G434" s="25" t="s">
        <v>1279</v>
      </c>
      <c r="H434" s="22" t="s">
        <v>267</v>
      </c>
      <c r="I434" s="22" t="s">
        <v>105</v>
      </c>
      <c r="J434" s="26" t="s">
        <v>48</v>
      </c>
      <c r="K434" s="24" t="s">
        <v>1065</v>
      </c>
    </row>
    <row r="435" ht="15.75" customHeight="1">
      <c r="A435" s="17" t="s">
        <v>1280</v>
      </c>
      <c r="B435" s="18" t="s">
        <v>1048</v>
      </c>
      <c r="C435" s="18" t="s">
        <v>1124</v>
      </c>
      <c r="D435" s="19" t="s">
        <v>17</v>
      </c>
      <c r="E435" s="68" t="s">
        <v>1125</v>
      </c>
      <c r="F435" s="56" t="s">
        <v>1126</v>
      </c>
      <c r="G435" s="56" t="s">
        <v>1281</v>
      </c>
      <c r="H435" s="20" t="s">
        <v>447</v>
      </c>
      <c r="I435" s="20" t="s">
        <v>105</v>
      </c>
      <c r="J435" s="21" t="s">
        <v>48</v>
      </c>
      <c r="K435" s="18" t="s">
        <v>1282</v>
      </c>
    </row>
    <row r="436" ht="15.75" customHeight="1">
      <c r="A436" s="17" t="s">
        <v>1283</v>
      </c>
      <c r="B436" s="69" t="s">
        <v>1048</v>
      </c>
      <c r="C436" s="69" t="s">
        <v>1284</v>
      </c>
      <c r="D436" s="19" t="s">
        <v>17</v>
      </c>
      <c r="E436" s="28" t="s">
        <v>1117</v>
      </c>
      <c r="F436" s="70" t="s">
        <v>1118</v>
      </c>
      <c r="G436" s="30" t="s">
        <v>103</v>
      </c>
      <c r="H436" s="58" t="s">
        <v>21</v>
      </c>
      <c r="I436" s="22" t="s">
        <v>105</v>
      </c>
      <c r="J436" s="21" t="s">
        <v>48</v>
      </c>
      <c r="K436" s="18" t="s">
        <v>1285</v>
      </c>
    </row>
    <row r="437" ht="15.75" customHeight="1">
      <c r="A437" s="17" t="s">
        <v>1286</v>
      </c>
      <c r="B437" s="69" t="s">
        <v>1048</v>
      </c>
      <c r="C437" s="69" t="s">
        <v>865</v>
      </c>
      <c r="D437" s="19" t="s">
        <v>17</v>
      </c>
      <c r="E437" s="66" t="s">
        <v>1287</v>
      </c>
      <c r="F437" s="19" t="s">
        <v>1288</v>
      </c>
      <c r="G437" s="19" t="s">
        <v>1289</v>
      </c>
      <c r="H437" s="20" t="s">
        <v>535</v>
      </c>
      <c r="I437" s="33" t="s">
        <v>97</v>
      </c>
      <c r="J437" s="21" t="s">
        <v>23</v>
      </c>
      <c r="K437" s="18" t="s">
        <v>1247</v>
      </c>
    </row>
    <row r="438" ht="15.75" customHeight="1">
      <c r="A438" s="17" t="s">
        <v>1290</v>
      </c>
      <c r="B438" s="18" t="s">
        <v>1048</v>
      </c>
      <c r="C438" s="18" t="s">
        <v>1291</v>
      </c>
      <c r="D438" s="19" t="s">
        <v>17</v>
      </c>
      <c r="E438" s="66" t="s">
        <v>964</v>
      </c>
      <c r="F438" s="19" t="s">
        <v>1292</v>
      </c>
      <c r="G438" s="19" t="s">
        <v>1246</v>
      </c>
      <c r="H438" s="20" t="s">
        <v>142</v>
      </c>
      <c r="I438" s="20" t="s">
        <v>22</v>
      </c>
      <c r="J438" s="21" t="s">
        <v>23</v>
      </c>
      <c r="K438" s="18" t="s">
        <v>1247</v>
      </c>
    </row>
    <row r="439" ht="15.75" customHeight="1">
      <c r="A439" s="17" t="s">
        <v>1139</v>
      </c>
      <c r="B439" s="18" t="s">
        <v>1048</v>
      </c>
      <c r="C439" s="18" t="s">
        <v>1140</v>
      </c>
      <c r="D439" s="19" t="s">
        <v>43</v>
      </c>
      <c r="E439" s="66" t="s">
        <v>1212</v>
      </c>
      <c r="F439" s="19" t="s">
        <v>1213</v>
      </c>
      <c r="G439" s="19" t="s">
        <v>1151</v>
      </c>
      <c r="H439" s="20" t="s">
        <v>21</v>
      </c>
      <c r="I439" s="20" t="s">
        <v>1196</v>
      </c>
      <c r="J439" s="21" t="s">
        <v>48</v>
      </c>
      <c r="K439" s="18" t="s">
        <v>1141</v>
      </c>
    </row>
    <row r="440" ht="15.75" customHeight="1">
      <c r="A440" s="17" t="s">
        <v>1142</v>
      </c>
      <c r="B440" s="18" t="s">
        <v>1048</v>
      </c>
      <c r="C440" s="18" t="s">
        <v>872</v>
      </c>
      <c r="D440" s="19" t="s">
        <v>17</v>
      </c>
      <c r="E440" s="18" t="s">
        <v>1212</v>
      </c>
      <c r="F440" s="18" t="s">
        <v>1213</v>
      </c>
      <c r="G440" s="19" t="s">
        <v>1151</v>
      </c>
      <c r="H440" s="20" t="s">
        <v>21</v>
      </c>
      <c r="I440" s="20" t="s">
        <v>1196</v>
      </c>
      <c r="J440" s="21" t="s">
        <v>48</v>
      </c>
      <c r="K440" s="18" t="s">
        <v>1143</v>
      </c>
    </row>
    <row r="441" ht="15.75" customHeight="1">
      <c r="A441" s="17" t="s">
        <v>1293</v>
      </c>
      <c r="B441" s="18" t="s">
        <v>1048</v>
      </c>
      <c r="C441" s="18" t="s">
        <v>1294</v>
      </c>
      <c r="D441" s="19" t="s">
        <v>17</v>
      </c>
      <c r="E441" s="66" t="s">
        <v>1295</v>
      </c>
      <c r="F441" s="19" t="s">
        <v>1296</v>
      </c>
      <c r="G441" s="19" t="s">
        <v>1297</v>
      </c>
      <c r="H441" s="20" t="s">
        <v>932</v>
      </c>
      <c r="I441" s="20" t="s">
        <v>22</v>
      </c>
      <c r="J441" s="21" t="s">
        <v>23</v>
      </c>
      <c r="K441" s="18" t="s">
        <v>1247</v>
      </c>
    </row>
    <row r="442" ht="15.75" customHeight="1">
      <c r="A442" s="17" t="s">
        <v>1298</v>
      </c>
      <c r="B442" s="18" t="s">
        <v>1048</v>
      </c>
      <c r="C442" s="18" t="s">
        <v>1299</v>
      </c>
      <c r="D442" s="19" t="s">
        <v>17</v>
      </c>
      <c r="E442" s="71" t="s">
        <v>239</v>
      </c>
      <c r="F442" s="30" t="s">
        <v>1300</v>
      </c>
      <c r="G442" s="30" t="s">
        <v>103</v>
      </c>
      <c r="H442" s="20" t="s">
        <v>535</v>
      </c>
      <c r="I442" s="20" t="s">
        <v>201</v>
      </c>
      <c r="J442" s="21" t="s">
        <v>23</v>
      </c>
      <c r="K442" s="21" t="s">
        <v>1222</v>
      </c>
    </row>
    <row r="443" ht="15.75" customHeight="1">
      <c r="A443" s="17" t="s">
        <v>1301</v>
      </c>
      <c r="B443" s="18" t="s">
        <v>1048</v>
      </c>
      <c r="C443" s="18" t="s">
        <v>1302</v>
      </c>
      <c r="D443" s="19" t="s">
        <v>43</v>
      </c>
      <c r="E443" s="71" t="s">
        <v>1303</v>
      </c>
      <c r="F443" s="30" t="s">
        <v>1304</v>
      </c>
      <c r="G443" s="30" t="s">
        <v>1305</v>
      </c>
      <c r="H443" s="20" t="s">
        <v>316</v>
      </c>
      <c r="I443" s="20" t="s">
        <v>97</v>
      </c>
      <c r="J443" s="21" t="s">
        <v>23</v>
      </c>
      <c r="K443" s="21" t="s">
        <v>1247</v>
      </c>
    </row>
    <row r="444" ht="15.75" customHeight="1">
      <c r="A444" s="72" t="s">
        <v>1306</v>
      </c>
      <c r="B444" s="73" t="s">
        <v>15</v>
      </c>
      <c r="C444" s="73" t="s">
        <v>1302</v>
      </c>
      <c r="D444" s="74" t="s">
        <v>17</v>
      </c>
      <c r="E444" s="75" t="s">
        <v>623</v>
      </c>
      <c r="F444" s="72" t="s">
        <v>1130</v>
      </c>
      <c r="G444" s="72" t="s">
        <v>281</v>
      </c>
      <c r="H444" s="76" t="s">
        <v>541</v>
      </c>
      <c r="I444" s="76" t="s">
        <v>22</v>
      </c>
      <c r="J444" s="77" t="s">
        <v>48</v>
      </c>
      <c r="K444" s="77" t="s">
        <v>563</v>
      </c>
    </row>
    <row r="445" ht="15.75" customHeight="1">
      <c r="A445" s="72" t="s">
        <v>1307</v>
      </c>
      <c r="B445" s="73" t="s">
        <v>376</v>
      </c>
      <c r="C445" s="73" t="s">
        <v>336</v>
      </c>
      <c r="D445" s="74" t="s">
        <v>17</v>
      </c>
      <c r="E445" s="75" t="s">
        <v>525</v>
      </c>
      <c r="F445" s="72" t="s">
        <v>780</v>
      </c>
      <c r="G445" s="72" t="s">
        <v>1032</v>
      </c>
      <c r="H445" s="76" t="s">
        <v>200</v>
      </c>
      <c r="I445" s="76" t="s">
        <v>130</v>
      </c>
      <c r="J445" s="77" t="s">
        <v>23</v>
      </c>
      <c r="K445" s="77" t="s">
        <v>49</v>
      </c>
    </row>
    <row r="446" ht="15.75" customHeight="1">
      <c r="A446" s="72" t="s">
        <v>1308</v>
      </c>
      <c r="B446" s="73" t="s">
        <v>1048</v>
      </c>
      <c r="C446" s="73" t="s">
        <v>1207</v>
      </c>
      <c r="D446" s="74" t="s">
        <v>17</v>
      </c>
      <c r="E446" s="75" t="s">
        <v>800</v>
      </c>
      <c r="F446" s="72" t="s">
        <v>498</v>
      </c>
      <c r="G446" s="72" t="s">
        <v>615</v>
      </c>
      <c r="H446" s="76" t="s">
        <v>87</v>
      </c>
      <c r="I446" s="76" t="s">
        <v>201</v>
      </c>
      <c r="J446" s="77" t="s">
        <v>48</v>
      </c>
      <c r="K446" s="77" t="s">
        <v>916</v>
      </c>
    </row>
    <row r="447" ht="15.75" customHeight="1">
      <c r="A447" s="72" t="s">
        <v>1309</v>
      </c>
      <c r="B447" s="73" t="s">
        <v>521</v>
      </c>
      <c r="C447" s="73" t="s">
        <v>974</v>
      </c>
      <c r="D447" s="74" t="s">
        <v>43</v>
      </c>
      <c r="E447" s="75" t="s">
        <v>174</v>
      </c>
      <c r="F447" s="72" t="s">
        <v>215</v>
      </c>
      <c r="G447" s="72" t="s">
        <v>145</v>
      </c>
      <c r="H447" s="76" t="s">
        <v>447</v>
      </c>
      <c r="I447" s="76" t="s">
        <v>22</v>
      </c>
      <c r="J447" s="77" t="s">
        <v>23</v>
      </c>
      <c r="K447" s="77" t="s">
        <v>24</v>
      </c>
    </row>
    <row r="448" ht="15.75" customHeight="1">
      <c r="A448" s="72" t="s">
        <v>1310</v>
      </c>
      <c r="B448" s="73" t="s">
        <v>521</v>
      </c>
      <c r="C448" s="73" t="s">
        <v>1154</v>
      </c>
      <c r="D448" s="74" t="s">
        <v>17</v>
      </c>
      <c r="E448" s="75" t="s">
        <v>425</v>
      </c>
      <c r="F448" s="72" t="s">
        <v>1113</v>
      </c>
      <c r="G448" s="72" t="s">
        <v>128</v>
      </c>
      <c r="H448" s="76" t="s">
        <v>544</v>
      </c>
      <c r="I448" s="76" t="s">
        <v>22</v>
      </c>
      <c r="J448" s="77" t="s">
        <v>789</v>
      </c>
      <c r="K448" s="77" t="s">
        <v>49</v>
      </c>
    </row>
    <row r="449" ht="15.75" customHeight="1">
      <c r="A449" s="72" t="s">
        <v>1311</v>
      </c>
      <c r="B449" s="73" t="s">
        <v>905</v>
      </c>
      <c r="C449" s="73" t="s">
        <v>909</v>
      </c>
      <c r="D449" s="74" t="s">
        <v>43</v>
      </c>
      <c r="E449" s="75" t="s">
        <v>954</v>
      </c>
      <c r="F449" s="72" t="s">
        <v>417</v>
      </c>
      <c r="G449" s="72" t="s">
        <v>806</v>
      </c>
      <c r="H449" s="76" t="s">
        <v>163</v>
      </c>
      <c r="I449" s="76" t="s">
        <v>113</v>
      </c>
      <c r="J449" s="77" t="s">
        <v>23</v>
      </c>
      <c r="K449" s="77" t="s">
        <v>1065</v>
      </c>
    </row>
    <row r="450" ht="15.75" customHeight="1">
      <c r="A450" s="72" t="s">
        <v>1312</v>
      </c>
      <c r="B450" s="73" t="s">
        <v>15</v>
      </c>
      <c r="C450" s="73">
        <v>7.5030932E8</v>
      </c>
      <c r="D450" s="74" t="s">
        <v>43</v>
      </c>
      <c r="E450" s="75" t="s">
        <v>977</v>
      </c>
      <c r="F450" s="72" t="s">
        <v>1042</v>
      </c>
      <c r="G450" s="72" t="s">
        <v>970</v>
      </c>
      <c r="H450" s="76" t="s">
        <v>69</v>
      </c>
      <c r="I450" s="76" t="s">
        <v>105</v>
      </c>
      <c r="J450" s="77" t="s">
        <v>562</v>
      </c>
      <c r="K450" s="77" t="s">
        <v>49</v>
      </c>
    </row>
    <row r="451" ht="15.75" customHeight="1">
      <c r="A451" s="72" t="s">
        <v>1313</v>
      </c>
      <c r="B451" s="73" t="s">
        <v>905</v>
      </c>
      <c r="C451" s="73" t="s">
        <v>669</v>
      </c>
      <c r="D451" s="74" t="s">
        <v>43</v>
      </c>
      <c r="E451" s="75" t="s">
        <v>1117</v>
      </c>
      <c r="F451" s="72" t="s">
        <v>414</v>
      </c>
      <c r="G451" s="72" t="s">
        <v>922</v>
      </c>
      <c r="H451" s="76" t="s">
        <v>96</v>
      </c>
      <c r="I451" s="76" t="s">
        <v>105</v>
      </c>
      <c r="J451" s="77" t="s">
        <v>48</v>
      </c>
      <c r="K451" s="77" t="s">
        <v>1022</v>
      </c>
    </row>
    <row r="452" ht="15.75" customHeight="1">
      <c r="A452" s="72" t="s">
        <v>1314</v>
      </c>
      <c r="B452" s="73" t="s">
        <v>1048</v>
      </c>
      <c r="C452" s="73">
        <v>7.76578265E8</v>
      </c>
      <c r="D452" s="74" t="s">
        <v>43</v>
      </c>
      <c r="E452" s="75" t="s">
        <v>1117</v>
      </c>
      <c r="F452" s="72" t="s">
        <v>874</v>
      </c>
      <c r="G452" s="72" t="s">
        <v>418</v>
      </c>
      <c r="H452" s="76" t="s">
        <v>535</v>
      </c>
      <c r="I452" s="76" t="s">
        <v>22</v>
      </c>
      <c r="J452" s="77" t="s">
        <v>48</v>
      </c>
      <c r="K452" s="77" t="s">
        <v>528</v>
      </c>
    </row>
    <row r="453" ht="15.75" customHeight="1">
      <c r="A453" s="72" t="s">
        <v>1315</v>
      </c>
      <c r="B453" s="73" t="s">
        <v>905</v>
      </c>
      <c r="C453" s="73" t="s">
        <v>1180</v>
      </c>
      <c r="D453" s="74" t="s">
        <v>17</v>
      </c>
      <c r="E453" s="75" t="s">
        <v>800</v>
      </c>
      <c r="F453" s="72" t="s">
        <v>19</v>
      </c>
      <c r="G453" s="72" t="s">
        <v>418</v>
      </c>
      <c r="H453" s="76" t="s">
        <v>544</v>
      </c>
      <c r="I453" s="76" t="s">
        <v>105</v>
      </c>
      <c r="J453" s="77" t="s">
        <v>23</v>
      </c>
      <c r="K453" s="77" t="s">
        <v>98</v>
      </c>
    </row>
    <row r="454" ht="15.75" customHeight="1">
      <c r="A454" s="72" t="s">
        <v>1316</v>
      </c>
      <c r="B454" s="73" t="s">
        <v>521</v>
      </c>
      <c r="C454" s="73" t="s">
        <v>1284</v>
      </c>
      <c r="D454" s="74" t="s">
        <v>17</v>
      </c>
      <c r="E454" s="75" t="s">
        <v>32</v>
      </c>
      <c r="F454" s="72" t="s">
        <v>348</v>
      </c>
      <c r="G454" s="72" t="s">
        <v>556</v>
      </c>
      <c r="H454" s="76" t="s">
        <v>112</v>
      </c>
      <c r="I454" s="76" t="s">
        <v>22</v>
      </c>
      <c r="J454" s="77" t="s">
        <v>89</v>
      </c>
      <c r="K454" s="77" t="s">
        <v>857</v>
      </c>
    </row>
    <row r="455" ht="15.75" customHeight="1">
      <c r="A455" s="72" t="s">
        <v>1317</v>
      </c>
      <c r="B455" s="73" t="s">
        <v>376</v>
      </c>
      <c r="C455" s="73" t="s">
        <v>322</v>
      </c>
      <c r="D455" s="74" t="s">
        <v>17</v>
      </c>
      <c r="E455" s="75" t="s">
        <v>954</v>
      </c>
      <c r="F455" s="72" t="s">
        <v>314</v>
      </c>
      <c r="G455" s="72" t="s">
        <v>960</v>
      </c>
      <c r="H455" s="76" t="s">
        <v>433</v>
      </c>
      <c r="I455" s="76" t="s">
        <v>97</v>
      </c>
      <c r="J455" s="77" t="s">
        <v>48</v>
      </c>
      <c r="K455" s="77" t="s">
        <v>876</v>
      </c>
    </row>
    <row r="456" ht="15.75" customHeight="1">
      <c r="A456" s="72" t="s">
        <v>1318</v>
      </c>
      <c r="B456" s="73" t="s">
        <v>1048</v>
      </c>
      <c r="C456" s="73" t="s">
        <v>947</v>
      </c>
      <c r="D456" s="74" t="s">
        <v>17</v>
      </c>
      <c r="E456" s="75" t="s">
        <v>640</v>
      </c>
      <c r="F456" s="72" t="s">
        <v>759</v>
      </c>
      <c r="G456" s="72" t="s">
        <v>103</v>
      </c>
      <c r="H456" s="76" t="s">
        <v>118</v>
      </c>
      <c r="I456" s="76" t="s">
        <v>130</v>
      </c>
      <c r="J456" s="77" t="s">
        <v>48</v>
      </c>
      <c r="K456" s="77" t="s">
        <v>49</v>
      </c>
    </row>
    <row r="457" ht="15.75" customHeight="1">
      <c r="A457" s="72" t="s">
        <v>1319</v>
      </c>
      <c r="B457" s="73" t="s">
        <v>1048</v>
      </c>
      <c r="C457" s="73" t="s">
        <v>1002</v>
      </c>
      <c r="D457" s="74" t="s">
        <v>43</v>
      </c>
      <c r="E457" s="75" t="s">
        <v>233</v>
      </c>
      <c r="F457" s="72" t="s">
        <v>19</v>
      </c>
      <c r="G457" s="72" t="s">
        <v>379</v>
      </c>
      <c r="H457" s="76" t="s">
        <v>129</v>
      </c>
      <c r="I457" s="76" t="s">
        <v>643</v>
      </c>
      <c r="J457" s="77" t="s">
        <v>48</v>
      </c>
      <c r="K457" s="77" t="s">
        <v>616</v>
      </c>
    </row>
    <row r="458" ht="15.75" customHeight="1">
      <c r="A458" s="72" t="s">
        <v>1320</v>
      </c>
      <c r="B458" s="73" t="s">
        <v>521</v>
      </c>
      <c r="C458" s="73">
        <v>7.89676659E8</v>
      </c>
      <c r="D458" s="74" t="s">
        <v>17</v>
      </c>
      <c r="E458" s="75" t="s">
        <v>737</v>
      </c>
      <c r="F458" s="72" t="s">
        <v>401</v>
      </c>
      <c r="G458" s="72" t="s">
        <v>189</v>
      </c>
      <c r="H458" s="76" t="s">
        <v>59</v>
      </c>
      <c r="I458" s="76" t="s">
        <v>22</v>
      </c>
      <c r="J458" s="77" t="s">
        <v>48</v>
      </c>
      <c r="K458" s="77" t="s">
        <v>49</v>
      </c>
    </row>
    <row r="459" ht="15.75" customHeight="1">
      <c r="A459" s="72" t="s">
        <v>1321</v>
      </c>
      <c r="B459" s="73" t="s">
        <v>15</v>
      </c>
      <c r="C459" s="73" t="s">
        <v>120</v>
      </c>
      <c r="D459" s="74" t="s">
        <v>43</v>
      </c>
      <c r="E459" s="75" t="s">
        <v>1013</v>
      </c>
      <c r="F459" s="72" t="s">
        <v>603</v>
      </c>
      <c r="G459" s="72" t="s">
        <v>418</v>
      </c>
      <c r="H459" s="76" t="s">
        <v>597</v>
      </c>
      <c r="I459" s="76" t="s">
        <v>105</v>
      </c>
      <c r="J459" s="77" t="s">
        <v>48</v>
      </c>
      <c r="K459" s="77" t="s">
        <v>49</v>
      </c>
    </row>
    <row r="460" ht="15.75" customHeight="1">
      <c r="A460" s="72" t="s">
        <v>1322</v>
      </c>
      <c r="B460" s="73" t="s">
        <v>1048</v>
      </c>
      <c r="C460" s="73">
        <v>7.44944474E8</v>
      </c>
      <c r="D460" s="74" t="s">
        <v>43</v>
      </c>
      <c r="E460" s="75" t="s">
        <v>1117</v>
      </c>
      <c r="F460" s="72" t="s">
        <v>314</v>
      </c>
      <c r="G460" s="72" t="s">
        <v>103</v>
      </c>
      <c r="H460" s="76" t="s">
        <v>316</v>
      </c>
      <c r="I460" s="76" t="s">
        <v>130</v>
      </c>
      <c r="J460" s="77" t="s">
        <v>48</v>
      </c>
      <c r="K460" s="77" t="s">
        <v>528</v>
      </c>
    </row>
    <row r="461" ht="15.75" customHeight="1">
      <c r="A461" s="72" t="s">
        <v>1323</v>
      </c>
      <c r="B461" s="73" t="s">
        <v>521</v>
      </c>
      <c r="C461" s="73" t="s">
        <v>1170</v>
      </c>
      <c r="D461" s="74" t="s">
        <v>17</v>
      </c>
      <c r="E461" s="75" t="s">
        <v>75</v>
      </c>
      <c r="F461" s="72" t="s">
        <v>533</v>
      </c>
      <c r="G461" s="72" t="s">
        <v>382</v>
      </c>
      <c r="H461" s="76" t="s">
        <v>359</v>
      </c>
      <c r="I461" s="76" t="s">
        <v>201</v>
      </c>
      <c r="J461" s="77" t="s">
        <v>23</v>
      </c>
      <c r="K461" s="77" t="s">
        <v>916</v>
      </c>
    </row>
    <row r="462" ht="15.75" customHeight="1">
      <c r="A462" s="72" t="s">
        <v>1324</v>
      </c>
      <c r="B462" s="73" t="s">
        <v>905</v>
      </c>
      <c r="C462" s="73" t="s">
        <v>283</v>
      </c>
      <c r="D462" s="74" t="s">
        <v>43</v>
      </c>
      <c r="E462" s="75" t="s">
        <v>900</v>
      </c>
      <c r="F462" s="72" t="s">
        <v>585</v>
      </c>
      <c r="G462" s="72" t="s">
        <v>304</v>
      </c>
      <c r="H462" s="76" t="s">
        <v>129</v>
      </c>
      <c r="I462" s="76" t="s">
        <v>643</v>
      </c>
      <c r="J462" s="77" t="s">
        <v>23</v>
      </c>
      <c r="K462" s="77" t="s">
        <v>748</v>
      </c>
    </row>
    <row r="463" ht="15.75" customHeight="1">
      <c r="A463" s="72" t="s">
        <v>1325</v>
      </c>
      <c r="B463" s="73" t="s">
        <v>376</v>
      </c>
      <c r="C463" s="73" t="s">
        <v>688</v>
      </c>
      <c r="D463" s="74" t="s">
        <v>43</v>
      </c>
      <c r="E463" s="75" t="s">
        <v>670</v>
      </c>
      <c r="F463" s="72" t="s">
        <v>727</v>
      </c>
      <c r="G463" s="72" t="s">
        <v>1032</v>
      </c>
      <c r="H463" s="76" t="s">
        <v>163</v>
      </c>
      <c r="I463" s="76" t="s">
        <v>130</v>
      </c>
      <c r="J463" s="77" t="s">
        <v>23</v>
      </c>
      <c r="K463" s="77" t="s">
        <v>49</v>
      </c>
    </row>
    <row r="464" ht="15.75" customHeight="1">
      <c r="A464" s="72" t="s">
        <v>1326</v>
      </c>
      <c r="B464" s="73" t="s">
        <v>1048</v>
      </c>
      <c r="C464" s="73">
        <v>7.85921781E8</v>
      </c>
      <c r="D464" s="74" t="s">
        <v>43</v>
      </c>
      <c r="E464" s="75" t="s">
        <v>746</v>
      </c>
      <c r="F464" s="72" t="s">
        <v>903</v>
      </c>
      <c r="G464" s="72" t="s">
        <v>386</v>
      </c>
      <c r="H464" s="76" t="s">
        <v>123</v>
      </c>
      <c r="I464" s="76" t="s">
        <v>22</v>
      </c>
      <c r="J464" s="77" t="s">
        <v>23</v>
      </c>
      <c r="K464" s="77" t="s">
        <v>24</v>
      </c>
    </row>
    <row r="465" ht="15.75" customHeight="1">
      <c r="A465" s="72" t="s">
        <v>1327</v>
      </c>
      <c r="B465" s="73" t="s">
        <v>521</v>
      </c>
      <c r="C465" s="73">
        <v>7.80311364E8</v>
      </c>
      <c r="D465" s="74" t="s">
        <v>17</v>
      </c>
      <c r="E465" s="75" t="s">
        <v>1303</v>
      </c>
      <c r="F465" s="72" t="s">
        <v>432</v>
      </c>
      <c r="G465" s="72" t="s">
        <v>46</v>
      </c>
      <c r="H465" s="76" t="s">
        <v>34</v>
      </c>
      <c r="I465" s="76" t="s">
        <v>22</v>
      </c>
      <c r="J465" s="77" t="s">
        <v>48</v>
      </c>
      <c r="K465" s="77" t="s">
        <v>916</v>
      </c>
    </row>
    <row r="466" ht="15.75" customHeight="1">
      <c r="A466" s="72" t="s">
        <v>1328</v>
      </c>
      <c r="B466" s="73" t="s">
        <v>521</v>
      </c>
      <c r="C466" s="73" t="s">
        <v>1241</v>
      </c>
      <c r="D466" s="74" t="s">
        <v>17</v>
      </c>
      <c r="E466" s="75" t="s">
        <v>532</v>
      </c>
      <c r="F466" s="72" t="s">
        <v>247</v>
      </c>
      <c r="G466" s="72" t="s">
        <v>418</v>
      </c>
      <c r="H466" s="76" t="s">
        <v>210</v>
      </c>
      <c r="I466" s="76" t="s">
        <v>130</v>
      </c>
      <c r="J466" s="77" t="s">
        <v>48</v>
      </c>
      <c r="K466" s="77" t="s">
        <v>24</v>
      </c>
    </row>
    <row r="467" ht="15.75" customHeight="1">
      <c r="A467" s="72" t="s">
        <v>1329</v>
      </c>
      <c r="B467" s="73" t="s">
        <v>905</v>
      </c>
      <c r="C467" s="73">
        <v>7.91082935E8</v>
      </c>
      <c r="D467" s="74" t="s">
        <v>17</v>
      </c>
      <c r="E467" s="75" t="s">
        <v>373</v>
      </c>
      <c r="F467" s="72" t="s">
        <v>1014</v>
      </c>
      <c r="G467" s="72" t="s">
        <v>379</v>
      </c>
      <c r="H467" s="76" t="s">
        <v>477</v>
      </c>
      <c r="I467" s="76" t="s">
        <v>409</v>
      </c>
      <c r="J467" s="77" t="s">
        <v>81</v>
      </c>
      <c r="K467" s="77" t="s">
        <v>24</v>
      </c>
    </row>
    <row r="468" ht="15.75" customHeight="1">
      <c r="A468" s="72" t="s">
        <v>1330</v>
      </c>
      <c r="B468" s="73" t="s">
        <v>521</v>
      </c>
      <c r="C468" s="73" t="s">
        <v>1166</v>
      </c>
      <c r="D468" s="74" t="s">
        <v>17</v>
      </c>
      <c r="E468" s="75" t="s">
        <v>1072</v>
      </c>
      <c r="F468" s="72" t="s">
        <v>874</v>
      </c>
      <c r="G468" s="72" t="s">
        <v>418</v>
      </c>
      <c r="H468" s="76" t="s">
        <v>34</v>
      </c>
      <c r="I468" s="76" t="s">
        <v>22</v>
      </c>
      <c r="J468" s="77" t="s">
        <v>23</v>
      </c>
      <c r="K468" s="77" t="s">
        <v>1052</v>
      </c>
    </row>
    <row r="469" ht="15.75" customHeight="1">
      <c r="A469" s="72" t="s">
        <v>1331</v>
      </c>
      <c r="B469" s="73" t="s">
        <v>905</v>
      </c>
      <c r="C469" s="73" t="s">
        <v>742</v>
      </c>
      <c r="D469" s="74" t="s">
        <v>43</v>
      </c>
      <c r="E469" s="75" t="s">
        <v>470</v>
      </c>
      <c r="F469" s="72" t="s">
        <v>952</v>
      </c>
      <c r="G469" s="72" t="s">
        <v>262</v>
      </c>
      <c r="H469" s="76" t="s">
        <v>581</v>
      </c>
      <c r="I469" s="76" t="s">
        <v>105</v>
      </c>
      <c r="J469" s="77" t="s">
        <v>23</v>
      </c>
      <c r="K469" s="77" t="s">
        <v>24</v>
      </c>
    </row>
    <row r="470" ht="15.75" customHeight="1">
      <c r="A470" s="72" t="s">
        <v>1332</v>
      </c>
      <c r="B470" s="73" t="s">
        <v>521</v>
      </c>
      <c r="C470" s="73" t="s">
        <v>192</v>
      </c>
      <c r="D470" s="74" t="s">
        <v>17</v>
      </c>
      <c r="E470" s="75" t="s">
        <v>902</v>
      </c>
      <c r="F470" s="72" t="s">
        <v>1248</v>
      </c>
      <c r="G470" s="72" t="s">
        <v>281</v>
      </c>
      <c r="H470" s="76" t="s">
        <v>21</v>
      </c>
      <c r="I470" s="76" t="s">
        <v>22</v>
      </c>
      <c r="J470" s="77" t="s">
        <v>48</v>
      </c>
      <c r="K470" s="77" t="s">
        <v>24</v>
      </c>
    </row>
    <row r="471" ht="15.75" customHeight="1">
      <c r="A471" s="72" t="s">
        <v>1333</v>
      </c>
      <c r="B471" s="73" t="s">
        <v>1048</v>
      </c>
      <c r="C471" s="73">
        <v>7.32914083E8</v>
      </c>
      <c r="D471" s="74" t="s">
        <v>17</v>
      </c>
      <c r="E471" s="75" t="s">
        <v>214</v>
      </c>
      <c r="F471" s="72" t="s">
        <v>303</v>
      </c>
      <c r="G471" s="72" t="s">
        <v>654</v>
      </c>
      <c r="H471" s="76" t="s">
        <v>54</v>
      </c>
      <c r="I471" s="76" t="s">
        <v>201</v>
      </c>
      <c r="J471" s="77" t="s">
        <v>48</v>
      </c>
      <c r="K471" s="77" t="s">
        <v>916</v>
      </c>
    </row>
    <row r="472" ht="15.75" customHeight="1">
      <c r="A472" s="72" t="s">
        <v>1334</v>
      </c>
      <c r="B472" s="73" t="s">
        <v>1048</v>
      </c>
      <c r="C472" s="73">
        <v>7.86740073E8</v>
      </c>
      <c r="D472" s="74" t="s">
        <v>17</v>
      </c>
      <c r="E472" s="75" t="s">
        <v>38</v>
      </c>
      <c r="F472" s="72" t="s">
        <v>1031</v>
      </c>
      <c r="G472" s="72" t="s">
        <v>128</v>
      </c>
      <c r="H472" s="76" t="s">
        <v>180</v>
      </c>
      <c r="I472" s="76" t="s">
        <v>201</v>
      </c>
      <c r="J472" s="77" t="s">
        <v>48</v>
      </c>
      <c r="K472" s="77" t="s">
        <v>393</v>
      </c>
    </row>
    <row r="473" ht="15.75" customHeight="1">
      <c r="A473" s="72" t="s">
        <v>1335</v>
      </c>
      <c r="B473" s="73" t="s">
        <v>521</v>
      </c>
      <c r="C473" s="73" t="s">
        <v>1077</v>
      </c>
      <c r="D473" s="74" t="s">
        <v>17</v>
      </c>
      <c r="E473" s="75" t="s">
        <v>693</v>
      </c>
      <c r="F473" s="72" t="s">
        <v>1027</v>
      </c>
      <c r="G473" s="72" t="s">
        <v>1336</v>
      </c>
      <c r="H473" s="76" t="s">
        <v>129</v>
      </c>
      <c r="I473" s="76" t="s">
        <v>201</v>
      </c>
      <c r="J473" s="77" t="s">
        <v>48</v>
      </c>
      <c r="K473" s="77" t="s">
        <v>751</v>
      </c>
    </row>
    <row r="474" ht="15.75" customHeight="1">
      <c r="A474" s="72" t="s">
        <v>1337</v>
      </c>
      <c r="B474" s="73" t="s">
        <v>521</v>
      </c>
      <c r="C474" s="73" t="s">
        <v>203</v>
      </c>
      <c r="D474" s="74" t="s">
        <v>43</v>
      </c>
      <c r="E474" s="75" t="s">
        <v>623</v>
      </c>
      <c r="F474" s="72" t="s">
        <v>221</v>
      </c>
      <c r="G474" s="72" t="s">
        <v>527</v>
      </c>
      <c r="H474" s="76" t="s">
        <v>96</v>
      </c>
      <c r="I474" s="76" t="s">
        <v>113</v>
      </c>
      <c r="J474" s="77" t="s">
        <v>48</v>
      </c>
      <c r="K474" s="77" t="s">
        <v>616</v>
      </c>
    </row>
    <row r="475" ht="15.75" customHeight="1">
      <c r="A475" s="72" t="s">
        <v>1338</v>
      </c>
      <c r="B475" s="73" t="s">
        <v>521</v>
      </c>
      <c r="C475" s="73" t="s">
        <v>872</v>
      </c>
      <c r="D475" s="74" t="s">
        <v>17</v>
      </c>
      <c r="E475" s="75" t="s">
        <v>239</v>
      </c>
      <c r="F475" s="72" t="s">
        <v>824</v>
      </c>
      <c r="G475" s="72" t="s">
        <v>103</v>
      </c>
      <c r="H475" s="76" t="s">
        <v>129</v>
      </c>
      <c r="I475" s="76" t="s">
        <v>201</v>
      </c>
      <c r="J475" s="77" t="s">
        <v>48</v>
      </c>
      <c r="K475" s="77" t="s">
        <v>942</v>
      </c>
    </row>
    <row r="476" ht="15.75" customHeight="1">
      <c r="A476" s="72" t="s">
        <v>1339</v>
      </c>
      <c r="B476" s="73" t="s">
        <v>15</v>
      </c>
      <c r="C476" s="73" t="s">
        <v>1211</v>
      </c>
      <c r="D476" s="74" t="s">
        <v>43</v>
      </c>
      <c r="E476" s="75" t="s">
        <v>579</v>
      </c>
      <c r="F476" s="72" t="s">
        <v>842</v>
      </c>
      <c r="G476" s="72" t="s">
        <v>418</v>
      </c>
      <c r="H476" s="76" t="s">
        <v>21</v>
      </c>
      <c r="I476" s="76" t="s">
        <v>22</v>
      </c>
      <c r="J476" s="77" t="s">
        <v>23</v>
      </c>
      <c r="K476" s="77" t="s">
        <v>1222</v>
      </c>
    </row>
    <row r="477" ht="15.75" customHeight="1">
      <c r="A477" s="72" t="s">
        <v>1340</v>
      </c>
      <c r="B477" s="73" t="s">
        <v>15</v>
      </c>
      <c r="C477" s="73">
        <v>7.97172351E8</v>
      </c>
      <c r="D477" s="74" t="s">
        <v>17</v>
      </c>
      <c r="E477" s="75" t="s">
        <v>1050</v>
      </c>
      <c r="F477" s="72" t="s">
        <v>331</v>
      </c>
      <c r="G477" s="72" t="s">
        <v>20</v>
      </c>
      <c r="H477" s="76" t="s">
        <v>415</v>
      </c>
      <c r="I477" s="76" t="s">
        <v>47</v>
      </c>
      <c r="J477" s="77" t="s">
        <v>23</v>
      </c>
      <c r="K477" s="77" t="s">
        <v>620</v>
      </c>
    </row>
    <row r="478" ht="15.75" customHeight="1">
      <c r="A478" s="72" t="s">
        <v>1341</v>
      </c>
      <c r="B478" s="73" t="s">
        <v>15</v>
      </c>
      <c r="C478" s="73" t="s">
        <v>115</v>
      </c>
      <c r="D478" s="74" t="s">
        <v>43</v>
      </c>
      <c r="E478" s="75" t="s">
        <v>330</v>
      </c>
      <c r="F478" s="72" t="s">
        <v>1109</v>
      </c>
      <c r="G478" s="72" t="s">
        <v>1151</v>
      </c>
      <c r="H478" s="76" t="s">
        <v>349</v>
      </c>
      <c r="I478" s="76" t="s">
        <v>97</v>
      </c>
      <c r="J478" s="77" t="s">
        <v>48</v>
      </c>
      <c r="K478" s="77" t="s">
        <v>49</v>
      </c>
    </row>
    <row r="479" ht="15.75" customHeight="1">
      <c r="A479" s="72" t="s">
        <v>1342</v>
      </c>
      <c r="B479" s="73" t="s">
        <v>521</v>
      </c>
      <c r="C479" s="73" t="s">
        <v>1215</v>
      </c>
      <c r="D479" s="74" t="s">
        <v>17</v>
      </c>
      <c r="E479" s="75" t="s">
        <v>1194</v>
      </c>
      <c r="F479" s="72" t="s">
        <v>683</v>
      </c>
      <c r="G479" s="72" t="s">
        <v>418</v>
      </c>
      <c r="H479" s="76" t="s">
        <v>544</v>
      </c>
      <c r="I479" s="76" t="s">
        <v>97</v>
      </c>
      <c r="J479" s="77" t="s">
        <v>48</v>
      </c>
      <c r="K479" s="77" t="s">
        <v>49</v>
      </c>
    </row>
    <row r="480" ht="15.75" customHeight="1">
      <c r="A480" s="72" t="s">
        <v>1343</v>
      </c>
      <c r="B480" s="73" t="s">
        <v>376</v>
      </c>
      <c r="C480" s="73" t="s">
        <v>976</v>
      </c>
      <c r="D480" s="74" t="s">
        <v>17</v>
      </c>
      <c r="E480" s="75" t="s">
        <v>873</v>
      </c>
      <c r="F480" s="72" t="s">
        <v>760</v>
      </c>
      <c r="G480" s="72" t="s">
        <v>379</v>
      </c>
      <c r="H480" s="76" t="s">
        <v>129</v>
      </c>
      <c r="I480" s="76" t="s">
        <v>22</v>
      </c>
      <c r="J480" s="77" t="s">
        <v>23</v>
      </c>
      <c r="K480" s="77" t="s">
        <v>468</v>
      </c>
    </row>
    <row r="481" ht="15.75" customHeight="1">
      <c r="A481" s="72" t="s">
        <v>1344</v>
      </c>
      <c r="B481" s="73" t="s">
        <v>1048</v>
      </c>
      <c r="C481" s="73" t="s">
        <v>290</v>
      </c>
      <c r="D481" s="74" t="s">
        <v>17</v>
      </c>
      <c r="E481" s="75" t="s">
        <v>1084</v>
      </c>
      <c r="F481" s="72" t="s">
        <v>791</v>
      </c>
      <c r="G481" s="72" t="s">
        <v>1052</v>
      </c>
      <c r="H481" s="76" t="s">
        <v>447</v>
      </c>
      <c r="I481" s="76" t="s">
        <v>22</v>
      </c>
      <c r="J481" s="77" t="s">
        <v>48</v>
      </c>
      <c r="K481" s="77" t="s">
        <v>528</v>
      </c>
    </row>
    <row r="482" ht="15.75" customHeight="1">
      <c r="A482" s="72" t="s">
        <v>1345</v>
      </c>
      <c r="B482" s="73" t="s">
        <v>376</v>
      </c>
      <c r="C482" s="73" t="s">
        <v>939</v>
      </c>
      <c r="D482" s="74" t="s">
        <v>17</v>
      </c>
      <c r="E482" s="75" t="s">
        <v>926</v>
      </c>
      <c r="F482" s="72" t="s">
        <v>930</v>
      </c>
      <c r="G482" s="72" t="s">
        <v>281</v>
      </c>
      <c r="H482" s="76" t="s">
        <v>433</v>
      </c>
      <c r="I482" s="76" t="s">
        <v>1336</v>
      </c>
      <c r="J482" s="77" t="s">
        <v>23</v>
      </c>
      <c r="K482" s="77" t="s">
        <v>1148</v>
      </c>
    </row>
    <row r="483" ht="15.75" customHeight="1">
      <c r="A483" s="72" t="s">
        <v>1346</v>
      </c>
      <c r="B483" s="73" t="s">
        <v>905</v>
      </c>
      <c r="C483" s="73" t="s">
        <v>1189</v>
      </c>
      <c r="D483" s="74" t="s">
        <v>17</v>
      </c>
      <c r="E483" s="75" t="s">
        <v>246</v>
      </c>
      <c r="F483" s="72" t="s">
        <v>788</v>
      </c>
      <c r="G483" s="72" t="s">
        <v>1164</v>
      </c>
      <c r="H483" s="76" t="s">
        <v>447</v>
      </c>
      <c r="I483" s="76" t="s">
        <v>97</v>
      </c>
      <c r="J483" s="77" t="s">
        <v>48</v>
      </c>
      <c r="K483" s="77" t="s">
        <v>563</v>
      </c>
    </row>
    <row r="484" ht="15.75" customHeight="1">
      <c r="A484" s="72" t="s">
        <v>1347</v>
      </c>
      <c r="B484" s="73" t="s">
        <v>521</v>
      </c>
      <c r="C484" s="73" t="s">
        <v>974</v>
      </c>
      <c r="D484" s="74" t="s">
        <v>43</v>
      </c>
      <c r="E484" s="75" t="s">
        <v>38</v>
      </c>
      <c r="F484" s="72" t="s">
        <v>209</v>
      </c>
      <c r="G484" s="72" t="s">
        <v>1151</v>
      </c>
      <c r="H484" s="76" t="s">
        <v>544</v>
      </c>
      <c r="I484" s="76" t="s">
        <v>105</v>
      </c>
      <c r="J484" s="77" t="s">
        <v>48</v>
      </c>
      <c r="K484" s="77" t="s">
        <v>24</v>
      </c>
    </row>
    <row r="485" ht="15.75" customHeight="1">
      <c r="A485" s="72" t="s">
        <v>1348</v>
      </c>
      <c r="B485" s="73" t="s">
        <v>905</v>
      </c>
      <c r="C485" s="73" t="s">
        <v>115</v>
      </c>
      <c r="D485" s="74" t="s">
        <v>17</v>
      </c>
      <c r="E485" s="75" t="s">
        <v>497</v>
      </c>
      <c r="F485" s="72" t="s">
        <v>831</v>
      </c>
      <c r="G485" s="72" t="s">
        <v>922</v>
      </c>
      <c r="H485" s="76" t="s">
        <v>359</v>
      </c>
      <c r="I485" s="76" t="s">
        <v>97</v>
      </c>
      <c r="J485" s="77" t="s">
        <v>48</v>
      </c>
      <c r="K485" s="77" t="s">
        <v>528</v>
      </c>
    </row>
    <row r="486" ht="15.75" customHeight="1">
      <c r="A486" s="72" t="s">
        <v>1349</v>
      </c>
      <c r="B486" s="73" t="s">
        <v>521</v>
      </c>
      <c r="C486" s="73" t="s">
        <v>1061</v>
      </c>
      <c r="D486" s="74" t="s">
        <v>17</v>
      </c>
      <c r="E486" s="75" t="s">
        <v>32</v>
      </c>
      <c r="F486" s="72" t="s">
        <v>292</v>
      </c>
      <c r="G486" s="72" t="s">
        <v>1151</v>
      </c>
      <c r="H486" s="76" t="s">
        <v>433</v>
      </c>
      <c r="I486" s="76" t="s">
        <v>97</v>
      </c>
      <c r="J486" s="77" t="s">
        <v>48</v>
      </c>
      <c r="K486" s="77" t="s">
        <v>49</v>
      </c>
    </row>
    <row r="487" ht="15.75" customHeight="1">
      <c r="A487" s="72" t="s">
        <v>1350</v>
      </c>
      <c r="B487" s="73" t="s">
        <v>521</v>
      </c>
      <c r="C487" s="73" t="s">
        <v>1244</v>
      </c>
      <c r="D487" s="74" t="s">
        <v>43</v>
      </c>
      <c r="E487" s="75" t="s">
        <v>782</v>
      </c>
      <c r="F487" s="72" t="s">
        <v>671</v>
      </c>
      <c r="G487" s="72" t="s">
        <v>615</v>
      </c>
      <c r="H487" s="76" t="s">
        <v>332</v>
      </c>
      <c r="I487" s="76" t="s">
        <v>22</v>
      </c>
      <c r="J487" s="77" t="s">
        <v>23</v>
      </c>
      <c r="K487" s="77" t="s">
        <v>49</v>
      </c>
    </row>
    <row r="488" ht="15.75" customHeight="1">
      <c r="A488" s="72" t="s">
        <v>1351</v>
      </c>
      <c r="B488" s="73" t="s">
        <v>376</v>
      </c>
      <c r="C488" s="73" t="s">
        <v>399</v>
      </c>
      <c r="D488" s="74" t="s">
        <v>17</v>
      </c>
      <c r="E488" s="75" t="s">
        <v>579</v>
      </c>
      <c r="F488" s="72" t="s">
        <v>965</v>
      </c>
      <c r="G488" s="72" t="s">
        <v>928</v>
      </c>
      <c r="H488" s="76" t="s">
        <v>210</v>
      </c>
      <c r="I488" s="76" t="s">
        <v>22</v>
      </c>
      <c r="J488" s="77" t="s">
        <v>48</v>
      </c>
      <c r="K488" s="77" t="s">
        <v>24</v>
      </c>
    </row>
    <row r="489" ht="15.75" customHeight="1">
      <c r="A489" s="72" t="s">
        <v>1352</v>
      </c>
      <c r="B489" s="73" t="s">
        <v>15</v>
      </c>
      <c r="C489" s="73" t="s">
        <v>1071</v>
      </c>
      <c r="D489" s="74" t="s">
        <v>43</v>
      </c>
      <c r="E489" s="75" t="s">
        <v>1072</v>
      </c>
      <c r="F489" s="72" t="s">
        <v>833</v>
      </c>
      <c r="G489" s="72" t="s">
        <v>418</v>
      </c>
      <c r="H489" s="76" t="s">
        <v>59</v>
      </c>
      <c r="I489" s="76" t="s">
        <v>485</v>
      </c>
      <c r="J489" s="77" t="s">
        <v>761</v>
      </c>
      <c r="K489" s="77" t="s">
        <v>923</v>
      </c>
    </row>
    <row r="490" ht="15.75" customHeight="1">
      <c r="A490" s="72" t="s">
        <v>1353</v>
      </c>
      <c r="B490" s="73" t="s">
        <v>1048</v>
      </c>
      <c r="C490" s="73" t="s">
        <v>714</v>
      </c>
      <c r="D490" s="74" t="s">
        <v>43</v>
      </c>
      <c r="E490" s="75" t="s">
        <v>737</v>
      </c>
      <c r="F490" s="72" t="s">
        <v>314</v>
      </c>
      <c r="G490" s="72" t="s">
        <v>1095</v>
      </c>
      <c r="H490" s="76" t="s">
        <v>561</v>
      </c>
      <c r="I490" s="76" t="s">
        <v>201</v>
      </c>
      <c r="J490" s="77" t="s">
        <v>48</v>
      </c>
      <c r="K490" s="77" t="s">
        <v>866</v>
      </c>
    </row>
    <row r="491" ht="15.75" customHeight="1">
      <c r="A491" s="72" t="s">
        <v>1354</v>
      </c>
      <c r="B491" s="73" t="s">
        <v>521</v>
      </c>
      <c r="C491" s="73">
        <v>7.84324259E8</v>
      </c>
      <c r="D491" s="74" t="s">
        <v>17</v>
      </c>
      <c r="E491" s="75" t="s">
        <v>737</v>
      </c>
      <c r="F491" s="72" t="s">
        <v>331</v>
      </c>
      <c r="G491" s="72" t="s">
        <v>262</v>
      </c>
      <c r="H491" s="76" t="s">
        <v>21</v>
      </c>
      <c r="I491" s="76" t="s">
        <v>201</v>
      </c>
      <c r="J491" s="77" t="s">
        <v>48</v>
      </c>
      <c r="K491" s="77" t="s">
        <v>49</v>
      </c>
    </row>
    <row r="492" ht="15.75" customHeight="1">
      <c r="A492" s="72" t="s">
        <v>1355</v>
      </c>
      <c r="B492" s="73" t="s">
        <v>521</v>
      </c>
      <c r="C492" s="73" t="s">
        <v>863</v>
      </c>
      <c r="D492" s="74" t="s">
        <v>17</v>
      </c>
      <c r="E492" s="75" t="s">
        <v>1258</v>
      </c>
      <c r="F492" s="72" t="s">
        <v>734</v>
      </c>
      <c r="G492" s="72" t="s">
        <v>465</v>
      </c>
      <c r="H492" s="76" t="s">
        <v>59</v>
      </c>
      <c r="I492" s="76" t="s">
        <v>130</v>
      </c>
      <c r="J492" s="77" t="s">
        <v>48</v>
      </c>
      <c r="K492" s="77" t="s">
        <v>850</v>
      </c>
    </row>
    <row r="493" ht="15.75" customHeight="1">
      <c r="A493" s="72" t="s">
        <v>1356</v>
      </c>
      <c r="B493" s="73" t="s">
        <v>15</v>
      </c>
      <c r="C493" s="73" t="s">
        <v>135</v>
      </c>
      <c r="D493" s="74" t="s">
        <v>43</v>
      </c>
      <c r="E493" s="75" t="s">
        <v>420</v>
      </c>
      <c r="F493" s="72" t="s">
        <v>683</v>
      </c>
      <c r="G493" s="72" t="s">
        <v>1151</v>
      </c>
      <c r="H493" s="76" t="s">
        <v>34</v>
      </c>
      <c r="I493" s="76" t="s">
        <v>201</v>
      </c>
      <c r="J493" s="77" t="s">
        <v>48</v>
      </c>
      <c r="K493" s="77" t="s">
        <v>393</v>
      </c>
    </row>
    <row r="494" ht="15.75" customHeight="1">
      <c r="A494" s="72" t="s">
        <v>1357</v>
      </c>
      <c r="B494" s="73" t="s">
        <v>1048</v>
      </c>
      <c r="C494" s="73" t="s">
        <v>1294</v>
      </c>
      <c r="D494" s="74" t="s">
        <v>17</v>
      </c>
      <c r="E494" s="75" t="s">
        <v>204</v>
      </c>
      <c r="F494" s="72" t="s">
        <v>891</v>
      </c>
      <c r="G494" s="72" t="s">
        <v>418</v>
      </c>
      <c r="H494" s="76" t="s">
        <v>447</v>
      </c>
      <c r="I494" s="76" t="s">
        <v>22</v>
      </c>
      <c r="J494" s="77" t="s">
        <v>48</v>
      </c>
      <c r="K494" s="77" t="s">
        <v>24</v>
      </c>
    </row>
    <row r="495" ht="15.75" customHeight="1">
      <c r="A495" s="72" t="s">
        <v>1358</v>
      </c>
      <c r="B495" s="73" t="s">
        <v>521</v>
      </c>
      <c r="C495" s="73" t="s">
        <v>1083</v>
      </c>
      <c r="D495" s="74" t="s">
        <v>17</v>
      </c>
      <c r="E495" s="75" t="s">
        <v>38</v>
      </c>
      <c r="F495" s="72" t="s">
        <v>205</v>
      </c>
      <c r="G495" s="72" t="s">
        <v>226</v>
      </c>
      <c r="H495" s="76" t="s">
        <v>59</v>
      </c>
      <c r="I495" s="76" t="s">
        <v>130</v>
      </c>
      <c r="J495" s="77" t="s">
        <v>23</v>
      </c>
      <c r="K495" s="77" t="s">
        <v>790</v>
      </c>
    </row>
    <row r="496" ht="15.75" customHeight="1">
      <c r="A496" s="72" t="s">
        <v>1359</v>
      </c>
      <c r="B496" s="73" t="s">
        <v>15</v>
      </c>
      <c r="C496" s="73" t="s">
        <v>1185</v>
      </c>
      <c r="D496" s="74" t="s">
        <v>17</v>
      </c>
      <c r="E496" s="75" t="s">
        <v>1018</v>
      </c>
      <c r="F496" s="72" t="s">
        <v>308</v>
      </c>
      <c r="G496" s="72" t="s">
        <v>556</v>
      </c>
      <c r="H496" s="76" t="s">
        <v>154</v>
      </c>
      <c r="I496" s="76" t="s">
        <v>47</v>
      </c>
      <c r="J496" s="77" t="s">
        <v>23</v>
      </c>
      <c r="K496" s="77" t="s">
        <v>1065</v>
      </c>
    </row>
    <row r="497" ht="15.75" customHeight="1">
      <c r="A497" s="72" t="s">
        <v>1360</v>
      </c>
      <c r="B497" s="73" t="s">
        <v>1048</v>
      </c>
      <c r="C497" s="73">
        <v>7.00956364E8</v>
      </c>
      <c r="D497" s="74" t="s">
        <v>17</v>
      </c>
      <c r="E497" s="75" t="s">
        <v>532</v>
      </c>
      <c r="F497" s="72" t="s">
        <v>432</v>
      </c>
      <c r="G497" s="72" t="s">
        <v>304</v>
      </c>
      <c r="H497" s="76" t="s">
        <v>541</v>
      </c>
      <c r="I497" s="76" t="s">
        <v>201</v>
      </c>
      <c r="J497" s="77" t="s">
        <v>48</v>
      </c>
      <c r="K497" s="77" t="s">
        <v>106</v>
      </c>
    </row>
    <row r="498" ht="15.75" customHeight="1">
      <c r="A498" s="72" t="s">
        <v>1361</v>
      </c>
      <c r="B498" s="73" t="s">
        <v>905</v>
      </c>
      <c r="C498" s="73" t="s">
        <v>974</v>
      </c>
      <c r="D498" s="74" t="s">
        <v>43</v>
      </c>
      <c r="E498" s="75" t="s">
        <v>636</v>
      </c>
      <c r="F498" s="72" t="s">
        <v>53</v>
      </c>
      <c r="G498" s="72" t="s">
        <v>422</v>
      </c>
      <c r="H498" s="76" t="s">
        <v>316</v>
      </c>
      <c r="I498" s="76" t="s">
        <v>105</v>
      </c>
      <c r="J498" s="77" t="s">
        <v>48</v>
      </c>
      <c r="K498" s="77" t="s">
        <v>898</v>
      </c>
    </row>
    <row r="499" ht="15.75" customHeight="1">
      <c r="A499" s="72" t="s">
        <v>1362</v>
      </c>
      <c r="B499" s="73" t="s">
        <v>15</v>
      </c>
      <c r="C499" s="73" t="s">
        <v>224</v>
      </c>
      <c r="D499" s="74" t="s">
        <v>17</v>
      </c>
      <c r="E499" s="75" t="s">
        <v>532</v>
      </c>
      <c r="F499" s="72" t="s">
        <v>614</v>
      </c>
      <c r="G499" s="72" t="s">
        <v>418</v>
      </c>
      <c r="H499" s="76" t="s">
        <v>59</v>
      </c>
      <c r="I499" s="76" t="s">
        <v>22</v>
      </c>
      <c r="J499" s="77" t="s">
        <v>277</v>
      </c>
      <c r="K499" s="77" t="s">
        <v>898</v>
      </c>
    </row>
    <row r="500" ht="15.75" customHeight="1">
      <c r="A500" s="72" t="s">
        <v>1363</v>
      </c>
      <c r="B500" s="73" t="s">
        <v>521</v>
      </c>
      <c r="C500" s="73">
        <v>7.06837581E8</v>
      </c>
      <c r="D500" s="74" t="s">
        <v>17</v>
      </c>
      <c r="E500" s="75" t="s">
        <v>246</v>
      </c>
      <c r="F500" s="72" t="s">
        <v>234</v>
      </c>
      <c r="G500" s="72" t="s">
        <v>1052</v>
      </c>
      <c r="H500" s="76" t="s">
        <v>480</v>
      </c>
      <c r="I500" s="76" t="s">
        <v>97</v>
      </c>
      <c r="J500" s="77" t="s">
        <v>48</v>
      </c>
      <c r="K500" s="77" t="s">
        <v>945</v>
      </c>
    </row>
    <row r="501" ht="15.75" customHeight="1">
      <c r="A501" s="72" t="s">
        <v>1364</v>
      </c>
      <c r="B501" s="73" t="s">
        <v>521</v>
      </c>
      <c r="C501" s="73" t="s">
        <v>299</v>
      </c>
      <c r="D501" s="74" t="s">
        <v>43</v>
      </c>
      <c r="E501" s="75" t="s">
        <v>140</v>
      </c>
      <c r="F501" s="72" t="s">
        <v>891</v>
      </c>
      <c r="G501" s="72" t="s">
        <v>418</v>
      </c>
      <c r="H501" s="76" t="s">
        <v>59</v>
      </c>
      <c r="I501" s="76" t="s">
        <v>130</v>
      </c>
      <c r="J501" s="77" t="s">
        <v>48</v>
      </c>
      <c r="K501" s="77" t="s">
        <v>24</v>
      </c>
    </row>
    <row r="502" ht="15.75" customHeight="1">
      <c r="A502" s="72" t="s">
        <v>1365</v>
      </c>
      <c r="B502" s="73" t="s">
        <v>376</v>
      </c>
      <c r="C502" s="73">
        <v>7.3812789E8</v>
      </c>
      <c r="D502" s="74" t="s">
        <v>43</v>
      </c>
      <c r="E502" s="75" t="s">
        <v>167</v>
      </c>
      <c r="F502" s="72" t="s">
        <v>1066</v>
      </c>
      <c r="G502" s="72" t="s">
        <v>161</v>
      </c>
      <c r="H502" s="76" t="s">
        <v>129</v>
      </c>
      <c r="I502" s="76" t="s">
        <v>201</v>
      </c>
      <c r="J502" s="77" t="s">
        <v>23</v>
      </c>
      <c r="K502" s="77" t="s">
        <v>24</v>
      </c>
    </row>
    <row r="503" ht="15.75" customHeight="1">
      <c r="A503" s="72" t="s">
        <v>1366</v>
      </c>
      <c r="B503" s="73" t="s">
        <v>1048</v>
      </c>
      <c r="C503" s="73" t="s">
        <v>139</v>
      </c>
      <c r="D503" s="74" t="s">
        <v>17</v>
      </c>
      <c r="E503" s="75" t="s">
        <v>52</v>
      </c>
      <c r="F503" s="72" t="s">
        <v>1014</v>
      </c>
      <c r="G503" s="72" t="s">
        <v>527</v>
      </c>
      <c r="H503" s="76" t="s">
        <v>69</v>
      </c>
      <c r="I503" s="76" t="s">
        <v>22</v>
      </c>
      <c r="J503" s="77" t="s">
        <v>48</v>
      </c>
      <c r="K503" s="77" t="s">
        <v>570</v>
      </c>
    </row>
    <row r="504" ht="15.75" customHeight="1">
      <c r="A504" s="72" t="s">
        <v>1367</v>
      </c>
      <c r="B504" s="73" t="s">
        <v>1048</v>
      </c>
      <c r="C504" s="73" t="s">
        <v>74</v>
      </c>
      <c r="D504" s="74" t="s">
        <v>17</v>
      </c>
      <c r="E504" s="75" t="s">
        <v>1050</v>
      </c>
      <c r="F504" s="72" t="s">
        <v>1100</v>
      </c>
      <c r="G504" s="72" t="s">
        <v>128</v>
      </c>
      <c r="H504" s="76" t="s">
        <v>544</v>
      </c>
      <c r="I504" s="76" t="s">
        <v>485</v>
      </c>
      <c r="J504" s="77" t="s">
        <v>48</v>
      </c>
      <c r="K504" s="77" t="s">
        <v>1143</v>
      </c>
    </row>
    <row r="505" ht="15.75" customHeight="1">
      <c r="A505" s="72" t="s">
        <v>1368</v>
      </c>
      <c r="B505" s="73" t="s">
        <v>521</v>
      </c>
      <c r="C505" s="73">
        <v>7.58331753E8</v>
      </c>
      <c r="D505" s="74" t="s">
        <v>17</v>
      </c>
      <c r="E505" s="75" t="s">
        <v>1030</v>
      </c>
      <c r="F505" s="72" t="s">
        <v>809</v>
      </c>
      <c r="G505" s="72" t="s">
        <v>1032</v>
      </c>
      <c r="H505" s="76" t="s">
        <v>535</v>
      </c>
      <c r="I505" s="76" t="s">
        <v>201</v>
      </c>
      <c r="J505" s="77" t="s">
        <v>23</v>
      </c>
      <c r="K505" s="77" t="s">
        <v>423</v>
      </c>
    </row>
    <row r="506" ht="15.75" customHeight="1">
      <c r="A506" s="72" t="s">
        <v>1369</v>
      </c>
      <c r="B506" s="73" t="s">
        <v>521</v>
      </c>
      <c r="C506" s="73" t="s">
        <v>673</v>
      </c>
      <c r="D506" s="74" t="s">
        <v>43</v>
      </c>
      <c r="E506" s="75" t="s">
        <v>993</v>
      </c>
      <c r="F506" s="72" t="s">
        <v>1278</v>
      </c>
      <c r="G506" s="72" t="s">
        <v>556</v>
      </c>
      <c r="H506" s="76" t="s">
        <v>535</v>
      </c>
      <c r="I506" s="76" t="s">
        <v>105</v>
      </c>
      <c r="J506" s="77" t="s">
        <v>48</v>
      </c>
      <c r="K506" s="77" t="s">
        <v>907</v>
      </c>
    </row>
    <row r="507" ht="15.75" customHeight="1">
      <c r="A507" s="72" t="s">
        <v>1370</v>
      </c>
      <c r="B507" s="73" t="s">
        <v>376</v>
      </c>
      <c r="C507" s="73" t="s">
        <v>312</v>
      </c>
      <c r="D507" s="74" t="s">
        <v>17</v>
      </c>
      <c r="E507" s="75" t="s">
        <v>44</v>
      </c>
      <c r="F507" s="72" t="s">
        <v>709</v>
      </c>
      <c r="G507" s="72" t="s">
        <v>418</v>
      </c>
      <c r="H507" s="76" t="s">
        <v>982</v>
      </c>
      <c r="I507" s="76" t="s">
        <v>97</v>
      </c>
      <c r="J507" s="77" t="s">
        <v>23</v>
      </c>
      <c r="K507" s="77" t="s">
        <v>82</v>
      </c>
    </row>
    <row r="508" ht="15.75" customHeight="1">
      <c r="A508" s="72" t="s">
        <v>1371</v>
      </c>
      <c r="B508" s="73" t="s">
        <v>15</v>
      </c>
      <c r="C508" s="73" t="s">
        <v>232</v>
      </c>
      <c r="D508" s="74" t="s">
        <v>43</v>
      </c>
      <c r="E508" s="75" t="s">
        <v>649</v>
      </c>
      <c r="F508" s="72" t="s">
        <v>168</v>
      </c>
      <c r="G508" s="72" t="s">
        <v>72</v>
      </c>
      <c r="H508" s="76" t="s">
        <v>561</v>
      </c>
      <c r="I508" s="76" t="s">
        <v>201</v>
      </c>
      <c r="J508" s="77" t="s">
        <v>23</v>
      </c>
      <c r="K508" s="77" t="s">
        <v>748</v>
      </c>
    </row>
    <row r="509" ht="15.75" customHeight="1">
      <c r="A509" s="72" t="s">
        <v>1372</v>
      </c>
      <c r="B509" s="73" t="s">
        <v>521</v>
      </c>
      <c r="C509" s="73">
        <v>7.12448925E8</v>
      </c>
      <c r="D509" s="74" t="s">
        <v>43</v>
      </c>
      <c r="E509" s="75" t="s">
        <v>1258</v>
      </c>
      <c r="F509" s="72" t="s">
        <v>421</v>
      </c>
      <c r="G509" s="72" t="s">
        <v>1091</v>
      </c>
      <c r="H509" s="76" t="s">
        <v>447</v>
      </c>
      <c r="I509" s="76" t="s">
        <v>22</v>
      </c>
      <c r="J509" s="77" t="s">
        <v>23</v>
      </c>
      <c r="K509" s="77" t="s">
        <v>49</v>
      </c>
    </row>
    <row r="510" ht="15.75" customHeight="1">
      <c r="A510" s="72" t="s">
        <v>1373</v>
      </c>
      <c r="B510" s="73" t="s">
        <v>521</v>
      </c>
      <c r="C510" s="73">
        <v>7.97311597E8</v>
      </c>
      <c r="D510" s="74" t="s">
        <v>43</v>
      </c>
      <c r="E510" s="75" t="s">
        <v>985</v>
      </c>
      <c r="F510" s="72" t="s">
        <v>965</v>
      </c>
      <c r="G510" s="72" t="s">
        <v>834</v>
      </c>
      <c r="H510" s="76" t="s">
        <v>129</v>
      </c>
      <c r="I510" s="76" t="s">
        <v>201</v>
      </c>
      <c r="J510" s="77" t="s">
        <v>23</v>
      </c>
      <c r="K510" s="77" t="s">
        <v>1143</v>
      </c>
    </row>
    <row r="511" ht="15.75" customHeight="1">
      <c r="A511" s="72" t="s">
        <v>1374</v>
      </c>
      <c r="B511" s="73" t="s">
        <v>15</v>
      </c>
      <c r="C511" s="73">
        <v>7.25617403E8</v>
      </c>
      <c r="D511" s="74" t="s">
        <v>17</v>
      </c>
      <c r="E511" s="75" t="s">
        <v>640</v>
      </c>
      <c r="F511" s="72" t="s">
        <v>969</v>
      </c>
      <c r="G511" s="72" t="s">
        <v>72</v>
      </c>
      <c r="H511" s="76" t="s">
        <v>349</v>
      </c>
      <c r="I511" s="76" t="s">
        <v>22</v>
      </c>
      <c r="J511" s="77" t="s">
        <v>48</v>
      </c>
      <c r="K511" s="77" t="s">
        <v>1096</v>
      </c>
    </row>
    <row r="512" ht="15.75" customHeight="1">
      <c r="A512" s="72" t="s">
        <v>1375</v>
      </c>
      <c r="B512" s="73" t="s">
        <v>905</v>
      </c>
      <c r="C512" s="73">
        <v>7.68129677E8</v>
      </c>
      <c r="D512" s="74" t="s">
        <v>17</v>
      </c>
      <c r="E512" s="75" t="s">
        <v>1287</v>
      </c>
      <c r="F512" s="72" t="s">
        <v>803</v>
      </c>
      <c r="G512" s="72" t="s">
        <v>422</v>
      </c>
      <c r="H512" s="76" t="s">
        <v>477</v>
      </c>
      <c r="I512" s="76" t="s">
        <v>130</v>
      </c>
      <c r="J512" s="77" t="s">
        <v>48</v>
      </c>
      <c r="K512" s="77" t="s">
        <v>49</v>
      </c>
    </row>
    <row r="513" ht="15.75" customHeight="1">
      <c r="A513" s="72" t="s">
        <v>1376</v>
      </c>
      <c r="B513" s="73" t="s">
        <v>521</v>
      </c>
      <c r="C513" s="73" t="s">
        <v>918</v>
      </c>
      <c r="D513" s="74" t="s">
        <v>17</v>
      </c>
      <c r="E513" s="75" t="s">
        <v>715</v>
      </c>
      <c r="F513" s="72" t="s">
        <v>348</v>
      </c>
      <c r="G513" s="72" t="s">
        <v>418</v>
      </c>
      <c r="H513" s="76" t="s">
        <v>610</v>
      </c>
      <c r="I513" s="76" t="s">
        <v>97</v>
      </c>
      <c r="J513" s="77" t="s">
        <v>48</v>
      </c>
      <c r="K513" s="77" t="s">
        <v>49</v>
      </c>
    </row>
    <row r="514" ht="15.75" customHeight="1">
      <c r="A514" s="72" t="s">
        <v>1377</v>
      </c>
      <c r="B514" s="73" t="s">
        <v>521</v>
      </c>
      <c r="C514" s="73" t="s">
        <v>125</v>
      </c>
      <c r="D514" s="74" t="s">
        <v>43</v>
      </c>
      <c r="E514" s="75" t="s">
        <v>208</v>
      </c>
      <c r="F514" s="72" t="s">
        <v>1167</v>
      </c>
      <c r="G514" s="72" t="s">
        <v>337</v>
      </c>
      <c r="H514" s="76" t="s">
        <v>332</v>
      </c>
      <c r="I514" s="76" t="s">
        <v>130</v>
      </c>
      <c r="J514" s="77" t="s">
        <v>48</v>
      </c>
      <c r="K514" s="77" t="s">
        <v>468</v>
      </c>
    </row>
    <row r="515" ht="15.75" customHeight="1">
      <c r="A515" s="72" t="s">
        <v>1378</v>
      </c>
      <c r="B515" s="73" t="s">
        <v>521</v>
      </c>
      <c r="C515" s="73" t="s">
        <v>353</v>
      </c>
      <c r="D515" s="74" t="s">
        <v>17</v>
      </c>
      <c r="E515" s="75" t="s">
        <v>258</v>
      </c>
      <c r="F515" s="72" t="s">
        <v>331</v>
      </c>
      <c r="G515" s="72" t="s">
        <v>1151</v>
      </c>
      <c r="H515" s="76" t="s">
        <v>69</v>
      </c>
      <c r="I515" s="76" t="s">
        <v>97</v>
      </c>
      <c r="J515" s="77" t="s">
        <v>48</v>
      </c>
      <c r="K515" s="77" t="s">
        <v>49</v>
      </c>
    </row>
    <row r="516" ht="15.75" customHeight="1">
      <c r="A516" s="72" t="s">
        <v>1379</v>
      </c>
      <c r="B516" s="73" t="s">
        <v>521</v>
      </c>
      <c r="C516" s="73" t="s">
        <v>889</v>
      </c>
      <c r="D516" s="74" t="s">
        <v>43</v>
      </c>
      <c r="E516" s="75" t="s">
        <v>559</v>
      </c>
      <c r="F516" s="72" t="s">
        <v>1079</v>
      </c>
      <c r="G516" s="72" t="s">
        <v>979</v>
      </c>
      <c r="H516" s="76" t="s">
        <v>1064</v>
      </c>
      <c r="I516" s="76" t="s">
        <v>105</v>
      </c>
      <c r="J516" s="77" t="s">
        <v>48</v>
      </c>
      <c r="K516" s="77" t="s">
        <v>24</v>
      </c>
    </row>
    <row r="517" ht="15.75" customHeight="1">
      <c r="A517" s="72" t="s">
        <v>1380</v>
      </c>
      <c r="B517" s="73" t="s">
        <v>15</v>
      </c>
      <c r="C517" s="73" t="s">
        <v>1137</v>
      </c>
      <c r="D517" s="74" t="s">
        <v>17</v>
      </c>
      <c r="E517" s="75" t="s">
        <v>246</v>
      </c>
      <c r="F517" s="72" t="s">
        <v>464</v>
      </c>
      <c r="G517" s="72" t="s">
        <v>1039</v>
      </c>
      <c r="H517" s="76" t="s">
        <v>54</v>
      </c>
      <c r="I517" s="76" t="s">
        <v>47</v>
      </c>
      <c r="J517" s="77" t="s">
        <v>48</v>
      </c>
      <c r="K517" s="77" t="s">
        <v>748</v>
      </c>
    </row>
    <row r="518" ht="15.75" customHeight="1">
      <c r="A518" s="72" t="s">
        <v>1381</v>
      </c>
      <c r="B518" s="73" t="s">
        <v>905</v>
      </c>
      <c r="C518" s="73" t="s">
        <v>144</v>
      </c>
      <c r="D518" s="74" t="s">
        <v>17</v>
      </c>
      <c r="E518" s="75" t="s">
        <v>356</v>
      </c>
      <c r="F518" s="72" t="s">
        <v>595</v>
      </c>
      <c r="G518" s="72" t="s">
        <v>1052</v>
      </c>
      <c r="H518" s="76" t="s">
        <v>34</v>
      </c>
      <c r="I518" s="76" t="s">
        <v>130</v>
      </c>
      <c r="J518" s="77" t="s">
        <v>23</v>
      </c>
      <c r="K518" s="77" t="s">
        <v>690</v>
      </c>
    </row>
    <row r="519" ht="15.75" customHeight="1">
      <c r="A519" s="72" t="s">
        <v>1382</v>
      </c>
      <c r="B519" s="73" t="s">
        <v>905</v>
      </c>
      <c r="C519" s="73" t="s">
        <v>1257</v>
      </c>
      <c r="D519" s="74" t="s">
        <v>17</v>
      </c>
      <c r="E519" s="75" t="s">
        <v>613</v>
      </c>
      <c r="F519" s="72" t="s">
        <v>432</v>
      </c>
      <c r="G519" s="72" t="s">
        <v>979</v>
      </c>
      <c r="H519" s="76" t="s">
        <v>129</v>
      </c>
      <c r="I519" s="76" t="s">
        <v>47</v>
      </c>
      <c r="J519" s="77" t="s">
        <v>48</v>
      </c>
      <c r="K519" s="77" t="s">
        <v>616</v>
      </c>
    </row>
    <row r="520" ht="15.75" customHeight="1">
      <c r="A520" s="72" t="s">
        <v>1383</v>
      </c>
      <c r="B520" s="73" t="s">
        <v>1048</v>
      </c>
      <c r="C520" s="73" t="s">
        <v>1154</v>
      </c>
      <c r="D520" s="74" t="s">
        <v>43</v>
      </c>
      <c r="E520" s="75" t="s">
        <v>832</v>
      </c>
      <c r="F520" s="72" t="s">
        <v>759</v>
      </c>
      <c r="G520" s="72" t="s">
        <v>1052</v>
      </c>
      <c r="H520" s="76" t="s">
        <v>276</v>
      </c>
      <c r="I520" s="76" t="s">
        <v>47</v>
      </c>
      <c r="J520" s="77" t="s">
        <v>48</v>
      </c>
      <c r="K520" s="77" t="s">
        <v>49</v>
      </c>
    </row>
    <row r="521" ht="15.75" customHeight="1">
      <c r="A521" s="72" t="s">
        <v>1384</v>
      </c>
      <c r="B521" s="73" t="s">
        <v>521</v>
      </c>
      <c r="C521" s="73" t="s">
        <v>1024</v>
      </c>
      <c r="D521" s="74" t="s">
        <v>17</v>
      </c>
      <c r="E521" s="75" t="s">
        <v>1089</v>
      </c>
      <c r="F521" s="72" t="s">
        <v>1042</v>
      </c>
      <c r="G521" s="72" t="s">
        <v>1227</v>
      </c>
      <c r="H521" s="76" t="s">
        <v>316</v>
      </c>
      <c r="I521" s="76" t="s">
        <v>130</v>
      </c>
      <c r="J521" s="77" t="s">
        <v>23</v>
      </c>
      <c r="K521" s="77" t="s">
        <v>24</v>
      </c>
    </row>
    <row r="522" ht="15.75" customHeight="1">
      <c r="A522" s="72" t="s">
        <v>1385</v>
      </c>
      <c r="B522" s="73" t="s">
        <v>521</v>
      </c>
      <c r="C522" s="73">
        <v>7.46120528E8</v>
      </c>
      <c r="D522" s="74" t="s">
        <v>43</v>
      </c>
      <c r="E522" s="75" t="s">
        <v>608</v>
      </c>
      <c r="F522" s="72" t="s">
        <v>53</v>
      </c>
      <c r="G522" s="72" t="s">
        <v>754</v>
      </c>
      <c r="H522" s="76" t="s">
        <v>544</v>
      </c>
      <c r="I522" s="76" t="s">
        <v>22</v>
      </c>
      <c r="J522" s="77" t="s">
        <v>48</v>
      </c>
      <c r="K522" s="77" t="s">
        <v>49</v>
      </c>
    </row>
    <row r="523" ht="15.75" customHeight="1">
      <c r="A523" s="72" t="s">
        <v>1386</v>
      </c>
      <c r="B523" s="73" t="s">
        <v>1048</v>
      </c>
      <c r="C523" s="73" t="s">
        <v>1061</v>
      </c>
      <c r="D523" s="74" t="s">
        <v>17</v>
      </c>
      <c r="E523" s="75" t="s">
        <v>497</v>
      </c>
      <c r="F523" s="72" t="s">
        <v>812</v>
      </c>
      <c r="G523" s="72" t="s">
        <v>981</v>
      </c>
      <c r="H523" s="76" t="s">
        <v>316</v>
      </c>
      <c r="I523" s="76" t="s">
        <v>105</v>
      </c>
      <c r="J523" s="77" t="s">
        <v>23</v>
      </c>
      <c r="K523" s="77" t="s">
        <v>49</v>
      </c>
    </row>
    <row r="524" ht="15.75" customHeight="1">
      <c r="A524" s="72" t="s">
        <v>1387</v>
      </c>
      <c r="B524" s="73" t="s">
        <v>15</v>
      </c>
      <c r="C524" s="73" t="s">
        <v>612</v>
      </c>
      <c r="D524" s="74" t="s">
        <v>43</v>
      </c>
      <c r="E524" s="75" t="s">
        <v>1026</v>
      </c>
      <c r="F524" s="72" t="s">
        <v>1300</v>
      </c>
      <c r="G524" s="72" t="s">
        <v>226</v>
      </c>
      <c r="H524" s="76" t="s">
        <v>118</v>
      </c>
      <c r="I524" s="76" t="s">
        <v>105</v>
      </c>
      <c r="J524" s="77" t="s">
        <v>23</v>
      </c>
      <c r="K524" s="77" t="s">
        <v>24</v>
      </c>
    </row>
    <row r="525" ht="15.75" customHeight="1">
      <c r="A525" s="72" t="s">
        <v>1388</v>
      </c>
      <c r="B525" s="73" t="s">
        <v>521</v>
      </c>
      <c r="C525" s="73">
        <v>7.20674739E8</v>
      </c>
      <c r="D525" s="74" t="s">
        <v>43</v>
      </c>
      <c r="E525" s="75" t="s">
        <v>330</v>
      </c>
      <c r="F525" s="72" t="s">
        <v>894</v>
      </c>
      <c r="G525" s="72" t="s">
        <v>829</v>
      </c>
      <c r="H525" s="76" t="s">
        <v>162</v>
      </c>
      <c r="I525" s="76" t="s">
        <v>47</v>
      </c>
      <c r="J525" s="77" t="s">
        <v>48</v>
      </c>
      <c r="K525" s="77" t="s">
        <v>383</v>
      </c>
    </row>
    <row r="526" ht="15.75" customHeight="1">
      <c r="A526" s="72" t="s">
        <v>1389</v>
      </c>
      <c r="B526" s="73" t="s">
        <v>1048</v>
      </c>
      <c r="C526" s="73" t="s">
        <v>1012</v>
      </c>
      <c r="D526" s="74" t="s">
        <v>43</v>
      </c>
      <c r="E526" s="75" t="s">
        <v>291</v>
      </c>
      <c r="F526" s="72" t="s">
        <v>455</v>
      </c>
      <c r="G526" s="72" t="s">
        <v>534</v>
      </c>
      <c r="H526" s="76" t="s">
        <v>267</v>
      </c>
      <c r="I526" s="76" t="s">
        <v>29</v>
      </c>
      <c r="J526" s="77" t="s">
        <v>23</v>
      </c>
      <c r="K526" s="77" t="s">
        <v>49</v>
      </c>
    </row>
    <row r="527" ht="15.75" customHeight="1">
      <c r="A527" s="72" t="s">
        <v>1390</v>
      </c>
      <c r="B527" s="73" t="s">
        <v>15</v>
      </c>
      <c r="C527" s="73">
        <v>7.65451355E8</v>
      </c>
      <c r="D527" s="74" t="s">
        <v>17</v>
      </c>
      <c r="E527" s="75" t="s">
        <v>808</v>
      </c>
      <c r="F527" s="72" t="s">
        <v>271</v>
      </c>
      <c r="G527" s="72" t="s">
        <v>1052</v>
      </c>
      <c r="H527" s="76" t="s">
        <v>59</v>
      </c>
      <c r="I527" s="76" t="s">
        <v>130</v>
      </c>
      <c r="J527" s="77" t="s">
        <v>277</v>
      </c>
      <c r="K527" s="77" t="s">
        <v>1285</v>
      </c>
    </row>
    <row r="528" ht="15.75" customHeight="1">
      <c r="A528" s="72" t="s">
        <v>1391</v>
      </c>
      <c r="B528" s="73" t="s">
        <v>15</v>
      </c>
      <c r="C528" s="73" t="s">
        <v>26</v>
      </c>
      <c r="D528" s="74" t="s">
        <v>17</v>
      </c>
      <c r="E528" s="75" t="s">
        <v>159</v>
      </c>
      <c r="F528" s="72" t="s">
        <v>952</v>
      </c>
      <c r="G528" s="72" t="s">
        <v>222</v>
      </c>
      <c r="H528" s="76" t="s">
        <v>129</v>
      </c>
      <c r="I528" s="76" t="s">
        <v>22</v>
      </c>
      <c r="J528" s="77" t="s">
        <v>23</v>
      </c>
      <c r="K528" s="77" t="s">
        <v>1141</v>
      </c>
    </row>
    <row r="529" ht="15.75" customHeight="1">
      <c r="A529" s="72" t="s">
        <v>1392</v>
      </c>
      <c r="B529" s="73" t="s">
        <v>521</v>
      </c>
      <c r="C529" s="73">
        <v>7.1254553E8</v>
      </c>
      <c r="D529" s="74" t="s">
        <v>43</v>
      </c>
      <c r="E529" s="75" t="s">
        <v>737</v>
      </c>
      <c r="F529" s="72" t="s">
        <v>764</v>
      </c>
      <c r="G529" s="72" t="s">
        <v>987</v>
      </c>
      <c r="H529" s="76" t="s">
        <v>535</v>
      </c>
      <c r="I529" s="76" t="s">
        <v>97</v>
      </c>
      <c r="J529" s="77" t="s">
        <v>562</v>
      </c>
      <c r="K529" s="77" t="s">
        <v>1247</v>
      </c>
    </row>
    <row r="530" ht="15.75" customHeight="1">
      <c r="A530" s="72" t="s">
        <v>1393</v>
      </c>
      <c r="B530" s="73" t="s">
        <v>521</v>
      </c>
      <c r="C530" s="73" t="s">
        <v>100</v>
      </c>
      <c r="D530" s="74" t="s">
        <v>17</v>
      </c>
      <c r="E530" s="75" t="s">
        <v>682</v>
      </c>
      <c r="F530" s="72" t="s">
        <v>818</v>
      </c>
      <c r="G530" s="72" t="s">
        <v>1063</v>
      </c>
      <c r="H530" s="76" t="s">
        <v>34</v>
      </c>
      <c r="I530" s="76" t="s">
        <v>22</v>
      </c>
      <c r="J530" s="77" t="s">
        <v>23</v>
      </c>
      <c r="K530" s="77" t="s">
        <v>523</v>
      </c>
    </row>
    <row r="531" ht="15.75" customHeight="1">
      <c r="A531" s="72" t="s">
        <v>1394</v>
      </c>
      <c r="B531" s="73" t="s">
        <v>905</v>
      </c>
      <c r="C531" s="73" t="s">
        <v>1061</v>
      </c>
      <c r="D531" s="74" t="s">
        <v>43</v>
      </c>
      <c r="E531" s="75" t="s">
        <v>1078</v>
      </c>
      <c r="F531" s="72" t="s">
        <v>760</v>
      </c>
      <c r="G531" s="72" t="s">
        <v>1052</v>
      </c>
      <c r="H531" s="76" t="s">
        <v>332</v>
      </c>
      <c r="I531" s="76" t="s">
        <v>22</v>
      </c>
      <c r="J531" s="77" t="s">
        <v>48</v>
      </c>
      <c r="K531" s="77" t="s">
        <v>866</v>
      </c>
    </row>
    <row r="532" ht="15.75" customHeight="1">
      <c r="A532" s="72" t="s">
        <v>1395</v>
      </c>
      <c r="B532" s="73" t="s">
        <v>521</v>
      </c>
      <c r="C532" s="73">
        <v>7.12236162E8</v>
      </c>
      <c r="D532" s="74" t="s">
        <v>17</v>
      </c>
      <c r="E532" s="75" t="s">
        <v>1133</v>
      </c>
      <c r="F532" s="72" t="s">
        <v>1204</v>
      </c>
      <c r="G532" s="72" t="s">
        <v>1059</v>
      </c>
      <c r="H532" s="76" t="s">
        <v>34</v>
      </c>
      <c r="I532" s="76" t="s">
        <v>97</v>
      </c>
      <c r="J532" s="77" t="s">
        <v>23</v>
      </c>
      <c r="K532" s="77" t="s">
        <v>528</v>
      </c>
    </row>
    <row r="533" ht="15.75" customHeight="1">
      <c r="A533" s="72" t="s">
        <v>1396</v>
      </c>
      <c r="B533" s="73" t="s">
        <v>376</v>
      </c>
      <c r="C533" s="73">
        <v>7.52821998E8</v>
      </c>
      <c r="D533" s="74" t="s">
        <v>17</v>
      </c>
      <c r="E533" s="75" t="s">
        <v>365</v>
      </c>
      <c r="F533" s="72" t="s">
        <v>417</v>
      </c>
      <c r="G533" s="72" t="s">
        <v>922</v>
      </c>
      <c r="H533" s="76" t="s">
        <v>544</v>
      </c>
      <c r="I533" s="76" t="s">
        <v>201</v>
      </c>
      <c r="J533" s="77" t="s">
        <v>23</v>
      </c>
      <c r="K533" s="77" t="s">
        <v>601</v>
      </c>
    </row>
    <row r="534" ht="15.75" customHeight="1">
      <c r="A534" s="72" t="s">
        <v>1397</v>
      </c>
      <c r="B534" s="73" t="s">
        <v>905</v>
      </c>
      <c r="C534" s="73">
        <v>7.07753839E8</v>
      </c>
      <c r="D534" s="74" t="s">
        <v>43</v>
      </c>
      <c r="E534" s="75" t="s">
        <v>572</v>
      </c>
      <c r="F534" s="72" t="s">
        <v>821</v>
      </c>
      <c r="G534" s="72" t="s">
        <v>797</v>
      </c>
      <c r="H534" s="76" t="s">
        <v>255</v>
      </c>
      <c r="I534" s="76" t="s">
        <v>130</v>
      </c>
      <c r="J534" s="77" t="s">
        <v>23</v>
      </c>
      <c r="K534" s="77" t="s">
        <v>542</v>
      </c>
    </row>
    <row r="535" ht="15.75" customHeight="1">
      <c r="A535" s="72" t="s">
        <v>1398</v>
      </c>
      <c r="B535" s="73" t="s">
        <v>1048</v>
      </c>
      <c r="C535" s="73" t="s">
        <v>872</v>
      </c>
      <c r="D535" s="74" t="s">
        <v>43</v>
      </c>
      <c r="E535" s="75" t="s">
        <v>167</v>
      </c>
      <c r="F535" s="72" t="s">
        <v>453</v>
      </c>
      <c r="G535" s="72" t="s">
        <v>20</v>
      </c>
      <c r="H535" s="76" t="s">
        <v>316</v>
      </c>
      <c r="I535" s="76" t="s">
        <v>97</v>
      </c>
      <c r="J535" s="77" t="s">
        <v>562</v>
      </c>
      <c r="K535" s="77" t="s">
        <v>574</v>
      </c>
    </row>
    <row r="536" ht="15.75" customHeight="1">
      <c r="A536" s="72" t="s">
        <v>1399</v>
      </c>
      <c r="B536" s="73" t="s">
        <v>521</v>
      </c>
      <c r="C536" s="73" t="s">
        <v>1257</v>
      </c>
      <c r="D536" s="74" t="s">
        <v>43</v>
      </c>
      <c r="E536" s="75" t="s">
        <v>1084</v>
      </c>
      <c r="F536" s="72" t="s">
        <v>168</v>
      </c>
      <c r="G536" s="72" t="s">
        <v>20</v>
      </c>
      <c r="H536" s="76" t="s">
        <v>69</v>
      </c>
      <c r="I536" s="76" t="s">
        <v>97</v>
      </c>
      <c r="J536" s="77" t="s">
        <v>48</v>
      </c>
      <c r="K536" s="77" t="s">
        <v>1081</v>
      </c>
    </row>
    <row r="537" ht="15.75" customHeight="1">
      <c r="A537" s="72" t="s">
        <v>1400</v>
      </c>
      <c r="B537" s="73" t="s">
        <v>376</v>
      </c>
      <c r="C537" s="73">
        <v>7.14939204E8</v>
      </c>
      <c r="D537" s="74" t="s">
        <v>17</v>
      </c>
      <c r="E537" s="75" t="s">
        <v>313</v>
      </c>
      <c r="F537" s="72" t="s">
        <v>743</v>
      </c>
      <c r="G537" s="72" t="s">
        <v>931</v>
      </c>
      <c r="H537" s="76" t="s">
        <v>21</v>
      </c>
      <c r="I537" s="76" t="s">
        <v>130</v>
      </c>
      <c r="J537" s="77" t="s">
        <v>562</v>
      </c>
      <c r="K537" s="77" t="s">
        <v>24</v>
      </c>
    </row>
    <row r="538" ht="15.75" customHeight="1">
      <c r="A538" s="72" t="s">
        <v>1401</v>
      </c>
      <c r="B538" s="73" t="s">
        <v>905</v>
      </c>
      <c r="C538" s="73">
        <v>7.14541798E8</v>
      </c>
      <c r="D538" s="74" t="s">
        <v>17</v>
      </c>
      <c r="E538" s="75" t="s">
        <v>893</v>
      </c>
      <c r="F538" s="72" t="s">
        <v>835</v>
      </c>
      <c r="G538" s="72" t="s">
        <v>600</v>
      </c>
      <c r="H538" s="76" t="s">
        <v>21</v>
      </c>
      <c r="I538" s="76" t="s">
        <v>105</v>
      </c>
      <c r="J538" s="77" t="s">
        <v>23</v>
      </c>
      <c r="K538" s="77" t="s">
        <v>542</v>
      </c>
    </row>
    <row r="539" ht="15.75" customHeight="1">
      <c r="A539" s="72" t="s">
        <v>1402</v>
      </c>
      <c r="B539" s="73" t="s">
        <v>905</v>
      </c>
      <c r="C539" s="73" t="s">
        <v>31</v>
      </c>
      <c r="D539" s="74" t="s">
        <v>17</v>
      </c>
      <c r="E539" s="75" t="s">
        <v>873</v>
      </c>
      <c r="F539" s="72" t="s">
        <v>179</v>
      </c>
      <c r="G539" s="72" t="s">
        <v>1238</v>
      </c>
      <c r="H539" s="76" t="s">
        <v>129</v>
      </c>
      <c r="I539" s="76" t="s">
        <v>105</v>
      </c>
      <c r="J539" s="77" t="s">
        <v>48</v>
      </c>
      <c r="K539" s="77" t="s">
        <v>923</v>
      </c>
    </row>
    <row r="540" ht="15.75" customHeight="1">
      <c r="A540" s="72" t="s">
        <v>1403</v>
      </c>
      <c r="B540" s="73" t="s">
        <v>15</v>
      </c>
      <c r="C540" s="73" t="s">
        <v>669</v>
      </c>
      <c r="D540" s="74" t="s">
        <v>17</v>
      </c>
      <c r="E540" s="75" t="s">
        <v>428</v>
      </c>
      <c r="F540" s="72" t="s">
        <v>53</v>
      </c>
      <c r="G540" s="72" t="s">
        <v>379</v>
      </c>
      <c r="H540" s="76" t="s">
        <v>267</v>
      </c>
      <c r="I540" s="76" t="s">
        <v>201</v>
      </c>
      <c r="J540" s="77" t="s">
        <v>48</v>
      </c>
      <c r="K540" s="77" t="s">
        <v>383</v>
      </c>
    </row>
    <row r="541" ht="15.75" customHeight="1">
      <c r="A541" s="72" t="s">
        <v>1404</v>
      </c>
      <c r="B541" s="73" t="s">
        <v>376</v>
      </c>
      <c r="C541" s="73">
        <v>7.34539376E8</v>
      </c>
      <c r="D541" s="74" t="s">
        <v>43</v>
      </c>
      <c r="E541" s="75" t="s">
        <v>532</v>
      </c>
      <c r="F541" s="72" t="s">
        <v>1100</v>
      </c>
      <c r="G541" s="72" t="s">
        <v>72</v>
      </c>
      <c r="H541" s="76" t="s">
        <v>581</v>
      </c>
      <c r="I541" s="76" t="s">
        <v>22</v>
      </c>
      <c r="J541" s="77" t="s">
        <v>48</v>
      </c>
      <c r="K541" s="77" t="s">
        <v>923</v>
      </c>
    </row>
    <row r="542" ht="15.75" customHeight="1">
      <c r="A542" s="72" t="s">
        <v>1405</v>
      </c>
      <c r="B542" s="73" t="s">
        <v>1048</v>
      </c>
      <c r="C542" s="73" t="s">
        <v>989</v>
      </c>
      <c r="D542" s="74" t="s">
        <v>17</v>
      </c>
      <c r="E542" s="75" t="s">
        <v>594</v>
      </c>
      <c r="F542" s="72" t="s">
        <v>1094</v>
      </c>
      <c r="G542" s="72" t="s">
        <v>103</v>
      </c>
      <c r="H542" s="76" t="s">
        <v>210</v>
      </c>
      <c r="I542" s="76" t="s">
        <v>485</v>
      </c>
      <c r="J542" s="77" t="s">
        <v>23</v>
      </c>
      <c r="K542" s="77" t="s">
        <v>1247</v>
      </c>
    </row>
    <row r="543" ht="15.75" customHeight="1">
      <c r="A543" s="72" t="s">
        <v>1406</v>
      </c>
      <c r="B543" s="73" t="s">
        <v>521</v>
      </c>
      <c r="C543" s="73">
        <v>7.36185899E8</v>
      </c>
      <c r="D543" s="74" t="s">
        <v>17</v>
      </c>
      <c r="E543" s="75" t="s">
        <v>964</v>
      </c>
      <c r="F543" s="72" t="s">
        <v>794</v>
      </c>
      <c r="G543" s="72" t="s">
        <v>95</v>
      </c>
      <c r="H543" s="76" t="s">
        <v>610</v>
      </c>
      <c r="I543" s="76" t="s">
        <v>130</v>
      </c>
      <c r="J543" s="77" t="s">
        <v>23</v>
      </c>
      <c r="K543" s="77" t="s">
        <v>24</v>
      </c>
    </row>
    <row r="544" ht="15.75" customHeight="1">
      <c r="A544" s="72" t="s">
        <v>1407</v>
      </c>
      <c r="B544" s="73" t="s">
        <v>521</v>
      </c>
      <c r="C544" s="73" t="s">
        <v>144</v>
      </c>
      <c r="D544" s="74" t="s">
        <v>17</v>
      </c>
      <c r="E544" s="75" t="s">
        <v>27</v>
      </c>
      <c r="F544" s="72" t="s">
        <v>671</v>
      </c>
      <c r="G544" s="72" t="s">
        <v>161</v>
      </c>
      <c r="H544" s="76" t="s">
        <v>129</v>
      </c>
      <c r="I544" s="76" t="s">
        <v>97</v>
      </c>
      <c r="J544" s="77" t="s">
        <v>23</v>
      </c>
      <c r="K544" s="77" t="s">
        <v>49</v>
      </c>
    </row>
    <row r="545" ht="15.75" customHeight="1">
      <c r="A545" s="72" t="s">
        <v>1408</v>
      </c>
      <c r="B545" s="73" t="s">
        <v>521</v>
      </c>
      <c r="C545" s="73" t="s">
        <v>652</v>
      </c>
      <c r="D545" s="74" t="s">
        <v>43</v>
      </c>
      <c r="E545" s="75" t="s">
        <v>737</v>
      </c>
      <c r="F545" s="72" t="s">
        <v>758</v>
      </c>
      <c r="G545" s="72" t="s">
        <v>931</v>
      </c>
      <c r="H545" s="76" t="s">
        <v>544</v>
      </c>
      <c r="I545" s="76" t="s">
        <v>130</v>
      </c>
      <c r="J545" s="77" t="s">
        <v>48</v>
      </c>
      <c r="K545" s="77" t="s">
        <v>655</v>
      </c>
    </row>
    <row r="546" ht="15.75" customHeight="1">
      <c r="A546" s="72" t="s">
        <v>1409</v>
      </c>
      <c r="B546" s="73" t="s">
        <v>905</v>
      </c>
      <c r="C546" s="73" t="s">
        <v>1257</v>
      </c>
      <c r="D546" s="74" t="s">
        <v>43</v>
      </c>
      <c r="E546" s="75" t="s">
        <v>437</v>
      </c>
      <c r="F546" s="72" t="s">
        <v>891</v>
      </c>
      <c r="G546" s="72" t="s">
        <v>418</v>
      </c>
      <c r="H546" s="76" t="s">
        <v>316</v>
      </c>
      <c r="I546" s="76" t="s">
        <v>201</v>
      </c>
      <c r="J546" s="77" t="s">
        <v>48</v>
      </c>
      <c r="K546" s="77" t="s">
        <v>1148</v>
      </c>
    </row>
    <row r="547" ht="15.75" customHeight="1">
      <c r="A547" s="72" t="s">
        <v>1410</v>
      </c>
      <c r="B547" s="73" t="s">
        <v>376</v>
      </c>
      <c r="C547" s="73" t="s">
        <v>688</v>
      </c>
      <c r="D547" s="74" t="s">
        <v>17</v>
      </c>
      <c r="E547" s="75" t="s">
        <v>302</v>
      </c>
      <c r="F547" s="72" t="s">
        <v>1046</v>
      </c>
      <c r="G547" s="72" t="s">
        <v>418</v>
      </c>
      <c r="H547" s="76" t="s">
        <v>433</v>
      </c>
      <c r="I547" s="76" t="s">
        <v>22</v>
      </c>
      <c r="J547" s="77" t="s">
        <v>23</v>
      </c>
      <c r="K547" s="77" t="s">
        <v>49</v>
      </c>
    </row>
    <row r="548" ht="15.75" customHeight="1">
      <c r="A548" s="72" t="s">
        <v>1411</v>
      </c>
      <c r="B548" s="73" t="s">
        <v>521</v>
      </c>
      <c r="C548" s="73" t="s">
        <v>196</v>
      </c>
      <c r="D548" s="74" t="s">
        <v>43</v>
      </c>
      <c r="E548" s="75" t="s">
        <v>431</v>
      </c>
      <c r="F548" s="72" t="s">
        <v>826</v>
      </c>
      <c r="G548" s="72" t="s">
        <v>1305</v>
      </c>
      <c r="H548" s="76" t="s">
        <v>59</v>
      </c>
      <c r="I548" s="76" t="s">
        <v>105</v>
      </c>
      <c r="J548" s="77" t="s">
        <v>23</v>
      </c>
      <c r="K548" s="77" t="s">
        <v>740</v>
      </c>
    </row>
    <row r="549" ht="15.75" customHeight="1">
      <c r="A549" s="72" t="s">
        <v>1412</v>
      </c>
      <c r="B549" s="73" t="s">
        <v>376</v>
      </c>
      <c r="C549" s="73">
        <v>7.72090963E8</v>
      </c>
      <c r="D549" s="74" t="s">
        <v>43</v>
      </c>
      <c r="E549" s="75" t="s">
        <v>964</v>
      </c>
      <c r="F549" s="72" t="s">
        <v>432</v>
      </c>
      <c r="G549" s="72" t="s">
        <v>296</v>
      </c>
      <c r="H549" s="76" t="s">
        <v>932</v>
      </c>
      <c r="I549" s="76" t="s">
        <v>130</v>
      </c>
      <c r="J549" s="77" t="s">
        <v>48</v>
      </c>
      <c r="K549" s="77" t="s">
        <v>24</v>
      </c>
    </row>
    <row r="550" ht="15.75" customHeight="1">
      <c r="A550" s="72" t="s">
        <v>1413</v>
      </c>
      <c r="B550" s="73" t="s">
        <v>521</v>
      </c>
      <c r="C550" s="73" t="s">
        <v>514</v>
      </c>
      <c r="D550" s="74" t="s">
        <v>43</v>
      </c>
      <c r="E550" s="75" t="s">
        <v>474</v>
      </c>
      <c r="F550" s="72" t="s">
        <v>58</v>
      </c>
      <c r="G550" s="72" t="s">
        <v>103</v>
      </c>
      <c r="H550" s="76" t="s">
        <v>267</v>
      </c>
      <c r="I550" s="76" t="s">
        <v>97</v>
      </c>
      <c r="J550" s="77" t="s">
        <v>23</v>
      </c>
      <c r="K550" s="77" t="s">
        <v>570</v>
      </c>
    </row>
    <row r="551" ht="15.75" customHeight="1">
      <c r="A551" s="72" t="s">
        <v>1414</v>
      </c>
      <c r="B551" s="73" t="s">
        <v>376</v>
      </c>
      <c r="C551" s="73" t="s">
        <v>1116</v>
      </c>
      <c r="D551" s="74" t="s">
        <v>17</v>
      </c>
      <c r="E551" s="75" t="s">
        <v>431</v>
      </c>
      <c r="F551" s="72" t="s">
        <v>348</v>
      </c>
      <c r="G551" s="72" t="s">
        <v>418</v>
      </c>
      <c r="H551" s="76" t="s">
        <v>210</v>
      </c>
      <c r="I551" s="76" t="s">
        <v>22</v>
      </c>
      <c r="J551" s="77" t="s">
        <v>48</v>
      </c>
      <c r="K551" s="77" t="s">
        <v>24</v>
      </c>
    </row>
    <row r="552" ht="15.75" customHeight="1">
      <c r="A552" s="72" t="s">
        <v>1415</v>
      </c>
      <c r="B552" s="73" t="s">
        <v>1048</v>
      </c>
      <c r="C552" s="73" t="s">
        <v>1154</v>
      </c>
      <c r="D552" s="74" t="s">
        <v>17</v>
      </c>
      <c r="E552" s="75" t="s">
        <v>27</v>
      </c>
      <c r="F552" s="72" t="s">
        <v>619</v>
      </c>
      <c r="G552" s="72" t="s">
        <v>960</v>
      </c>
      <c r="H552" s="76" t="s">
        <v>77</v>
      </c>
      <c r="I552" s="76" t="s">
        <v>201</v>
      </c>
      <c r="J552" s="77" t="s">
        <v>562</v>
      </c>
      <c r="K552" s="77" t="s">
        <v>24</v>
      </c>
    </row>
    <row r="553" ht="15.75" customHeight="1">
      <c r="A553" s="72" t="s">
        <v>1416</v>
      </c>
      <c r="B553" s="73" t="s">
        <v>15</v>
      </c>
      <c r="C553" s="73" t="s">
        <v>318</v>
      </c>
      <c r="D553" s="74" t="s">
        <v>17</v>
      </c>
      <c r="E553" s="75" t="s">
        <v>1084</v>
      </c>
      <c r="F553" s="72" t="s">
        <v>965</v>
      </c>
      <c r="G553" s="72" t="s">
        <v>418</v>
      </c>
      <c r="H553" s="76" t="s">
        <v>129</v>
      </c>
      <c r="I553" s="76" t="s">
        <v>22</v>
      </c>
      <c r="J553" s="77" t="s">
        <v>23</v>
      </c>
      <c r="K553" s="77" t="s">
        <v>82</v>
      </c>
    </row>
    <row r="554" ht="15.75" customHeight="1">
      <c r="A554" s="72" t="s">
        <v>1417</v>
      </c>
      <c r="B554" s="73" t="s">
        <v>376</v>
      </c>
      <c r="C554" s="73" t="s">
        <v>1107</v>
      </c>
      <c r="D554" s="74" t="s">
        <v>17</v>
      </c>
      <c r="E554" s="75" t="s">
        <v>420</v>
      </c>
      <c r="F554" s="72" t="s">
        <v>626</v>
      </c>
      <c r="G554" s="72" t="s">
        <v>418</v>
      </c>
      <c r="H554" s="76" t="s">
        <v>535</v>
      </c>
      <c r="I554" s="76" t="s">
        <v>201</v>
      </c>
      <c r="J554" s="77" t="s">
        <v>48</v>
      </c>
      <c r="K554" s="77" t="s">
        <v>616</v>
      </c>
    </row>
    <row r="555" ht="15.75" customHeight="1">
      <c r="A555" s="72" t="s">
        <v>1418</v>
      </c>
      <c r="B555" s="73" t="s">
        <v>905</v>
      </c>
      <c r="C555" s="73" t="s">
        <v>675</v>
      </c>
      <c r="D555" s="74" t="s">
        <v>17</v>
      </c>
      <c r="E555" s="75" t="s">
        <v>1225</v>
      </c>
      <c r="F555" s="72" t="s">
        <v>885</v>
      </c>
      <c r="G555" s="72" t="s">
        <v>928</v>
      </c>
      <c r="H555" s="76" t="s">
        <v>162</v>
      </c>
      <c r="I555" s="76" t="s">
        <v>22</v>
      </c>
      <c r="J555" s="77" t="s">
        <v>23</v>
      </c>
      <c r="K555" s="77" t="s">
        <v>24</v>
      </c>
    </row>
    <row r="556" ht="15.75" customHeight="1">
      <c r="A556" s="72" t="s">
        <v>1419</v>
      </c>
      <c r="B556" s="73" t="s">
        <v>521</v>
      </c>
      <c r="C556" s="73" t="s">
        <v>115</v>
      </c>
      <c r="D556" s="74" t="s">
        <v>17</v>
      </c>
      <c r="E556" s="75" t="s">
        <v>703</v>
      </c>
      <c r="F556" s="72" t="s">
        <v>391</v>
      </c>
      <c r="G556" s="72" t="s">
        <v>827</v>
      </c>
      <c r="H556" s="76" t="s">
        <v>433</v>
      </c>
      <c r="I556" s="76" t="s">
        <v>105</v>
      </c>
      <c r="J556" s="77" t="s">
        <v>48</v>
      </c>
      <c r="K556" s="77" t="s">
        <v>1022</v>
      </c>
    </row>
    <row r="557" ht="15.75" customHeight="1">
      <c r="A557" s="72" t="s">
        <v>1420</v>
      </c>
      <c r="B557" s="73" t="s">
        <v>905</v>
      </c>
      <c r="C557" s="73" t="s">
        <v>675</v>
      </c>
      <c r="D557" s="74" t="s">
        <v>43</v>
      </c>
      <c r="E557" s="75" t="s">
        <v>594</v>
      </c>
      <c r="F557" s="72" t="s">
        <v>764</v>
      </c>
      <c r="G557" s="72" t="s">
        <v>931</v>
      </c>
      <c r="H557" s="76" t="s">
        <v>597</v>
      </c>
      <c r="I557" s="76" t="s">
        <v>113</v>
      </c>
      <c r="J557" s="77" t="s">
        <v>23</v>
      </c>
      <c r="K557" s="77" t="s">
        <v>24</v>
      </c>
    </row>
    <row r="558" ht="15.75" customHeight="1">
      <c r="A558" s="72" t="s">
        <v>1421</v>
      </c>
      <c r="B558" s="73" t="s">
        <v>905</v>
      </c>
      <c r="C558" s="73">
        <v>7.5545721E8</v>
      </c>
      <c r="D558" s="74" t="s">
        <v>43</v>
      </c>
      <c r="E558" s="75" t="s">
        <v>204</v>
      </c>
      <c r="F558" s="72" t="s">
        <v>1296</v>
      </c>
      <c r="G558" s="72" t="s">
        <v>418</v>
      </c>
      <c r="H558" s="76" t="s">
        <v>316</v>
      </c>
      <c r="I558" s="76" t="s">
        <v>105</v>
      </c>
      <c r="J558" s="77" t="s">
        <v>562</v>
      </c>
      <c r="K558" s="77" t="s">
        <v>1065</v>
      </c>
    </row>
    <row r="559" ht="15.75" customHeight="1">
      <c r="A559" s="72" t="s">
        <v>1422</v>
      </c>
      <c r="B559" s="73" t="s">
        <v>521</v>
      </c>
      <c r="C559" s="73" t="s">
        <v>1284</v>
      </c>
      <c r="D559" s="74" t="s">
        <v>17</v>
      </c>
      <c r="E559" s="75" t="s">
        <v>1093</v>
      </c>
      <c r="F559" s="72" t="s">
        <v>292</v>
      </c>
      <c r="G559" s="72" t="s">
        <v>111</v>
      </c>
      <c r="H559" s="76" t="s">
        <v>34</v>
      </c>
      <c r="I559" s="76" t="s">
        <v>47</v>
      </c>
      <c r="J559" s="77" t="s">
        <v>48</v>
      </c>
      <c r="K559" s="77" t="s">
        <v>528</v>
      </c>
    </row>
    <row r="560" ht="15.75" customHeight="1">
      <c r="A560" s="72" t="s">
        <v>1423</v>
      </c>
      <c r="B560" s="73" t="s">
        <v>521</v>
      </c>
      <c r="C560" s="73">
        <v>7.79148903E8</v>
      </c>
      <c r="D560" s="74" t="s">
        <v>17</v>
      </c>
      <c r="E560" s="75" t="s">
        <v>613</v>
      </c>
      <c r="F560" s="72" t="s">
        <v>461</v>
      </c>
      <c r="G560" s="72" t="s">
        <v>556</v>
      </c>
      <c r="H560" s="76" t="s">
        <v>104</v>
      </c>
      <c r="I560" s="76" t="s">
        <v>97</v>
      </c>
      <c r="J560" s="77" t="s">
        <v>48</v>
      </c>
      <c r="K560" s="77" t="s">
        <v>563</v>
      </c>
    </row>
    <row r="561" ht="15.75" customHeight="1">
      <c r="A561" s="72" t="s">
        <v>1424</v>
      </c>
      <c r="B561" s="73" t="s">
        <v>521</v>
      </c>
      <c r="C561" s="73" t="s">
        <v>962</v>
      </c>
      <c r="D561" s="74" t="s">
        <v>17</v>
      </c>
      <c r="E561" s="75" t="s">
        <v>746</v>
      </c>
      <c r="F561" s="72" t="s">
        <v>58</v>
      </c>
      <c r="G561" s="72" t="s">
        <v>226</v>
      </c>
      <c r="H561" s="76" t="s">
        <v>104</v>
      </c>
      <c r="I561" s="76" t="s">
        <v>201</v>
      </c>
      <c r="J561" s="77" t="s">
        <v>23</v>
      </c>
      <c r="K561" s="77" t="s">
        <v>945</v>
      </c>
    </row>
    <row r="562" ht="15.75" customHeight="1">
      <c r="A562" s="72" t="s">
        <v>1425</v>
      </c>
      <c r="B562" s="73" t="s">
        <v>15</v>
      </c>
      <c r="C562" s="73" t="s">
        <v>1154</v>
      </c>
      <c r="D562" s="74" t="s">
        <v>17</v>
      </c>
      <c r="E562" s="75" t="s">
        <v>1212</v>
      </c>
      <c r="F562" s="72" t="s">
        <v>483</v>
      </c>
      <c r="G562" s="72" t="s">
        <v>556</v>
      </c>
      <c r="H562" s="76" t="s">
        <v>34</v>
      </c>
      <c r="I562" s="76" t="s">
        <v>130</v>
      </c>
      <c r="J562" s="77" t="s">
        <v>48</v>
      </c>
      <c r="K562" s="77" t="s">
        <v>775</v>
      </c>
    </row>
    <row r="563" ht="15.75" customHeight="1">
      <c r="A563" s="72" t="s">
        <v>1426</v>
      </c>
      <c r="B563" s="73" t="s">
        <v>15</v>
      </c>
      <c r="C563" s="73" t="s">
        <v>974</v>
      </c>
      <c r="D563" s="74" t="s">
        <v>43</v>
      </c>
      <c r="E563" s="75" t="s">
        <v>444</v>
      </c>
      <c r="F563" s="72" t="s">
        <v>1118</v>
      </c>
      <c r="G563" s="72" t="s">
        <v>979</v>
      </c>
      <c r="H563" s="76" t="s">
        <v>163</v>
      </c>
      <c r="I563" s="76" t="s">
        <v>643</v>
      </c>
      <c r="J563" s="77" t="s">
        <v>48</v>
      </c>
      <c r="K563" s="77" t="s">
        <v>24</v>
      </c>
    </row>
    <row r="564" ht="15.75" customHeight="1">
      <c r="A564" s="72" t="s">
        <v>1427</v>
      </c>
      <c r="B564" s="73" t="s">
        <v>905</v>
      </c>
      <c r="C564" s="73">
        <v>7.6072118E8</v>
      </c>
      <c r="D564" s="74" t="s">
        <v>17</v>
      </c>
      <c r="E564" s="75" t="s">
        <v>1078</v>
      </c>
      <c r="F564" s="72" t="s">
        <v>568</v>
      </c>
      <c r="G564" s="72" t="s">
        <v>439</v>
      </c>
      <c r="H564" s="76" t="s">
        <v>433</v>
      </c>
      <c r="I564" s="76" t="s">
        <v>97</v>
      </c>
      <c r="J564" s="77" t="s">
        <v>48</v>
      </c>
      <c r="K564" s="77" t="s">
        <v>523</v>
      </c>
    </row>
    <row r="565" ht="15.75" customHeight="1">
      <c r="A565" s="72" t="s">
        <v>1428</v>
      </c>
      <c r="B565" s="73" t="s">
        <v>905</v>
      </c>
      <c r="C565" s="73">
        <v>7.70079395E8</v>
      </c>
      <c r="D565" s="74" t="s">
        <v>17</v>
      </c>
      <c r="E565" s="75" t="s">
        <v>449</v>
      </c>
      <c r="F565" s="72" t="s">
        <v>76</v>
      </c>
      <c r="G565" s="72" t="s">
        <v>1261</v>
      </c>
      <c r="H565" s="76" t="s">
        <v>610</v>
      </c>
      <c r="I565" s="76" t="s">
        <v>97</v>
      </c>
      <c r="J565" s="77" t="s">
        <v>48</v>
      </c>
      <c r="K565" s="77" t="s">
        <v>49</v>
      </c>
    </row>
    <row r="566" ht="15.75" customHeight="1">
      <c r="A566" s="72" t="s">
        <v>1429</v>
      </c>
      <c r="B566" s="73" t="s">
        <v>15</v>
      </c>
      <c r="C566" s="73" t="s">
        <v>639</v>
      </c>
      <c r="D566" s="74" t="s">
        <v>43</v>
      </c>
      <c r="E566" s="75" t="s">
        <v>1050</v>
      </c>
      <c r="F566" s="72" t="s">
        <v>809</v>
      </c>
      <c r="G566" s="72" t="s">
        <v>827</v>
      </c>
      <c r="H566" s="76" t="s">
        <v>104</v>
      </c>
      <c r="I566" s="76" t="s">
        <v>22</v>
      </c>
      <c r="J566" s="77" t="s">
        <v>48</v>
      </c>
      <c r="K566" s="77" t="s">
        <v>857</v>
      </c>
    </row>
    <row r="567" ht="15.75" customHeight="1">
      <c r="A567" s="72" t="s">
        <v>1430</v>
      </c>
      <c r="B567" s="73" t="s">
        <v>521</v>
      </c>
      <c r="C567" s="73" t="s">
        <v>65</v>
      </c>
      <c r="D567" s="74" t="s">
        <v>43</v>
      </c>
      <c r="E567" s="75" t="s">
        <v>1078</v>
      </c>
      <c r="F567" s="72" t="s">
        <v>464</v>
      </c>
      <c r="G567" s="72" t="s">
        <v>418</v>
      </c>
      <c r="H567" s="76" t="s">
        <v>932</v>
      </c>
      <c r="I567" s="76" t="s">
        <v>113</v>
      </c>
      <c r="J567" s="77" t="s">
        <v>48</v>
      </c>
      <c r="K567" s="77" t="s">
        <v>49</v>
      </c>
    </row>
    <row r="568" ht="15.75" customHeight="1">
      <c r="A568" s="72" t="s">
        <v>1431</v>
      </c>
      <c r="B568" s="73" t="s">
        <v>521</v>
      </c>
      <c r="C568" s="73" t="s">
        <v>364</v>
      </c>
      <c r="D568" s="74" t="s">
        <v>17</v>
      </c>
      <c r="E568" s="75" t="s">
        <v>993</v>
      </c>
      <c r="F568" s="72" t="s">
        <v>1255</v>
      </c>
      <c r="G568" s="72" t="s">
        <v>1246</v>
      </c>
      <c r="H568" s="76" t="s">
        <v>447</v>
      </c>
      <c r="I568" s="76" t="s">
        <v>97</v>
      </c>
      <c r="J568" s="77" t="s">
        <v>48</v>
      </c>
      <c r="K568" s="77" t="s">
        <v>1081</v>
      </c>
    </row>
    <row r="569" ht="15.75" customHeight="1">
      <c r="A569" s="72" t="s">
        <v>1432</v>
      </c>
      <c r="B569" s="73" t="s">
        <v>521</v>
      </c>
      <c r="C569" s="73">
        <v>7.69602954E8</v>
      </c>
      <c r="D569" s="74" t="s">
        <v>17</v>
      </c>
      <c r="E569" s="75" t="s">
        <v>204</v>
      </c>
      <c r="F569" s="72" t="s">
        <v>874</v>
      </c>
      <c r="G569" s="72" t="s">
        <v>829</v>
      </c>
      <c r="H569" s="76" t="s">
        <v>477</v>
      </c>
      <c r="I569" s="76" t="s">
        <v>201</v>
      </c>
      <c r="J569" s="77" t="s">
        <v>562</v>
      </c>
      <c r="K569" s="77" t="s">
        <v>570</v>
      </c>
    </row>
    <row r="570" ht="15.75" customHeight="1">
      <c r="A570" s="72" t="s">
        <v>1433</v>
      </c>
      <c r="B570" s="73" t="s">
        <v>1048</v>
      </c>
      <c r="C570" s="73" t="s">
        <v>26</v>
      </c>
      <c r="D570" s="74" t="s">
        <v>17</v>
      </c>
      <c r="E570" s="75" t="s">
        <v>1030</v>
      </c>
      <c r="F570" s="72" t="s">
        <v>1069</v>
      </c>
      <c r="G570" s="72" t="s">
        <v>281</v>
      </c>
      <c r="H570" s="76" t="s">
        <v>21</v>
      </c>
      <c r="I570" s="76" t="s">
        <v>105</v>
      </c>
      <c r="J570" s="77" t="s">
        <v>48</v>
      </c>
      <c r="K570" s="77" t="s">
        <v>383</v>
      </c>
    </row>
    <row r="571" ht="15.75" customHeight="1">
      <c r="A571" s="72" t="s">
        <v>1434</v>
      </c>
      <c r="B571" s="73" t="s">
        <v>1048</v>
      </c>
      <c r="C571" s="73" t="s">
        <v>742</v>
      </c>
      <c r="D571" s="74" t="s">
        <v>43</v>
      </c>
      <c r="E571" s="75" t="s">
        <v>208</v>
      </c>
      <c r="F571" s="72" t="s">
        <v>141</v>
      </c>
      <c r="G571" s="72" t="s">
        <v>1052</v>
      </c>
      <c r="H571" s="76" t="s">
        <v>77</v>
      </c>
      <c r="I571" s="76" t="s">
        <v>113</v>
      </c>
      <c r="J571" s="77" t="s">
        <v>48</v>
      </c>
      <c r="K571" s="77" t="s">
        <v>49</v>
      </c>
    </row>
    <row r="572" ht="15.75" customHeight="1">
      <c r="A572" s="72" t="s">
        <v>1435</v>
      </c>
      <c r="B572" s="73" t="s">
        <v>521</v>
      </c>
      <c r="C572" s="73" t="s">
        <v>1263</v>
      </c>
      <c r="D572" s="74" t="s">
        <v>43</v>
      </c>
      <c r="E572" s="75" t="s">
        <v>779</v>
      </c>
      <c r="F572" s="72" t="s">
        <v>357</v>
      </c>
      <c r="G572" s="72" t="s">
        <v>72</v>
      </c>
      <c r="H572" s="76" t="s">
        <v>118</v>
      </c>
      <c r="I572" s="76" t="s">
        <v>97</v>
      </c>
      <c r="J572" s="77" t="s">
        <v>48</v>
      </c>
      <c r="K572" s="77" t="s">
        <v>1141</v>
      </c>
    </row>
    <row r="573" ht="15.75" customHeight="1">
      <c r="A573" s="72" t="s">
        <v>1436</v>
      </c>
      <c r="B573" s="73" t="s">
        <v>905</v>
      </c>
      <c r="C573" s="73" t="s">
        <v>913</v>
      </c>
      <c r="D573" s="74" t="s">
        <v>43</v>
      </c>
      <c r="E573" s="75" t="s">
        <v>27</v>
      </c>
      <c r="F573" s="72" t="s">
        <v>677</v>
      </c>
      <c r="G573" s="72" t="s">
        <v>422</v>
      </c>
      <c r="H573" s="76" t="s">
        <v>104</v>
      </c>
      <c r="I573" s="76" t="s">
        <v>201</v>
      </c>
      <c r="J573" s="77" t="s">
        <v>23</v>
      </c>
      <c r="K573" s="77" t="s">
        <v>24</v>
      </c>
    </row>
    <row r="574" ht="15.75" customHeight="1">
      <c r="A574" s="72" t="s">
        <v>1437</v>
      </c>
      <c r="B574" s="73" t="s">
        <v>15</v>
      </c>
      <c r="C574" s="73">
        <v>7.90638855E8</v>
      </c>
      <c r="D574" s="74" t="s">
        <v>17</v>
      </c>
      <c r="E574" s="75" t="s">
        <v>993</v>
      </c>
      <c r="F574" s="72" t="s">
        <v>941</v>
      </c>
      <c r="G574" s="72" t="s">
        <v>418</v>
      </c>
      <c r="H574" s="76" t="s">
        <v>59</v>
      </c>
      <c r="I574" s="76" t="s">
        <v>22</v>
      </c>
      <c r="J574" s="77" t="s">
        <v>48</v>
      </c>
      <c r="K574" s="77" t="s">
        <v>1233</v>
      </c>
    </row>
    <row r="575" ht="15.75" customHeight="1">
      <c r="A575" s="72" t="s">
        <v>1438</v>
      </c>
      <c r="B575" s="73" t="s">
        <v>15</v>
      </c>
      <c r="C575" s="73">
        <v>7.53405688E8</v>
      </c>
      <c r="D575" s="74" t="s">
        <v>43</v>
      </c>
      <c r="E575" s="75" t="s">
        <v>636</v>
      </c>
      <c r="F575" s="72" t="s">
        <v>247</v>
      </c>
      <c r="G575" s="72" t="s">
        <v>1028</v>
      </c>
      <c r="H575" s="76" t="s">
        <v>142</v>
      </c>
      <c r="I575" s="76" t="s">
        <v>22</v>
      </c>
      <c r="J575" s="77" t="s">
        <v>23</v>
      </c>
      <c r="K575" s="77" t="s">
        <v>1065</v>
      </c>
    </row>
    <row r="576" ht="15.75" customHeight="1">
      <c r="A576" s="72" t="s">
        <v>1439</v>
      </c>
      <c r="B576" s="73" t="s">
        <v>905</v>
      </c>
      <c r="C576" s="73">
        <v>7.52796967E8</v>
      </c>
      <c r="D576" s="74" t="s">
        <v>43</v>
      </c>
      <c r="E576" s="75" t="s">
        <v>204</v>
      </c>
      <c r="F576" s="72" t="s">
        <v>510</v>
      </c>
      <c r="G576" s="72" t="s">
        <v>418</v>
      </c>
      <c r="H576" s="76" t="s">
        <v>447</v>
      </c>
      <c r="I576" s="76" t="s">
        <v>22</v>
      </c>
      <c r="J576" s="77" t="s">
        <v>48</v>
      </c>
      <c r="K576" s="77" t="s">
        <v>923</v>
      </c>
    </row>
    <row r="577" ht="15.75" customHeight="1">
      <c r="A577" s="72" t="s">
        <v>1440</v>
      </c>
      <c r="B577" s="73" t="s">
        <v>905</v>
      </c>
      <c r="C577" s="73" t="s">
        <v>868</v>
      </c>
      <c r="D577" s="74" t="s">
        <v>1336</v>
      </c>
      <c r="E577" s="75" t="s">
        <v>532</v>
      </c>
      <c r="F577" s="72" t="s">
        <v>1118</v>
      </c>
      <c r="G577" s="72" t="s">
        <v>386</v>
      </c>
      <c r="H577" s="76" t="s">
        <v>544</v>
      </c>
      <c r="I577" s="76" t="s">
        <v>29</v>
      </c>
      <c r="J577" s="77" t="s">
        <v>48</v>
      </c>
      <c r="K577" s="77" t="s">
        <v>230</v>
      </c>
    </row>
    <row r="578" ht="15.75" customHeight="1">
      <c r="A578" s="72" t="s">
        <v>1441</v>
      </c>
      <c r="B578" s="73" t="s">
        <v>15</v>
      </c>
      <c r="C578" s="73" t="s">
        <v>125</v>
      </c>
      <c r="D578" s="74" t="s">
        <v>17</v>
      </c>
      <c r="E578" s="75" t="s">
        <v>428</v>
      </c>
      <c r="F578" s="72" t="s">
        <v>592</v>
      </c>
      <c r="G578" s="72" t="s">
        <v>699</v>
      </c>
      <c r="H578" s="76" t="s">
        <v>142</v>
      </c>
      <c r="I578" s="76" t="s">
        <v>201</v>
      </c>
      <c r="J578" s="77" t="s">
        <v>23</v>
      </c>
      <c r="K578" s="77" t="s">
        <v>49</v>
      </c>
    </row>
    <row r="579" ht="15.75" customHeight="1">
      <c r="A579" s="72" t="s">
        <v>1442</v>
      </c>
      <c r="B579" s="73" t="s">
        <v>521</v>
      </c>
      <c r="C579" s="73">
        <v>7.36470197E8</v>
      </c>
      <c r="D579" s="74" t="s">
        <v>17</v>
      </c>
      <c r="E579" s="75" t="s">
        <v>167</v>
      </c>
      <c r="F579" s="72" t="s">
        <v>198</v>
      </c>
      <c r="G579" s="72" t="s">
        <v>379</v>
      </c>
      <c r="H579" s="76" t="s">
        <v>541</v>
      </c>
      <c r="I579" s="76" t="s">
        <v>97</v>
      </c>
      <c r="J579" s="77" t="s">
        <v>81</v>
      </c>
      <c r="K579" s="77" t="s">
        <v>211</v>
      </c>
    </row>
    <row r="580" ht="15.75" customHeight="1">
      <c r="A580" s="72" t="s">
        <v>1443</v>
      </c>
      <c r="B580" s="73" t="s">
        <v>15</v>
      </c>
      <c r="C580" s="73" t="s">
        <v>872</v>
      </c>
      <c r="D580" s="74" t="s">
        <v>17</v>
      </c>
      <c r="E580" s="75" t="s">
        <v>636</v>
      </c>
      <c r="F580" s="72" t="s">
        <v>417</v>
      </c>
      <c r="G580" s="72" t="s">
        <v>103</v>
      </c>
      <c r="H580" s="76" t="s">
        <v>162</v>
      </c>
      <c r="I580" s="76" t="s">
        <v>97</v>
      </c>
      <c r="J580" s="77" t="s">
        <v>23</v>
      </c>
      <c r="K580" s="77" t="s">
        <v>1052</v>
      </c>
    </row>
    <row r="581" ht="15.75" customHeight="1">
      <c r="A581" s="72" t="s">
        <v>1444</v>
      </c>
      <c r="B581" s="73" t="s">
        <v>905</v>
      </c>
      <c r="C581" s="73" t="s">
        <v>280</v>
      </c>
      <c r="D581" s="74" t="s">
        <v>17</v>
      </c>
      <c r="E581" s="75" t="s">
        <v>1199</v>
      </c>
      <c r="F581" s="72" t="s">
        <v>952</v>
      </c>
      <c r="G581" s="72" t="s">
        <v>979</v>
      </c>
      <c r="H581" s="76" t="s">
        <v>332</v>
      </c>
      <c r="I581" s="76" t="s">
        <v>22</v>
      </c>
      <c r="J581" s="77" t="s">
        <v>562</v>
      </c>
      <c r="K581" s="77" t="s">
        <v>24</v>
      </c>
    </row>
    <row r="582" ht="15.75" customHeight="1">
      <c r="A582" s="72" t="s">
        <v>1445</v>
      </c>
      <c r="B582" s="73" t="s">
        <v>15</v>
      </c>
      <c r="C582" s="73" t="s">
        <v>1284</v>
      </c>
      <c r="D582" s="74" t="s">
        <v>43</v>
      </c>
      <c r="E582" s="75" t="s">
        <v>737</v>
      </c>
      <c r="F582" s="72" t="s">
        <v>198</v>
      </c>
      <c r="G582" s="72" t="s">
        <v>226</v>
      </c>
      <c r="H582" s="76" t="s">
        <v>190</v>
      </c>
      <c r="I582" s="76" t="s">
        <v>47</v>
      </c>
      <c r="J582" s="77" t="s">
        <v>81</v>
      </c>
      <c r="K582" s="77" t="s">
        <v>49</v>
      </c>
    </row>
    <row r="583" ht="15.75" customHeight="1">
      <c r="A583" s="72" t="s">
        <v>1446</v>
      </c>
      <c r="B583" s="73" t="s">
        <v>376</v>
      </c>
      <c r="C583" s="73">
        <v>7.9750681E8</v>
      </c>
      <c r="D583" s="74" t="s">
        <v>43</v>
      </c>
      <c r="E583" s="75" t="s">
        <v>940</v>
      </c>
      <c r="F583" s="72" t="s">
        <v>1121</v>
      </c>
      <c r="G583" s="72" t="s">
        <v>1039</v>
      </c>
      <c r="H583" s="76" t="s">
        <v>932</v>
      </c>
      <c r="I583" s="76" t="s">
        <v>201</v>
      </c>
      <c r="J583" s="77" t="s">
        <v>23</v>
      </c>
      <c r="K583" s="77" t="s">
        <v>542</v>
      </c>
    </row>
    <row r="584" ht="15.75" customHeight="1">
      <c r="A584" s="72" t="s">
        <v>1447</v>
      </c>
      <c r="B584" s="73" t="s">
        <v>905</v>
      </c>
      <c r="C584" s="73" t="s">
        <v>1193</v>
      </c>
      <c r="D584" s="74" t="s">
        <v>17</v>
      </c>
      <c r="E584" s="75" t="s">
        <v>270</v>
      </c>
      <c r="F584" s="72" t="s">
        <v>791</v>
      </c>
      <c r="G584" s="72" t="s">
        <v>979</v>
      </c>
      <c r="H584" s="76" t="s">
        <v>21</v>
      </c>
      <c r="I584" s="76" t="s">
        <v>105</v>
      </c>
      <c r="J584" s="77" t="s">
        <v>48</v>
      </c>
      <c r="K584" s="77" t="s">
        <v>523</v>
      </c>
    </row>
    <row r="585" ht="15.75" customHeight="1">
      <c r="A585" s="72" t="s">
        <v>1448</v>
      </c>
      <c r="B585" s="73" t="s">
        <v>521</v>
      </c>
      <c r="C585" s="73" t="s">
        <v>1007</v>
      </c>
      <c r="D585" s="74" t="s">
        <v>17</v>
      </c>
      <c r="E585" s="75" t="s">
        <v>539</v>
      </c>
      <c r="F585" s="72" t="s">
        <v>994</v>
      </c>
      <c r="G585" s="72" t="s">
        <v>493</v>
      </c>
      <c r="H585" s="76" t="s">
        <v>535</v>
      </c>
      <c r="I585" s="76" t="s">
        <v>47</v>
      </c>
      <c r="J585" s="77" t="s">
        <v>48</v>
      </c>
      <c r="K585" s="77" t="s">
        <v>907</v>
      </c>
    </row>
    <row r="586" ht="15.75" customHeight="1">
      <c r="A586" s="72" t="s">
        <v>1449</v>
      </c>
      <c r="B586" s="73" t="s">
        <v>521</v>
      </c>
      <c r="C586" s="73" t="s">
        <v>870</v>
      </c>
      <c r="D586" s="74" t="s">
        <v>17</v>
      </c>
      <c r="E586" s="75" t="s">
        <v>737</v>
      </c>
      <c r="F586" s="72" t="s">
        <v>941</v>
      </c>
      <c r="G586" s="72" t="s">
        <v>667</v>
      </c>
      <c r="H586" s="76" t="s">
        <v>932</v>
      </c>
      <c r="I586" s="76" t="s">
        <v>201</v>
      </c>
      <c r="J586" s="77" t="s">
        <v>81</v>
      </c>
      <c r="K586" s="77" t="s">
        <v>49</v>
      </c>
    </row>
    <row r="587" ht="15.75" customHeight="1">
      <c r="A587" s="72" t="s">
        <v>1450</v>
      </c>
      <c r="B587" s="73" t="s">
        <v>1048</v>
      </c>
      <c r="C587" s="73">
        <v>7.58818583E8</v>
      </c>
      <c r="D587" s="74" t="s">
        <v>17</v>
      </c>
      <c r="E587" s="75" t="s">
        <v>951</v>
      </c>
      <c r="F587" s="72" t="s">
        <v>903</v>
      </c>
      <c r="G587" s="72" t="s">
        <v>834</v>
      </c>
      <c r="H587" s="76" t="s">
        <v>480</v>
      </c>
      <c r="I587" s="76" t="s">
        <v>201</v>
      </c>
      <c r="J587" s="77" t="s">
        <v>23</v>
      </c>
      <c r="K587" s="77" t="s">
        <v>383</v>
      </c>
    </row>
    <row r="588" ht="15.75" customHeight="1">
      <c r="A588" s="72" t="s">
        <v>1451</v>
      </c>
      <c r="B588" s="73" t="s">
        <v>15</v>
      </c>
      <c r="C588" s="73" t="s">
        <v>1124</v>
      </c>
      <c r="D588" s="74" t="s">
        <v>43</v>
      </c>
      <c r="E588" s="75" t="s">
        <v>463</v>
      </c>
      <c r="F588" s="72" t="s">
        <v>1226</v>
      </c>
      <c r="G588" s="72" t="s">
        <v>960</v>
      </c>
      <c r="H588" s="76" t="s">
        <v>59</v>
      </c>
      <c r="I588" s="76" t="s">
        <v>113</v>
      </c>
      <c r="J588" s="77" t="s">
        <v>23</v>
      </c>
      <c r="K588" s="77" t="s">
        <v>393</v>
      </c>
    </row>
    <row r="589" ht="15.75" customHeight="1">
      <c r="A589" s="72" t="s">
        <v>1452</v>
      </c>
      <c r="B589" s="73" t="s">
        <v>905</v>
      </c>
      <c r="C589" s="73" t="s">
        <v>508</v>
      </c>
      <c r="D589" s="74" t="s">
        <v>43</v>
      </c>
      <c r="E589" s="75" t="s">
        <v>1013</v>
      </c>
      <c r="F589" s="72" t="s">
        <v>490</v>
      </c>
      <c r="G589" s="72" t="s">
        <v>418</v>
      </c>
      <c r="H589" s="76" t="s">
        <v>316</v>
      </c>
      <c r="I589" s="76" t="s">
        <v>97</v>
      </c>
      <c r="J589" s="77" t="s">
        <v>81</v>
      </c>
      <c r="K589" s="77" t="s">
        <v>49</v>
      </c>
    </row>
    <row r="590" ht="15.75" customHeight="1">
      <c r="A590" s="72" t="s">
        <v>1453</v>
      </c>
      <c r="B590" s="73" t="s">
        <v>905</v>
      </c>
      <c r="C590" s="73" t="s">
        <v>1068</v>
      </c>
      <c r="D590" s="74" t="s">
        <v>43</v>
      </c>
      <c r="E590" s="75" t="s">
        <v>772</v>
      </c>
      <c r="F590" s="72" t="s">
        <v>1062</v>
      </c>
      <c r="G590" s="72" t="s">
        <v>262</v>
      </c>
      <c r="H590" s="76" t="s">
        <v>544</v>
      </c>
      <c r="I590" s="76" t="s">
        <v>97</v>
      </c>
      <c r="J590" s="77" t="s">
        <v>23</v>
      </c>
      <c r="K590" s="77" t="s">
        <v>24</v>
      </c>
    </row>
    <row r="591" ht="15.75" customHeight="1">
      <c r="A591" s="72" t="s">
        <v>1454</v>
      </c>
      <c r="B591" s="73" t="s">
        <v>15</v>
      </c>
      <c r="C591" s="73" t="s">
        <v>870</v>
      </c>
      <c r="D591" s="74" t="s">
        <v>17</v>
      </c>
      <c r="E591" s="75" t="s">
        <v>693</v>
      </c>
      <c r="F591" s="72" t="s">
        <v>198</v>
      </c>
      <c r="G591" s="72" t="s">
        <v>928</v>
      </c>
      <c r="H591" s="76" t="s">
        <v>541</v>
      </c>
      <c r="I591" s="76" t="s">
        <v>22</v>
      </c>
      <c r="J591" s="77" t="s">
        <v>23</v>
      </c>
      <c r="K591" s="77" t="s">
        <v>876</v>
      </c>
    </row>
    <row r="592" ht="15.75" customHeight="1">
      <c r="A592" s="72" t="s">
        <v>1455</v>
      </c>
      <c r="B592" s="73" t="s">
        <v>15</v>
      </c>
      <c r="C592" s="73" t="s">
        <v>1244</v>
      </c>
      <c r="D592" s="74" t="s">
        <v>17</v>
      </c>
      <c r="E592" s="75" t="s">
        <v>313</v>
      </c>
      <c r="F592" s="72" t="s">
        <v>614</v>
      </c>
      <c r="G592" s="72" t="s">
        <v>72</v>
      </c>
      <c r="H592" s="76" t="s">
        <v>1336</v>
      </c>
      <c r="I592" s="76" t="s">
        <v>105</v>
      </c>
      <c r="J592" s="77" t="s">
        <v>48</v>
      </c>
      <c r="K592" s="77" t="s">
        <v>574</v>
      </c>
    </row>
    <row r="593" ht="15.75" customHeight="1">
      <c r="A593" s="72" t="s">
        <v>1456</v>
      </c>
      <c r="B593" s="73" t="s">
        <v>905</v>
      </c>
      <c r="C593" s="73" t="s">
        <v>1137</v>
      </c>
      <c r="D593" s="74" t="s">
        <v>43</v>
      </c>
      <c r="E593" s="75" t="s">
        <v>457</v>
      </c>
      <c r="F593" s="72" t="s">
        <v>853</v>
      </c>
      <c r="G593" s="72" t="s">
        <v>422</v>
      </c>
      <c r="H593" s="76" t="s">
        <v>544</v>
      </c>
      <c r="I593" s="76" t="s">
        <v>130</v>
      </c>
      <c r="J593" s="77" t="s">
        <v>23</v>
      </c>
      <c r="K593" s="77" t="s">
        <v>297</v>
      </c>
    </row>
    <row r="594" ht="15.75" customHeight="1">
      <c r="A594" s="72" t="s">
        <v>1457</v>
      </c>
      <c r="B594" s="73" t="s">
        <v>1048</v>
      </c>
      <c r="C594" s="73" t="s">
        <v>318</v>
      </c>
      <c r="D594" s="74" t="s">
        <v>43</v>
      </c>
      <c r="E594" s="75" t="s">
        <v>1050</v>
      </c>
      <c r="F594" s="72" t="s">
        <v>421</v>
      </c>
      <c r="G594" s="72" t="s">
        <v>915</v>
      </c>
      <c r="H594" s="76" t="s">
        <v>544</v>
      </c>
      <c r="I594" s="76" t="s">
        <v>130</v>
      </c>
      <c r="J594" s="77" t="s">
        <v>23</v>
      </c>
      <c r="K594" s="77" t="s">
        <v>468</v>
      </c>
    </row>
    <row r="595" ht="15.75" customHeight="1">
      <c r="A595" s="72" t="s">
        <v>1458</v>
      </c>
      <c r="B595" s="73" t="s">
        <v>905</v>
      </c>
      <c r="C595" s="73" t="s">
        <v>1124</v>
      </c>
      <c r="D595" s="74" t="s">
        <v>17</v>
      </c>
      <c r="E595" s="75" t="s">
        <v>964</v>
      </c>
      <c r="F595" s="72" t="s">
        <v>1079</v>
      </c>
      <c r="G595" s="72" t="s">
        <v>418</v>
      </c>
      <c r="H595" s="76" t="s">
        <v>433</v>
      </c>
      <c r="I595" s="76" t="s">
        <v>201</v>
      </c>
      <c r="J595" s="77" t="s">
        <v>48</v>
      </c>
      <c r="K595" s="77" t="s">
        <v>24</v>
      </c>
    </row>
    <row r="596" ht="15.75" customHeight="1">
      <c r="A596" s="72" t="s">
        <v>1459</v>
      </c>
      <c r="B596" s="73" t="s">
        <v>376</v>
      </c>
      <c r="C596" s="73" t="s">
        <v>1172</v>
      </c>
      <c r="D596" s="74" t="s">
        <v>17</v>
      </c>
      <c r="E596" s="75" t="s">
        <v>746</v>
      </c>
      <c r="F596" s="72" t="s">
        <v>86</v>
      </c>
      <c r="G596" s="72" t="s">
        <v>1091</v>
      </c>
      <c r="H596" s="76" t="s">
        <v>129</v>
      </c>
      <c r="I596" s="76" t="s">
        <v>105</v>
      </c>
      <c r="J596" s="77" t="s">
        <v>23</v>
      </c>
      <c r="K596" s="77" t="s">
        <v>523</v>
      </c>
    </row>
    <row r="597" ht="15.75" customHeight="1">
      <c r="A597" s="72" t="s">
        <v>1460</v>
      </c>
      <c r="B597" s="73" t="s">
        <v>905</v>
      </c>
      <c r="C597" s="73">
        <v>7.68692126E8</v>
      </c>
      <c r="D597" s="74" t="s">
        <v>43</v>
      </c>
      <c r="E597" s="75" t="s">
        <v>214</v>
      </c>
      <c r="F597" s="72" t="s">
        <v>1062</v>
      </c>
      <c r="G597" s="72" t="s">
        <v>654</v>
      </c>
      <c r="H597" s="76" t="s">
        <v>267</v>
      </c>
      <c r="I597" s="76" t="s">
        <v>201</v>
      </c>
      <c r="J597" s="77" t="s">
        <v>48</v>
      </c>
      <c r="K597" s="77" t="s">
        <v>49</v>
      </c>
    </row>
    <row r="598" ht="15.75" customHeight="1">
      <c r="A598" s="72" t="s">
        <v>1461</v>
      </c>
      <c r="B598" s="73" t="s">
        <v>1048</v>
      </c>
      <c r="C598" s="73" t="s">
        <v>865</v>
      </c>
      <c r="D598" s="74" t="s">
        <v>43</v>
      </c>
      <c r="E598" s="75" t="s">
        <v>307</v>
      </c>
      <c r="F598" s="72" t="s">
        <v>903</v>
      </c>
      <c r="G598" s="72" t="s">
        <v>20</v>
      </c>
      <c r="H598" s="76" t="s">
        <v>447</v>
      </c>
      <c r="I598" s="76" t="s">
        <v>130</v>
      </c>
      <c r="J598" s="77" t="s">
        <v>48</v>
      </c>
      <c r="K598" s="77" t="s">
        <v>866</v>
      </c>
    </row>
    <row r="599" ht="15.75" customHeight="1">
      <c r="A599" s="72" t="s">
        <v>1462</v>
      </c>
      <c r="B599" s="73" t="s">
        <v>905</v>
      </c>
      <c r="C599" s="73" t="s">
        <v>166</v>
      </c>
      <c r="D599" s="74" t="s">
        <v>17</v>
      </c>
      <c r="E599" s="75" t="s">
        <v>832</v>
      </c>
      <c r="F599" s="72" t="s">
        <v>764</v>
      </c>
      <c r="G599" s="72" t="s">
        <v>382</v>
      </c>
      <c r="H599" s="76" t="s">
        <v>87</v>
      </c>
      <c r="I599" s="76" t="s">
        <v>201</v>
      </c>
      <c r="J599" s="77" t="s">
        <v>562</v>
      </c>
      <c r="K599" s="77" t="s">
        <v>861</v>
      </c>
    </row>
    <row r="600" ht="15.75" customHeight="1">
      <c r="A600" s="72" t="s">
        <v>1463</v>
      </c>
      <c r="B600" s="73" t="s">
        <v>905</v>
      </c>
      <c r="C600" s="73">
        <v>7.66889773E8</v>
      </c>
      <c r="D600" s="74" t="s">
        <v>17</v>
      </c>
      <c r="E600" s="75" t="s">
        <v>1072</v>
      </c>
      <c r="F600" s="72" t="s">
        <v>198</v>
      </c>
      <c r="G600" s="72" t="s">
        <v>422</v>
      </c>
      <c r="H600" s="76" t="s">
        <v>21</v>
      </c>
      <c r="I600" s="76" t="s">
        <v>47</v>
      </c>
      <c r="J600" s="77" t="s">
        <v>23</v>
      </c>
      <c r="K600" s="77" t="s">
        <v>169</v>
      </c>
    </row>
    <row r="601" ht="15.75" customHeight="1">
      <c r="A601" s="72" t="s">
        <v>1464</v>
      </c>
      <c r="B601" s="73" t="s">
        <v>1048</v>
      </c>
      <c r="C601" s="73" t="s">
        <v>657</v>
      </c>
      <c r="D601" s="74" t="s">
        <v>17</v>
      </c>
      <c r="E601" s="75" t="s">
        <v>873</v>
      </c>
      <c r="F601" s="72" t="s">
        <v>1003</v>
      </c>
      <c r="G601" s="72" t="s">
        <v>970</v>
      </c>
      <c r="H601" s="76" t="s">
        <v>316</v>
      </c>
      <c r="I601" s="76" t="s">
        <v>130</v>
      </c>
      <c r="J601" s="77" t="s">
        <v>494</v>
      </c>
      <c r="K601" s="77" t="s">
        <v>528</v>
      </c>
    </row>
    <row r="602" ht="15.75" customHeight="1">
      <c r="A602" s="72" t="s">
        <v>1465</v>
      </c>
      <c r="B602" s="73" t="s">
        <v>521</v>
      </c>
      <c r="C602" s="73">
        <v>7.61547067E8</v>
      </c>
      <c r="D602" s="74" t="s">
        <v>17</v>
      </c>
      <c r="E602" s="75" t="s">
        <v>1125</v>
      </c>
      <c r="F602" s="72" t="s">
        <v>1062</v>
      </c>
      <c r="G602" s="72" t="s">
        <v>418</v>
      </c>
      <c r="H602" s="76" t="s">
        <v>447</v>
      </c>
      <c r="I602" s="76" t="s">
        <v>130</v>
      </c>
      <c r="J602" s="77" t="s">
        <v>48</v>
      </c>
      <c r="K602" s="77" t="s">
        <v>1205</v>
      </c>
    </row>
    <row r="603" ht="15.75" customHeight="1">
      <c r="A603" s="72" t="s">
        <v>1466</v>
      </c>
      <c r="B603" s="73" t="s">
        <v>15</v>
      </c>
      <c r="C603" s="73">
        <v>7.3136106E8</v>
      </c>
      <c r="D603" s="74" t="s">
        <v>17</v>
      </c>
      <c r="E603" s="75" t="s">
        <v>548</v>
      </c>
      <c r="F603" s="72" t="s">
        <v>677</v>
      </c>
      <c r="G603" s="72" t="s">
        <v>145</v>
      </c>
      <c r="H603" s="76" t="s">
        <v>581</v>
      </c>
      <c r="I603" s="76" t="s">
        <v>22</v>
      </c>
      <c r="J603" s="77" t="s">
        <v>48</v>
      </c>
      <c r="K603" s="77" t="s">
        <v>923</v>
      </c>
    </row>
    <row r="604" ht="15.75" customHeight="1">
      <c r="A604" s="72" t="s">
        <v>1467</v>
      </c>
      <c r="B604" s="73" t="s">
        <v>15</v>
      </c>
      <c r="C604" s="73">
        <v>7.14393366E8</v>
      </c>
      <c r="D604" s="74" t="s">
        <v>43</v>
      </c>
      <c r="E604" s="75" t="s">
        <v>532</v>
      </c>
      <c r="F604" s="72" t="s">
        <v>1042</v>
      </c>
      <c r="G604" s="72" t="s">
        <v>550</v>
      </c>
      <c r="H604" s="76" t="s">
        <v>597</v>
      </c>
      <c r="I604" s="76" t="s">
        <v>97</v>
      </c>
      <c r="J604" s="77" t="s">
        <v>48</v>
      </c>
      <c r="K604" s="77" t="s">
        <v>1233</v>
      </c>
    </row>
    <row r="605" ht="15.75" customHeight="1">
      <c r="A605" s="72" t="s">
        <v>1468</v>
      </c>
      <c r="B605" s="73" t="s">
        <v>1048</v>
      </c>
      <c r="C605" s="73" t="s">
        <v>368</v>
      </c>
      <c r="D605" s="74" t="s">
        <v>17</v>
      </c>
      <c r="E605" s="75" t="s">
        <v>746</v>
      </c>
      <c r="F605" s="72" t="s">
        <v>1118</v>
      </c>
      <c r="G605" s="72" t="s">
        <v>1052</v>
      </c>
      <c r="H605" s="76" t="s">
        <v>316</v>
      </c>
      <c r="I605" s="76" t="s">
        <v>22</v>
      </c>
      <c r="J605" s="77" t="s">
        <v>48</v>
      </c>
      <c r="K605" s="77" t="s">
        <v>24</v>
      </c>
    </row>
    <row r="606" ht="15.75" customHeight="1">
      <c r="A606" s="72" t="s">
        <v>1469</v>
      </c>
      <c r="B606" s="73" t="s">
        <v>1048</v>
      </c>
      <c r="C606" s="73" t="s">
        <v>906</v>
      </c>
      <c r="D606" s="74" t="s">
        <v>17</v>
      </c>
      <c r="E606" s="75" t="s">
        <v>32</v>
      </c>
      <c r="F606" s="72" t="s">
        <v>533</v>
      </c>
      <c r="G606" s="72" t="s">
        <v>527</v>
      </c>
      <c r="H606" s="76" t="s">
        <v>129</v>
      </c>
      <c r="I606" s="76" t="s">
        <v>130</v>
      </c>
      <c r="J606" s="77" t="s">
        <v>562</v>
      </c>
      <c r="K606" s="77" t="s">
        <v>24</v>
      </c>
    </row>
    <row r="607" ht="15.75" customHeight="1">
      <c r="A607" s="72" t="s">
        <v>1470</v>
      </c>
      <c r="B607" s="73" t="s">
        <v>1048</v>
      </c>
      <c r="C607" s="73">
        <v>7.79929495E8</v>
      </c>
      <c r="D607" s="74" t="s">
        <v>17</v>
      </c>
      <c r="E607" s="75" t="s">
        <v>428</v>
      </c>
      <c r="F607" s="72" t="s">
        <v>628</v>
      </c>
      <c r="G607" s="72" t="s">
        <v>1279</v>
      </c>
      <c r="H607" s="76" t="s">
        <v>21</v>
      </c>
      <c r="I607" s="76" t="s">
        <v>22</v>
      </c>
      <c r="J607" s="77" t="s">
        <v>48</v>
      </c>
      <c r="K607" s="77" t="s">
        <v>49</v>
      </c>
    </row>
    <row r="608" ht="15.75" customHeight="1">
      <c r="A608" s="72" t="s">
        <v>1471</v>
      </c>
      <c r="B608" s="73" t="s">
        <v>521</v>
      </c>
      <c r="C608" s="73">
        <v>7.77942987E8</v>
      </c>
      <c r="D608" s="74" t="s">
        <v>17</v>
      </c>
      <c r="E608" s="75" t="s">
        <v>954</v>
      </c>
      <c r="F608" s="72" t="s">
        <v>1270</v>
      </c>
      <c r="G608" s="72" t="s">
        <v>72</v>
      </c>
      <c r="H608" s="76" t="s">
        <v>678</v>
      </c>
      <c r="I608" s="76" t="s">
        <v>105</v>
      </c>
      <c r="J608" s="77" t="s">
        <v>48</v>
      </c>
      <c r="K608" s="77" t="s">
        <v>700</v>
      </c>
    </row>
    <row r="609" ht="15.75" customHeight="1">
      <c r="A609" s="72" t="s">
        <v>1472</v>
      </c>
      <c r="B609" s="73" t="s">
        <v>376</v>
      </c>
      <c r="C609" s="73" t="s">
        <v>1170</v>
      </c>
      <c r="D609" s="74" t="s">
        <v>17</v>
      </c>
      <c r="E609" s="75" t="s">
        <v>1078</v>
      </c>
      <c r="F609" s="72" t="s">
        <v>671</v>
      </c>
      <c r="G609" s="72" t="s">
        <v>418</v>
      </c>
      <c r="H609" s="76" t="s">
        <v>544</v>
      </c>
      <c r="I609" s="76" t="s">
        <v>22</v>
      </c>
      <c r="J609" s="77" t="s">
        <v>48</v>
      </c>
      <c r="K609" s="77" t="s">
        <v>1081</v>
      </c>
    </row>
    <row r="610" ht="15.75" customHeight="1">
      <c r="A610" s="72" t="s">
        <v>1473</v>
      </c>
      <c r="B610" s="73" t="s">
        <v>15</v>
      </c>
      <c r="C610" s="73">
        <v>7.00035554E8</v>
      </c>
      <c r="D610" s="74" t="s">
        <v>17</v>
      </c>
      <c r="E610" s="75" t="s">
        <v>246</v>
      </c>
      <c r="F610" s="72" t="s">
        <v>965</v>
      </c>
      <c r="G610" s="72" t="s">
        <v>422</v>
      </c>
      <c r="H610" s="76" t="s">
        <v>477</v>
      </c>
      <c r="I610" s="76" t="s">
        <v>643</v>
      </c>
      <c r="J610" s="77" t="s">
        <v>48</v>
      </c>
      <c r="K610" s="77" t="s">
        <v>1148</v>
      </c>
    </row>
    <row r="611" ht="15.75" customHeight="1">
      <c r="A611" s="72" t="s">
        <v>1474</v>
      </c>
      <c r="B611" s="73" t="s">
        <v>905</v>
      </c>
      <c r="C611" s="73" t="s">
        <v>346</v>
      </c>
      <c r="D611" s="74" t="s">
        <v>17</v>
      </c>
      <c r="E611" s="75" t="s">
        <v>951</v>
      </c>
      <c r="F611" s="72" t="s">
        <v>1118</v>
      </c>
      <c r="G611" s="72" t="s">
        <v>950</v>
      </c>
      <c r="H611" s="76" t="s">
        <v>316</v>
      </c>
      <c r="I611" s="76" t="s">
        <v>113</v>
      </c>
      <c r="J611" s="77" t="s">
        <v>48</v>
      </c>
      <c r="K611" s="77" t="s">
        <v>49</v>
      </c>
    </row>
    <row r="612" ht="15.75" customHeight="1">
      <c r="A612" s="72" t="s">
        <v>1475</v>
      </c>
      <c r="B612" s="73" t="s">
        <v>1048</v>
      </c>
      <c r="C612" s="73" t="s">
        <v>115</v>
      </c>
      <c r="D612" s="74" t="s">
        <v>43</v>
      </c>
      <c r="E612" s="75" t="s">
        <v>800</v>
      </c>
      <c r="F612" s="72" t="s">
        <v>1248</v>
      </c>
      <c r="G612" s="72" t="s">
        <v>418</v>
      </c>
      <c r="H612" s="76" t="s">
        <v>200</v>
      </c>
      <c r="I612" s="76" t="s">
        <v>201</v>
      </c>
      <c r="J612" s="77" t="s">
        <v>48</v>
      </c>
      <c r="K612" s="77" t="s">
        <v>523</v>
      </c>
    </row>
    <row r="613" ht="15.75" customHeight="1">
      <c r="A613" s="72" t="s">
        <v>1476</v>
      </c>
      <c r="B613" s="73" t="s">
        <v>376</v>
      </c>
      <c r="C613" s="73">
        <v>7.40062074E8</v>
      </c>
      <c r="D613" s="74" t="s">
        <v>17</v>
      </c>
      <c r="E613" s="75" t="s">
        <v>579</v>
      </c>
      <c r="F613" s="72" t="s">
        <v>683</v>
      </c>
      <c r="G613" s="72" t="s">
        <v>1039</v>
      </c>
      <c r="H613" s="76" t="s">
        <v>87</v>
      </c>
      <c r="I613" s="76" t="s">
        <v>201</v>
      </c>
      <c r="J613" s="77" t="s">
        <v>48</v>
      </c>
      <c r="K613" s="77" t="s">
        <v>876</v>
      </c>
    </row>
    <row r="614" ht="15.75" customHeight="1">
      <c r="A614" s="72" t="s">
        <v>1477</v>
      </c>
      <c r="B614" s="73" t="s">
        <v>376</v>
      </c>
      <c r="C614" s="73">
        <v>7.86946411E8</v>
      </c>
      <c r="D614" s="74" t="s">
        <v>43</v>
      </c>
      <c r="E614" s="75" t="s">
        <v>737</v>
      </c>
      <c r="F614" s="72" t="s">
        <v>175</v>
      </c>
      <c r="G614" s="72" t="s">
        <v>1227</v>
      </c>
      <c r="H614" s="76" t="s">
        <v>1064</v>
      </c>
      <c r="I614" s="76" t="s">
        <v>22</v>
      </c>
      <c r="J614" s="77" t="s">
        <v>48</v>
      </c>
      <c r="K614" s="77" t="s">
        <v>942</v>
      </c>
    </row>
    <row r="615" ht="15.75" customHeight="1">
      <c r="A615" s="72" t="s">
        <v>1478</v>
      </c>
      <c r="B615" s="73" t="s">
        <v>1048</v>
      </c>
      <c r="C615" s="73" t="s">
        <v>166</v>
      </c>
      <c r="D615" s="74" t="s">
        <v>43</v>
      </c>
      <c r="E615" s="75" t="s">
        <v>330</v>
      </c>
      <c r="F615" s="72" t="s">
        <v>1094</v>
      </c>
      <c r="G615" s="72" t="s">
        <v>226</v>
      </c>
      <c r="H615" s="76" t="s">
        <v>359</v>
      </c>
      <c r="I615" s="76" t="s">
        <v>22</v>
      </c>
      <c r="J615" s="77" t="s">
        <v>48</v>
      </c>
      <c r="K615" s="77" t="s">
        <v>24</v>
      </c>
    </row>
    <row r="616" ht="15.75" customHeight="1">
      <c r="A616" s="72" t="s">
        <v>1479</v>
      </c>
      <c r="B616" s="73" t="s">
        <v>521</v>
      </c>
      <c r="C616" s="73" t="s">
        <v>220</v>
      </c>
      <c r="D616" s="74" t="s">
        <v>17</v>
      </c>
      <c r="E616" s="75" t="s">
        <v>565</v>
      </c>
      <c r="F616" s="72" t="s">
        <v>421</v>
      </c>
      <c r="G616" s="72" t="s">
        <v>1091</v>
      </c>
      <c r="H616" s="76" t="s">
        <v>433</v>
      </c>
      <c r="I616" s="76" t="s">
        <v>201</v>
      </c>
      <c r="J616" s="77" t="s">
        <v>562</v>
      </c>
      <c r="K616" s="77" t="s">
        <v>916</v>
      </c>
    </row>
    <row r="617" ht="15.75" customHeight="1">
      <c r="A617" s="72" t="s">
        <v>1480</v>
      </c>
      <c r="B617" s="73" t="s">
        <v>521</v>
      </c>
      <c r="C617" s="73" t="s">
        <v>1017</v>
      </c>
      <c r="D617" s="74" t="s">
        <v>43</v>
      </c>
      <c r="E617" s="75" t="s">
        <v>1078</v>
      </c>
      <c r="F617" s="72" t="s">
        <v>596</v>
      </c>
      <c r="G617" s="72" t="s">
        <v>418</v>
      </c>
      <c r="H617" s="76" t="s">
        <v>104</v>
      </c>
      <c r="I617" s="76" t="s">
        <v>201</v>
      </c>
      <c r="J617" s="77" t="s">
        <v>761</v>
      </c>
      <c r="K617" s="77" t="s">
        <v>542</v>
      </c>
    </row>
    <row r="618" ht="15.75" customHeight="1">
      <c r="A618" s="72" t="s">
        <v>1481</v>
      </c>
      <c r="B618" s="73" t="s">
        <v>376</v>
      </c>
      <c r="C618" s="73" t="s">
        <v>207</v>
      </c>
      <c r="D618" s="74" t="s">
        <v>17</v>
      </c>
      <c r="E618" s="75" t="s">
        <v>693</v>
      </c>
      <c r="F618" s="72" t="s">
        <v>747</v>
      </c>
      <c r="G618" s="72" t="s">
        <v>20</v>
      </c>
      <c r="H618" s="76" t="s">
        <v>142</v>
      </c>
      <c r="I618" s="76" t="s">
        <v>22</v>
      </c>
      <c r="J618" s="77" t="s">
        <v>48</v>
      </c>
      <c r="K618" s="77" t="s">
        <v>24</v>
      </c>
    </row>
    <row r="619" ht="15.75" customHeight="1">
      <c r="A619" s="72" t="s">
        <v>1482</v>
      </c>
      <c r="B619" s="73" t="s">
        <v>905</v>
      </c>
      <c r="C619" s="73" t="s">
        <v>353</v>
      </c>
      <c r="D619" s="74" t="s">
        <v>43</v>
      </c>
      <c r="E619" s="75" t="s">
        <v>1225</v>
      </c>
      <c r="F619" s="72" t="s">
        <v>533</v>
      </c>
      <c r="G619" s="72" t="s">
        <v>476</v>
      </c>
      <c r="H619" s="76" t="s">
        <v>971</v>
      </c>
      <c r="I619" s="76" t="s">
        <v>739</v>
      </c>
      <c r="J619" s="77" t="s">
        <v>48</v>
      </c>
      <c r="K619" s="77" t="s">
        <v>542</v>
      </c>
    </row>
    <row r="620" ht="15.75" customHeight="1">
      <c r="A620" s="72" t="s">
        <v>1483</v>
      </c>
      <c r="B620" s="73" t="s">
        <v>521</v>
      </c>
      <c r="C620" s="73" t="s">
        <v>639</v>
      </c>
      <c r="D620" s="74" t="s">
        <v>43</v>
      </c>
      <c r="E620" s="75" t="s">
        <v>449</v>
      </c>
      <c r="F620" s="72" t="s">
        <v>641</v>
      </c>
      <c r="G620" s="72" t="s">
        <v>418</v>
      </c>
      <c r="H620" s="76" t="s">
        <v>316</v>
      </c>
      <c r="I620" s="76" t="s">
        <v>105</v>
      </c>
      <c r="J620" s="77" t="s">
        <v>48</v>
      </c>
      <c r="K620" s="77" t="s">
        <v>90</v>
      </c>
    </row>
    <row r="621" ht="15.75" customHeight="1">
      <c r="A621" s="72" t="s">
        <v>1484</v>
      </c>
      <c r="B621" s="73" t="s">
        <v>905</v>
      </c>
      <c r="C621" s="73">
        <v>7.43278559E8</v>
      </c>
      <c r="D621" s="74" t="s">
        <v>43</v>
      </c>
      <c r="E621" s="75" t="s">
        <v>431</v>
      </c>
      <c r="F621" s="72" t="s">
        <v>314</v>
      </c>
      <c r="G621" s="72" t="s">
        <v>418</v>
      </c>
      <c r="H621" s="76" t="s">
        <v>971</v>
      </c>
      <c r="I621" s="76" t="s">
        <v>201</v>
      </c>
      <c r="J621" s="77" t="s">
        <v>48</v>
      </c>
      <c r="K621" s="77" t="s">
        <v>563</v>
      </c>
    </row>
    <row r="622" ht="15.75" customHeight="1">
      <c r="A622" s="72" t="s">
        <v>1485</v>
      </c>
      <c r="B622" s="73" t="s">
        <v>521</v>
      </c>
      <c r="C622" s="73" t="s">
        <v>1012</v>
      </c>
      <c r="D622" s="74" t="s">
        <v>43</v>
      </c>
      <c r="E622" s="75" t="s">
        <v>457</v>
      </c>
      <c r="F622" s="72" t="s">
        <v>1014</v>
      </c>
      <c r="G622" s="72" t="s">
        <v>418</v>
      </c>
      <c r="H622" s="76" t="s">
        <v>59</v>
      </c>
      <c r="I622" s="76" t="s">
        <v>22</v>
      </c>
      <c r="J622" s="77" t="s">
        <v>48</v>
      </c>
      <c r="K622" s="77" t="s">
        <v>169</v>
      </c>
    </row>
    <row r="623" ht="15.75" customHeight="1">
      <c r="A623" s="72" t="s">
        <v>1486</v>
      </c>
      <c r="B623" s="73" t="s">
        <v>15</v>
      </c>
      <c r="C623" s="73">
        <v>7.38037686E8</v>
      </c>
      <c r="D623" s="74" t="s">
        <v>17</v>
      </c>
      <c r="E623" s="75" t="s">
        <v>187</v>
      </c>
      <c r="F623" s="72" t="s">
        <v>965</v>
      </c>
      <c r="G623" s="72" t="s">
        <v>226</v>
      </c>
      <c r="H623" s="76" t="s">
        <v>541</v>
      </c>
      <c r="I623" s="76" t="s">
        <v>97</v>
      </c>
      <c r="J623" s="77" t="s">
        <v>23</v>
      </c>
      <c r="K623" s="77" t="s">
        <v>24</v>
      </c>
    </row>
    <row r="624" ht="15.75" customHeight="1">
      <c r="A624" s="72" t="s">
        <v>1487</v>
      </c>
      <c r="B624" s="73" t="s">
        <v>1048</v>
      </c>
      <c r="C624" s="73" t="s">
        <v>312</v>
      </c>
      <c r="D624" s="74" t="s">
        <v>17</v>
      </c>
      <c r="E624" s="75" t="s">
        <v>1084</v>
      </c>
      <c r="F624" s="72" t="s">
        <v>1090</v>
      </c>
      <c r="G624" s="72" t="s">
        <v>418</v>
      </c>
      <c r="H624" s="76" t="s">
        <v>477</v>
      </c>
      <c r="I624" s="76" t="s">
        <v>22</v>
      </c>
      <c r="J624" s="77" t="s">
        <v>23</v>
      </c>
      <c r="K624" s="77" t="s">
        <v>49</v>
      </c>
    </row>
    <row r="625" ht="15.75" customHeight="1">
      <c r="A625" s="72" t="s">
        <v>1488</v>
      </c>
      <c r="B625" s="73" t="s">
        <v>521</v>
      </c>
      <c r="C625" s="73" t="s">
        <v>729</v>
      </c>
      <c r="D625" s="74" t="s">
        <v>43</v>
      </c>
      <c r="E625" s="75" t="s">
        <v>1125</v>
      </c>
      <c r="F625" s="72" t="s">
        <v>194</v>
      </c>
      <c r="G625" s="72" t="s">
        <v>654</v>
      </c>
      <c r="H625" s="76" t="s">
        <v>104</v>
      </c>
      <c r="I625" s="76" t="s">
        <v>22</v>
      </c>
      <c r="J625" s="77" t="s">
        <v>23</v>
      </c>
      <c r="K625" s="77" t="s">
        <v>49</v>
      </c>
    </row>
    <row r="626" ht="15.75" customHeight="1">
      <c r="A626" s="72" t="s">
        <v>1489</v>
      </c>
      <c r="B626" s="73" t="s">
        <v>1048</v>
      </c>
      <c r="C626" s="73" t="s">
        <v>1265</v>
      </c>
      <c r="D626" s="74" t="s">
        <v>17</v>
      </c>
      <c r="E626" s="75" t="s">
        <v>265</v>
      </c>
      <c r="F626" s="72" t="s">
        <v>694</v>
      </c>
      <c r="G626" s="72" t="s">
        <v>337</v>
      </c>
      <c r="H626" s="76" t="s">
        <v>447</v>
      </c>
      <c r="I626" s="76" t="s">
        <v>97</v>
      </c>
      <c r="J626" s="77" t="s">
        <v>81</v>
      </c>
      <c r="K626" s="77" t="s">
        <v>528</v>
      </c>
    </row>
    <row r="627" ht="15.75" customHeight="1">
      <c r="A627" s="72" t="s">
        <v>1490</v>
      </c>
      <c r="B627" s="73" t="s">
        <v>905</v>
      </c>
      <c r="C627" s="73" t="s">
        <v>299</v>
      </c>
      <c r="D627" s="74" t="s">
        <v>17</v>
      </c>
      <c r="E627" s="75" t="s">
        <v>565</v>
      </c>
      <c r="F627" s="72" t="s">
        <v>788</v>
      </c>
      <c r="G627" s="72" t="s">
        <v>1251</v>
      </c>
      <c r="H627" s="76" t="s">
        <v>408</v>
      </c>
      <c r="I627" s="76" t="s">
        <v>1336</v>
      </c>
      <c r="J627" s="77" t="s">
        <v>23</v>
      </c>
      <c r="K627" s="77" t="s">
        <v>923</v>
      </c>
    </row>
    <row r="628" ht="15.75" customHeight="1">
      <c r="A628" s="72" t="s">
        <v>1491</v>
      </c>
      <c r="B628" s="73" t="s">
        <v>521</v>
      </c>
      <c r="C628" s="73" t="s">
        <v>989</v>
      </c>
      <c r="D628" s="74" t="s">
        <v>17</v>
      </c>
      <c r="E628" s="75" t="s">
        <v>313</v>
      </c>
      <c r="F628" s="72" t="s">
        <v>39</v>
      </c>
      <c r="G628" s="72" t="s">
        <v>418</v>
      </c>
      <c r="H628" s="76" t="s">
        <v>118</v>
      </c>
      <c r="I628" s="76" t="s">
        <v>409</v>
      </c>
      <c r="J628" s="77" t="s">
        <v>23</v>
      </c>
      <c r="K628" s="77" t="s">
        <v>1065</v>
      </c>
    </row>
    <row r="629" ht="15.75" customHeight="1">
      <c r="A629" s="72" t="s">
        <v>1492</v>
      </c>
      <c r="B629" s="73" t="s">
        <v>905</v>
      </c>
      <c r="C629" s="73" t="s">
        <v>720</v>
      </c>
      <c r="D629" s="74" t="s">
        <v>43</v>
      </c>
      <c r="E629" s="75" t="s">
        <v>1084</v>
      </c>
      <c r="F629" s="72" t="s">
        <v>641</v>
      </c>
      <c r="G629" s="72" t="s">
        <v>970</v>
      </c>
      <c r="H629" s="76" t="s">
        <v>447</v>
      </c>
      <c r="I629" s="76" t="s">
        <v>130</v>
      </c>
      <c r="J629" s="77" t="s">
        <v>23</v>
      </c>
      <c r="K629" s="77" t="s">
        <v>1065</v>
      </c>
    </row>
    <row r="630" ht="15.75" customHeight="1">
      <c r="A630" s="72" t="s">
        <v>1493</v>
      </c>
      <c r="B630" s="73" t="s">
        <v>376</v>
      </c>
      <c r="C630" s="73" t="s">
        <v>92</v>
      </c>
      <c r="D630" s="74" t="s">
        <v>43</v>
      </c>
      <c r="E630" s="75" t="s">
        <v>1026</v>
      </c>
      <c r="F630" s="72" t="s">
        <v>314</v>
      </c>
      <c r="G630" s="72" t="s">
        <v>386</v>
      </c>
      <c r="H630" s="76" t="s">
        <v>34</v>
      </c>
      <c r="I630" s="76" t="s">
        <v>29</v>
      </c>
      <c r="J630" s="77" t="s">
        <v>48</v>
      </c>
      <c r="K630" s="77" t="s">
        <v>49</v>
      </c>
    </row>
    <row r="631" ht="15.75" customHeight="1">
      <c r="A631" s="72" t="s">
        <v>1494</v>
      </c>
      <c r="B631" s="73" t="s">
        <v>521</v>
      </c>
      <c r="C631" s="73" t="s">
        <v>1124</v>
      </c>
      <c r="D631" s="74" t="s">
        <v>17</v>
      </c>
      <c r="E631" s="75" t="s">
        <v>579</v>
      </c>
      <c r="F631" s="72" t="s">
        <v>824</v>
      </c>
      <c r="G631" s="72" t="s">
        <v>72</v>
      </c>
      <c r="H631" s="76" t="s">
        <v>210</v>
      </c>
      <c r="I631" s="76" t="s">
        <v>22</v>
      </c>
      <c r="J631" s="77" t="s">
        <v>23</v>
      </c>
      <c r="K631" s="77" t="s">
        <v>1065</v>
      </c>
    </row>
    <row r="632" ht="15.75" customHeight="1">
      <c r="A632" s="72" t="s">
        <v>1495</v>
      </c>
      <c r="B632" s="73" t="s">
        <v>521</v>
      </c>
      <c r="C632" s="73" t="s">
        <v>353</v>
      </c>
      <c r="D632" s="74" t="s">
        <v>43</v>
      </c>
      <c r="E632" s="75" t="s">
        <v>715</v>
      </c>
      <c r="F632" s="72" t="s">
        <v>450</v>
      </c>
      <c r="G632" s="72" t="s">
        <v>1063</v>
      </c>
      <c r="H632" s="76" t="s">
        <v>129</v>
      </c>
      <c r="I632" s="76" t="s">
        <v>105</v>
      </c>
      <c r="J632" s="77" t="s">
        <v>48</v>
      </c>
      <c r="K632" s="77" t="s">
        <v>106</v>
      </c>
    </row>
    <row r="633" ht="15.75" customHeight="1">
      <c r="A633" s="72" t="s">
        <v>1496</v>
      </c>
      <c r="B633" s="73" t="s">
        <v>521</v>
      </c>
      <c r="C633" s="73" t="s">
        <v>1284</v>
      </c>
      <c r="D633" s="74" t="s">
        <v>43</v>
      </c>
      <c r="E633" s="75" t="s">
        <v>274</v>
      </c>
      <c r="F633" s="72" t="s">
        <v>965</v>
      </c>
      <c r="G633" s="72" t="s">
        <v>418</v>
      </c>
      <c r="H633" s="76" t="s">
        <v>200</v>
      </c>
      <c r="I633" s="76" t="s">
        <v>29</v>
      </c>
      <c r="J633" s="77" t="s">
        <v>48</v>
      </c>
      <c r="K633" s="77" t="s">
        <v>528</v>
      </c>
    </row>
    <row r="634" ht="15.75" customHeight="1">
      <c r="A634" s="72" t="s">
        <v>1497</v>
      </c>
      <c r="B634" s="73" t="s">
        <v>376</v>
      </c>
      <c r="C634" s="73" t="s">
        <v>688</v>
      </c>
      <c r="D634" s="74" t="s">
        <v>17</v>
      </c>
      <c r="E634" s="75" t="s">
        <v>204</v>
      </c>
      <c r="F634" s="72" t="s">
        <v>292</v>
      </c>
      <c r="G634" s="72" t="s">
        <v>344</v>
      </c>
      <c r="H634" s="76" t="s">
        <v>180</v>
      </c>
      <c r="I634" s="76" t="s">
        <v>97</v>
      </c>
      <c r="J634" s="77" t="s">
        <v>23</v>
      </c>
      <c r="K634" s="77" t="s">
        <v>24</v>
      </c>
    </row>
    <row r="635" ht="15.75" customHeight="1">
      <c r="A635" s="72" t="s">
        <v>1498</v>
      </c>
      <c r="B635" s="73" t="s">
        <v>521</v>
      </c>
      <c r="C635" s="73" t="s">
        <v>859</v>
      </c>
      <c r="D635" s="74" t="s">
        <v>17</v>
      </c>
      <c r="E635" s="75" t="s">
        <v>995</v>
      </c>
      <c r="F635" s="72" t="s">
        <v>768</v>
      </c>
      <c r="G635" s="72" t="s">
        <v>1151</v>
      </c>
      <c r="H635" s="76" t="s">
        <v>96</v>
      </c>
      <c r="I635" s="76" t="s">
        <v>22</v>
      </c>
      <c r="J635" s="77" t="s">
        <v>761</v>
      </c>
      <c r="K635" s="77" t="s">
        <v>861</v>
      </c>
    </row>
    <row r="636" ht="15.75" customHeight="1">
      <c r="A636" s="72" t="s">
        <v>1499</v>
      </c>
      <c r="B636" s="73" t="s">
        <v>15</v>
      </c>
      <c r="C636" s="73" t="s">
        <v>377</v>
      </c>
      <c r="D636" s="74" t="s">
        <v>17</v>
      </c>
      <c r="E636" s="75" t="s">
        <v>746</v>
      </c>
      <c r="F636" s="72" t="s">
        <v>826</v>
      </c>
      <c r="G636" s="72" t="s">
        <v>418</v>
      </c>
      <c r="H636" s="76" t="s">
        <v>477</v>
      </c>
      <c r="I636" s="76" t="s">
        <v>22</v>
      </c>
      <c r="J636" s="77" t="s">
        <v>23</v>
      </c>
      <c r="K636" s="77" t="s">
        <v>1247</v>
      </c>
    </row>
    <row r="637" ht="15.75" customHeight="1">
      <c r="A637" s="72" t="s">
        <v>1500</v>
      </c>
      <c r="B637" s="73" t="s">
        <v>15</v>
      </c>
      <c r="C637" s="73">
        <v>7.80637327E8</v>
      </c>
      <c r="D637" s="74" t="s">
        <v>17</v>
      </c>
      <c r="E637" s="75" t="s">
        <v>926</v>
      </c>
      <c r="F637" s="72" t="s">
        <v>969</v>
      </c>
      <c r="G637" s="72" t="s">
        <v>379</v>
      </c>
      <c r="H637" s="76" t="s">
        <v>34</v>
      </c>
      <c r="I637" s="76" t="s">
        <v>47</v>
      </c>
      <c r="J637" s="77" t="s">
        <v>48</v>
      </c>
      <c r="K637" s="77" t="s">
        <v>24</v>
      </c>
    </row>
    <row r="638" ht="15.75" customHeight="1">
      <c r="A638" s="72" t="s">
        <v>1501</v>
      </c>
      <c r="B638" s="73" t="s">
        <v>15</v>
      </c>
      <c r="C638" s="73">
        <v>7.77743344E8</v>
      </c>
      <c r="D638" s="74" t="s">
        <v>43</v>
      </c>
      <c r="E638" s="75" t="s">
        <v>233</v>
      </c>
      <c r="F638" s="72" t="s">
        <v>1010</v>
      </c>
      <c r="G638" s="72" t="s">
        <v>1063</v>
      </c>
      <c r="H638" s="76" t="s">
        <v>332</v>
      </c>
      <c r="I638" s="76" t="s">
        <v>22</v>
      </c>
      <c r="J638" s="77" t="s">
        <v>48</v>
      </c>
      <c r="K638" s="77" t="s">
        <v>616</v>
      </c>
    </row>
    <row r="639" ht="15.75" customHeight="1">
      <c r="A639" s="72" t="s">
        <v>1502</v>
      </c>
      <c r="B639" s="73" t="s">
        <v>521</v>
      </c>
      <c r="C639" s="73" t="s">
        <v>1054</v>
      </c>
      <c r="D639" s="74" t="s">
        <v>17</v>
      </c>
      <c r="E639" s="75" t="s">
        <v>1269</v>
      </c>
      <c r="F639" s="72" t="s">
        <v>802</v>
      </c>
      <c r="G639" s="72" t="s">
        <v>1182</v>
      </c>
      <c r="H639" s="76" t="s">
        <v>316</v>
      </c>
      <c r="I639" s="76" t="s">
        <v>22</v>
      </c>
      <c r="J639" s="77" t="s">
        <v>23</v>
      </c>
      <c r="K639" s="77" t="s">
        <v>718</v>
      </c>
    </row>
    <row r="640" ht="15.75" customHeight="1">
      <c r="A640" s="72" t="s">
        <v>1503</v>
      </c>
      <c r="B640" s="73" t="s">
        <v>15</v>
      </c>
      <c r="C640" s="73">
        <v>7.31462503E8</v>
      </c>
      <c r="D640" s="74" t="s">
        <v>17</v>
      </c>
      <c r="E640" s="75" t="s">
        <v>1072</v>
      </c>
      <c r="F640" s="72" t="s">
        <v>874</v>
      </c>
      <c r="G640" s="72" t="s">
        <v>379</v>
      </c>
      <c r="H640" s="76" t="s">
        <v>54</v>
      </c>
      <c r="I640" s="76" t="s">
        <v>201</v>
      </c>
      <c r="J640" s="77" t="s">
        <v>48</v>
      </c>
      <c r="K640" s="77" t="s">
        <v>24</v>
      </c>
    </row>
    <row r="641" ht="15.75" customHeight="1">
      <c r="A641" s="72" t="s">
        <v>1504</v>
      </c>
      <c r="B641" s="73" t="s">
        <v>376</v>
      </c>
      <c r="C641" s="73" t="s">
        <v>909</v>
      </c>
      <c r="D641" s="74" t="s">
        <v>43</v>
      </c>
      <c r="E641" s="75" t="s">
        <v>365</v>
      </c>
      <c r="F641" s="72" t="s">
        <v>658</v>
      </c>
      <c r="G641" s="72" t="s">
        <v>527</v>
      </c>
      <c r="H641" s="76" t="s">
        <v>104</v>
      </c>
      <c r="I641" s="76" t="s">
        <v>130</v>
      </c>
      <c r="J641" s="77" t="s">
        <v>23</v>
      </c>
      <c r="K641" s="77" t="s">
        <v>24</v>
      </c>
    </row>
    <row r="642" ht="15.75" customHeight="1">
      <c r="A642" s="72" t="s">
        <v>1505</v>
      </c>
      <c r="B642" s="73" t="s">
        <v>905</v>
      </c>
      <c r="C642" s="73" t="s">
        <v>203</v>
      </c>
      <c r="D642" s="74" t="s">
        <v>17</v>
      </c>
      <c r="E642" s="75" t="s">
        <v>532</v>
      </c>
      <c r="F642" s="72" t="s">
        <v>1126</v>
      </c>
      <c r="G642" s="72" t="s">
        <v>970</v>
      </c>
      <c r="H642" s="76" t="s">
        <v>129</v>
      </c>
      <c r="I642" s="76" t="s">
        <v>201</v>
      </c>
      <c r="J642" s="77" t="s">
        <v>23</v>
      </c>
      <c r="K642" s="77" t="s">
        <v>563</v>
      </c>
    </row>
    <row r="643" ht="15.75" customHeight="1">
      <c r="A643" s="72" t="s">
        <v>1506</v>
      </c>
      <c r="B643" s="73" t="s">
        <v>521</v>
      </c>
      <c r="C643" s="73">
        <v>7.19268439E8</v>
      </c>
      <c r="D643" s="74" t="s">
        <v>43</v>
      </c>
      <c r="E643" s="75" t="s">
        <v>489</v>
      </c>
      <c r="F643" s="72" t="s">
        <v>275</v>
      </c>
      <c r="G643" s="72" t="s">
        <v>418</v>
      </c>
      <c r="H643" s="76" t="s">
        <v>447</v>
      </c>
      <c r="I643" s="76" t="s">
        <v>97</v>
      </c>
      <c r="J643" s="77" t="s">
        <v>23</v>
      </c>
      <c r="K643" s="77" t="s">
        <v>775</v>
      </c>
    </row>
    <row r="644" ht="15.75" customHeight="1">
      <c r="A644" s="72" t="s">
        <v>1507</v>
      </c>
      <c r="B644" s="73" t="s">
        <v>15</v>
      </c>
      <c r="C644" s="73" t="s">
        <v>1263</v>
      </c>
      <c r="D644" s="74" t="s">
        <v>43</v>
      </c>
      <c r="E644" s="75" t="s">
        <v>101</v>
      </c>
      <c r="F644" s="72" t="s">
        <v>842</v>
      </c>
      <c r="G644" s="72" t="s">
        <v>642</v>
      </c>
      <c r="H644" s="76" t="s">
        <v>118</v>
      </c>
      <c r="I644" s="76" t="s">
        <v>201</v>
      </c>
      <c r="J644" s="77" t="s">
        <v>81</v>
      </c>
      <c r="K644" s="77" t="s">
        <v>49</v>
      </c>
    </row>
    <row r="645" ht="15.75" customHeight="1">
      <c r="A645" s="72" t="s">
        <v>1508</v>
      </c>
      <c r="B645" s="73" t="s">
        <v>905</v>
      </c>
      <c r="C645" s="73" t="s">
        <v>171</v>
      </c>
      <c r="D645" s="74" t="s">
        <v>43</v>
      </c>
      <c r="E645" s="75" t="s">
        <v>746</v>
      </c>
      <c r="F645" s="72" t="s">
        <v>314</v>
      </c>
      <c r="G645" s="72" t="s">
        <v>402</v>
      </c>
      <c r="H645" s="76" t="s">
        <v>200</v>
      </c>
      <c r="I645" s="76" t="s">
        <v>130</v>
      </c>
      <c r="J645" s="77" t="s">
        <v>89</v>
      </c>
      <c r="K645" s="77" t="s">
        <v>24</v>
      </c>
    </row>
    <row r="646" ht="15.75" customHeight="1">
      <c r="A646" s="72" t="s">
        <v>1509</v>
      </c>
      <c r="B646" s="73" t="s">
        <v>521</v>
      </c>
      <c r="C646" s="73" t="s">
        <v>514</v>
      </c>
      <c r="D646" s="74" t="s">
        <v>43</v>
      </c>
      <c r="E646" s="75" t="s">
        <v>291</v>
      </c>
      <c r="F646" s="72" t="s">
        <v>874</v>
      </c>
      <c r="G646" s="72" t="s">
        <v>1238</v>
      </c>
      <c r="H646" s="76" t="s">
        <v>544</v>
      </c>
      <c r="I646" s="76" t="s">
        <v>130</v>
      </c>
      <c r="J646" s="77" t="s">
        <v>23</v>
      </c>
      <c r="K646" s="77" t="s">
        <v>24</v>
      </c>
    </row>
    <row r="647" ht="15.75" customHeight="1">
      <c r="A647" s="72" t="s">
        <v>1510</v>
      </c>
      <c r="B647" s="73" t="s">
        <v>1048</v>
      </c>
      <c r="C647" s="73">
        <v>7.29577281E8</v>
      </c>
      <c r="D647" s="74" t="s">
        <v>17</v>
      </c>
      <c r="E647" s="75" t="s">
        <v>532</v>
      </c>
      <c r="F647" s="72" t="s">
        <v>826</v>
      </c>
      <c r="G647" s="72" t="s">
        <v>556</v>
      </c>
      <c r="H647" s="76" t="s">
        <v>610</v>
      </c>
      <c r="I647" s="76" t="s">
        <v>113</v>
      </c>
      <c r="J647" s="77" t="s">
        <v>23</v>
      </c>
      <c r="K647" s="77" t="s">
        <v>748</v>
      </c>
    </row>
    <row r="648" ht="15.75" customHeight="1">
      <c r="A648" s="72" t="s">
        <v>1511</v>
      </c>
      <c r="B648" s="73" t="s">
        <v>521</v>
      </c>
      <c r="C648" s="73" t="s">
        <v>681</v>
      </c>
      <c r="D648" s="74" t="s">
        <v>17</v>
      </c>
      <c r="E648" s="75" t="s">
        <v>623</v>
      </c>
      <c r="F648" s="72" t="s">
        <v>127</v>
      </c>
      <c r="G648" s="72" t="s">
        <v>1052</v>
      </c>
      <c r="H648" s="76" t="s">
        <v>104</v>
      </c>
      <c r="I648" s="76" t="s">
        <v>22</v>
      </c>
      <c r="J648" s="77" t="s">
        <v>23</v>
      </c>
      <c r="K648" s="77" t="s">
        <v>1247</v>
      </c>
    </row>
    <row r="649" ht="15.75" customHeight="1">
      <c r="A649" s="72" t="s">
        <v>1512</v>
      </c>
      <c r="B649" s="73" t="s">
        <v>376</v>
      </c>
      <c r="C649" s="73" t="s">
        <v>872</v>
      </c>
      <c r="D649" s="74" t="s">
        <v>17</v>
      </c>
      <c r="E649" s="75" t="s">
        <v>964</v>
      </c>
      <c r="F649" s="72" t="s">
        <v>903</v>
      </c>
      <c r="G649" s="72" t="s">
        <v>1201</v>
      </c>
      <c r="H649" s="76" t="s">
        <v>544</v>
      </c>
      <c r="I649" s="76" t="s">
        <v>97</v>
      </c>
      <c r="J649" s="77" t="s">
        <v>48</v>
      </c>
      <c r="K649" s="77" t="s">
        <v>49</v>
      </c>
    </row>
    <row r="650" ht="15.75" customHeight="1">
      <c r="A650" s="72" t="s">
        <v>1513</v>
      </c>
      <c r="B650" s="73" t="s">
        <v>521</v>
      </c>
      <c r="C650" s="73">
        <v>7.60126712E8</v>
      </c>
      <c r="D650" s="74" t="s">
        <v>17</v>
      </c>
      <c r="E650" s="75" t="s">
        <v>522</v>
      </c>
      <c r="F650" s="72" t="s">
        <v>930</v>
      </c>
      <c r="G650" s="72" t="s">
        <v>418</v>
      </c>
      <c r="H650" s="76" t="s">
        <v>447</v>
      </c>
      <c r="I650" s="76" t="s">
        <v>97</v>
      </c>
      <c r="J650" s="77" t="s">
        <v>23</v>
      </c>
      <c r="K650" s="77" t="s">
        <v>423</v>
      </c>
    </row>
    <row r="651" ht="15.75" customHeight="1">
      <c r="A651" s="72" t="s">
        <v>1514</v>
      </c>
      <c r="B651" s="73" t="s">
        <v>905</v>
      </c>
      <c r="C651" s="73" t="s">
        <v>1116</v>
      </c>
      <c r="D651" s="74" t="s">
        <v>43</v>
      </c>
      <c r="E651" s="75" t="s">
        <v>1117</v>
      </c>
      <c r="F651" s="72" t="s">
        <v>479</v>
      </c>
      <c r="G651" s="72" t="s">
        <v>418</v>
      </c>
      <c r="H651" s="76" t="s">
        <v>316</v>
      </c>
      <c r="I651" s="76" t="s">
        <v>22</v>
      </c>
      <c r="J651" s="77" t="s">
        <v>23</v>
      </c>
      <c r="K651" s="77" t="s">
        <v>49</v>
      </c>
    </row>
    <row r="652" ht="15.75" customHeight="1">
      <c r="A652" s="72" t="s">
        <v>1515</v>
      </c>
      <c r="B652" s="73" t="s">
        <v>521</v>
      </c>
      <c r="C652" s="73">
        <v>7.84062137E8</v>
      </c>
      <c r="D652" s="74" t="s">
        <v>17</v>
      </c>
      <c r="E652" s="75" t="s">
        <v>676</v>
      </c>
      <c r="F652" s="72" t="s">
        <v>516</v>
      </c>
      <c r="G652" s="72" t="s">
        <v>72</v>
      </c>
      <c r="H652" s="76" t="s">
        <v>541</v>
      </c>
      <c r="I652" s="76" t="s">
        <v>201</v>
      </c>
      <c r="J652" s="77" t="s">
        <v>89</v>
      </c>
      <c r="K652" s="77" t="s">
        <v>861</v>
      </c>
    </row>
    <row r="653" ht="15.75" customHeight="1">
      <c r="A653" s="72" t="s">
        <v>1516</v>
      </c>
      <c r="B653" s="73" t="s">
        <v>376</v>
      </c>
      <c r="C653" s="73" t="s">
        <v>148</v>
      </c>
      <c r="D653" s="74" t="s">
        <v>43</v>
      </c>
      <c r="E653" s="75" t="s">
        <v>183</v>
      </c>
      <c r="F653" s="72" t="s">
        <v>188</v>
      </c>
      <c r="G653" s="72" t="s">
        <v>1080</v>
      </c>
      <c r="H653" s="76" t="s">
        <v>477</v>
      </c>
      <c r="I653" s="76" t="s">
        <v>22</v>
      </c>
      <c r="J653" s="77" t="s">
        <v>277</v>
      </c>
      <c r="K653" s="77" t="s">
        <v>1268</v>
      </c>
    </row>
    <row r="654" ht="15.75" customHeight="1">
      <c r="A654" s="72" t="s">
        <v>1517</v>
      </c>
      <c r="B654" s="73" t="s">
        <v>15</v>
      </c>
      <c r="C654" s="73" t="s">
        <v>660</v>
      </c>
      <c r="D654" s="74" t="s">
        <v>17</v>
      </c>
      <c r="E654" s="75" t="s">
        <v>497</v>
      </c>
      <c r="F654" s="72" t="s">
        <v>391</v>
      </c>
      <c r="G654" s="72" t="s">
        <v>527</v>
      </c>
      <c r="H654" s="76" t="s">
        <v>535</v>
      </c>
      <c r="I654" s="76" t="s">
        <v>201</v>
      </c>
      <c r="J654" s="77" t="s">
        <v>48</v>
      </c>
      <c r="K654" s="77" t="s">
        <v>563</v>
      </c>
    </row>
    <row r="655" ht="15.75" customHeight="1">
      <c r="A655" s="72" t="s">
        <v>1518</v>
      </c>
      <c r="B655" s="73" t="s">
        <v>521</v>
      </c>
      <c r="C655" s="73" t="s">
        <v>31</v>
      </c>
      <c r="D655" s="74" t="s">
        <v>43</v>
      </c>
      <c r="E655" s="75" t="s">
        <v>330</v>
      </c>
      <c r="F655" s="72" t="s">
        <v>1181</v>
      </c>
      <c r="G655" s="72" t="s">
        <v>615</v>
      </c>
      <c r="H655" s="76" t="s">
        <v>678</v>
      </c>
      <c r="I655" s="76" t="s">
        <v>22</v>
      </c>
      <c r="J655" s="77" t="s">
        <v>23</v>
      </c>
      <c r="K655" s="77" t="s">
        <v>383</v>
      </c>
    </row>
    <row r="656" ht="15.75" customHeight="1">
      <c r="A656" s="72" t="s">
        <v>1519</v>
      </c>
      <c r="B656" s="73" t="s">
        <v>376</v>
      </c>
      <c r="C656" s="73" t="s">
        <v>290</v>
      </c>
      <c r="D656" s="74" t="s">
        <v>17</v>
      </c>
      <c r="E656" s="75" t="s">
        <v>613</v>
      </c>
      <c r="F656" s="72" t="s">
        <v>1173</v>
      </c>
      <c r="G656" s="72" t="s">
        <v>472</v>
      </c>
      <c r="H656" s="76" t="s">
        <v>69</v>
      </c>
      <c r="I656" s="76" t="s">
        <v>97</v>
      </c>
      <c r="J656" s="77" t="s">
        <v>89</v>
      </c>
      <c r="K656" s="77" t="s">
        <v>876</v>
      </c>
    </row>
    <row r="657" ht="15.75" customHeight="1">
      <c r="A657" s="72" t="s">
        <v>1520</v>
      </c>
      <c r="B657" s="73" t="s">
        <v>15</v>
      </c>
      <c r="C657" s="73" t="s">
        <v>135</v>
      </c>
      <c r="D657" s="74" t="s">
        <v>43</v>
      </c>
      <c r="E657" s="75" t="s">
        <v>75</v>
      </c>
      <c r="F657" s="72" t="s">
        <v>331</v>
      </c>
      <c r="G657" s="72" t="s">
        <v>379</v>
      </c>
      <c r="H657" s="76" t="s">
        <v>129</v>
      </c>
      <c r="I657" s="76" t="s">
        <v>22</v>
      </c>
      <c r="J657" s="77" t="s">
        <v>23</v>
      </c>
      <c r="K657" s="77" t="s">
        <v>49</v>
      </c>
    </row>
    <row r="658" ht="15.75" customHeight="1">
      <c r="A658" s="72" t="s">
        <v>1521</v>
      </c>
      <c r="B658" s="73" t="s">
        <v>905</v>
      </c>
      <c r="C658" s="73" t="s">
        <v>514</v>
      </c>
      <c r="D658" s="74" t="s">
        <v>43</v>
      </c>
      <c r="E658" s="75" t="s">
        <v>693</v>
      </c>
      <c r="F658" s="72" t="s">
        <v>826</v>
      </c>
      <c r="G658" s="72" t="s">
        <v>834</v>
      </c>
      <c r="H658" s="76" t="s">
        <v>154</v>
      </c>
      <c r="I658" s="76" t="s">
        <v>130</v>
      </c>
      <c r="J658" s="77" t="s">
        <v>48</v>
      </c>
      <c r="K658" s="77" t="s">
        <v>907</v>
      </c>
    </row>
    <row r="659" ht="15.75" customHeight="1">
      <c r="A659" s="72" t="s">
        <v>1522</v>
      </c>
      <c r="B659" s="73" t="s">
        <v>1048</v>
      </c>
      <c r="C659" s="73" t="s">
        <v>496</v>
      </c>
      <c r="D659" s="74" t="s">
        <v>17</v>
      </c>
      <c r="E659" s="75" t="s">
        <v>1112</v>
      </c>
      <c r="F659" s="72" t="s">
        <v>894</v>
      </c>
      <c r="G659" s="72" t="s">
        <v>556</v>
      </c>
      <c r="H659" s="76" t="s">
        <v>21</v>
      </c>
      <c r="I659" s="76" t="s">
        <v>97</v>
      </c>
      <c r="J659" s="77" t="s">
        <v>81</v>
      </c>
      <c r="K659" s="77" t="s">
        <v>24</v>
      </c>
    </row>
    <row r="660" ht="15.75" customHeight="1">
      <c r="A660" s="72" t="s">
        <v>1523</v>
      </c>
      <c r="B660" s="73" t="s">
        <v>1048</v>
      </c>
      <c r="C660" s="73" t="s">
        <v>158</v>
      </c>
      <c r="D660" s="74" t="s">
        <v>17</v>
      </c>
      <c r="E660" s="75" t="s">
        <v>800</v>
      </c>
      <c r="F660" s="72" t="s">
        <v>788</v>
      </c>
      <c r="G660" s="72" t="s">
        <v>875</v>
      </c>
      <c r="H660" s="76" t="s">
        <v>34</v>
      </c>
      <c r="I660" s="76" t="s">
        <v>105</v>
      </c>
      <c r="J660" s="77" t="s">
        <v>23</v>
      </c>
      <c r="K660" s="77" t="s">
        <v>528</v>
      </c>
    </row>
    <row r="661" ht="15.75" customHeight="1">
      <c r="A661" s="72" t="s">
        <v>1524</v>
      </c>
      <c r="B661" s="73" t="s">
        <v>521</v>
      </c>
      <c r="C661" s="73">
        <v>7.76784319E8</v>
      </c>
      <c r="D661" s="74" t="s">
        <v>17</v>
      </c>
      <c r="E661" s="75" t="s">
        <v>954</v>
      </c>
      <c r="F661" s="72" t="s">
        <v>292</v>
      </c>
      <c r="G661" s="72" t="s">
        <v>20</v>
      </c>
      <c r="H661" s="76" t="s">
        <v>447</v>
      </c>
      <c r="I661" s="76" t="s">
        <v>113</v>
      </c>
      <c r="J661" s="77" t="s">
        <v>81</v>
      </c>
      <c r="K661" s="77" t="s">
        <v>822</v>
      </c>
    </row>
    <row r="662" ht="15.75" customHeight="1">
      <c r="A662" s="72" t="s">
        <v>1525</v>
      </c>
      <c r="B662" s="73" t="s">
        <v>15</v>
      </c>
      <c r="C662" s="73">
        <v>7.77268174E8</v>
      </c>
      <c r="D662" s="74" t="s">
        <v>43</v>
      </c>
      <c r="E662" s="75" t="s">
        <v>1117</v>
      </c>
      <c r="F662" s="72" t="s">
        <v>1051</v>
      </c>
      <c r="G662" s="72" t="s">
        <v>829</v>
      </c>
      <c r="H662" s="76" t="s">
        <v>535</v>
      </c>
      <c r="I662" s="76" t="s">
        <v>130</v>
      </c>
      <c r="J662" s="77" t="s">
        <v>23</v>
      </c>
      <c r="K662" s="77" t="s">
        <v>1122</v>
      </c>
    </row>
    <row r="663" ht="15.75" customHeight="1">
      <c r="A663" s="72" t="s">
        <v>1526</v>
      </c>
      <c r="B663" s="73" t="s">
        <v>905</v>
      </c>
      <c r="C663" s="73" t="s">
        <v>872</v>
      </c>
      <c r="D663" s="74" t="s">
        <v>43</v>
      </c>
      <c r="E663" s="75" t="s">
        <v>772</v>
      </c>
      <c r="F663" s="72" t="s">
        <v>76</v>
      </c>
      <c r="G663" s="72" t="s">
        <v>960</v>
      </c>
      <c r="H663" s="76" t="s">
        <v>477</v>
      </c>
      <c r="I663" s="76" t="s">
        <v>22</v>
      </c>
      <c r="J663" s="77" t="s">
        <v>48</v>
      </c>
      <c r="K663" s="77" t="s">
        <v>105</v>
      </c>
    </row>
    <row r="664" ht="15.75" customHeight="1">
      <c r="A664" s="72" t="s">
        <v>1527</v>
      </c>
      <c r="B664" s="73" t="s">
        <v>376</v>
      </c>
      <c r="C664" s="73" t="s">
        <v>327</v>
      </c>
      <c r="D664" s="74" t="s">
        <v>17</v>
      </c>
      <c r="E664" s="75" t="s">
        <v>1212</v>
      </c>
      <c r="F664" s="72" t="s">
        <v>801</v>
      </c>
      <c r="G664" s="72" t="s">
        <v>1246</v>
      </c>
      <c r="H664" s="76" t="s">
        <v>477</v>
      </c>
      <c r="I664" s="76" t="s">
        <v>485</v>
      </c>
      <c r="J664" s="77" t="s">
        <v>562</v>
      </c>
      <c r="K664" s="77" t="s">
        <v>1239</v>
      </c>
    </row>
    <row r="665" ht="15.75" customHeight="1">
      <c r="A665" s="72" t="s">
        <v>1528</v>
      </c>
      <c r="B665" s="73" t="s">
        <v>15</v>
      </c>
      <c r="C665" s="73">
        <v>7.3863527E8</v>
      </c>
      <c r="D665" s="74" t="s">
        <v>17</v>
      </c>
      <c r="E665" s="75" t="s">
        <v>893</v>
      </c>
      <c r="F665" s="72" t="s">
        <v>19</v>
      </c>
      <c r="G665" s="72" t="s">
        <v>615</v>
      </c>
      <c r="H665" s="76" t="s">
        <v>40</v>
      </c>
      <c r="I665" s="76" t="s">
        <v>1336</v>
      </c>
      <c r="J665" s="77" t="s">
        <v>23</v>
      </c>
      <c r="K665" s="77" t="s">
        <v>601</v>
      </c>
    </row>
    <row r="666" ht="15.75" customHeight="1">
      <c r="A666" s="72" t="s">
        <v>1529</v>
      </c>
      <c r="B666" s="73" t="s">
        <v>905</v>
      </c>
      <c r="C666" s="73" t="s">
        <v>1005</v>
      </c>
      <c r="D666" s="74" t="s">
        <v>17</v>
      </c>
      <c r="E666" s="75" t="s">
        <v>693</v>
      </c>
      <c r="F666" s="72" t="s">
        <v>1066</v>
      </c>
      <c r="G666" s="72" t="s">
        <v>1032</v>
      </c>
      <c r="H666" s="76" t="s">
        <v>932</v>
      </c>
      <c r="I666" s="76" t="s">
        <v>22</v>
      </c>
      <c r="J666" s="77" t="s">
        <v>89</v>
      </c>
      <c r="K666" s="77" t="s">
        <v>563</v>
      </c>
    </row>
    <row r="667" ht="15.75" customHeight="1">
      <c r="A667" s="72" t="s">
        <v>1530</v>
      </c>
      <c r="B667" s="73" t="s">
        <v>15</v>
      </c>
      <c r="C667" s="73" t="s">
        <v>257</v>
      </c>
      <c r="D667" s="74" t="s">
        <v>17</v>
      </c>
      <c r="E667" s="75" t="s">
        <v>1287</v>
      </c>
      <c r="F667" s="72" t="s">
        <v>254</v>
      </c>
      <c r="G667" s="72" t="s">
        <v>887</v>
      </c>
      <c r="H667" s="76" t="s">
        <v>129</v>
      </c>
      <c r="I667" s="76" t="s">
        <v>97</v>
      </c>
      <c r="J667" s="77" t="s">
        <v>48</v>
      </c>
      <c r="K667" s="77" t="s">
        <v>775</v>
      </c>
    </row>
    <row r="668" ht="15.75" customHeight="1">
      <c r="A668" s="72" t="s">
        <v>1531</v>
      </c>
      <c r="B668" s="73" t="s">
        <v>521</v>
      </c>
      <c r="C668" s="73">
        <v>7.9117303E8</v>
      </c>
      <c r="D668" s="74" t="s">
        <v>43</v>
      </c>
      <c r="E668" s="75" t="s">
        <v>900</v>
      </c>
      <c r="F668" s="72" t="s">
        <v>683</v>
      </c>
      <c r="G668" s="72" t="s">
        <v>1063</v>
      </c>
      <c r="H668" s="76" t="s">
        <v>129</v>
      </c>
      <c r="I668" s="76" t="s">
        <v>22</v>
      </c>
      <c r="J668" s="77" t="s">
        <v>48</v>
      </c>
      <c r="K668" s="77" t="s">
        <v>211</v>
      </c>
    </row>
    <row r="669" ht="15.75" customHeight="1">
      <c r="A669" s="72" t="s">
        <v>1532</v>
      </c>
      <c r="B669" s="73" t="s">
        <v>376</v>
      </c>
      <c r="C669" s="73" t="s">
        <v>372</v>
      </c>
      <c r="D669" s="74" t="s">
        <v>17</v>
      </c>
      <c r="E669" s="75" t="s">
        <v>463</v>
      </c>
      <c r="F669" s="72" t="s">
        <v>1062</v>
      </c>
      <c r="G669" s="72" t="s">
        <v>145</v>
      </c>
      <c r="H669" s="76" t="s">
        <v>34</v>
      </c>
      <c r="I669" s="76" t="s">
        <v>22</v>
      </c>
      <c r="J669" s="77" t="s">
        <v>48</v>
      </c>
      <c r="K669" s="77" t="s">
        <v>98</v>
      </c>
    </row>
    <row r="670" ht="15.75" customHeight="1">
      <c r="A670" s="72" t="s">
        <v>1533</v>
      </c>
      <c r="B670" s="73" t="s">
        <v>905</v>
      </c>
      <c r="C670" s="73" t="s">
        <v>992</v>
      </c>
      <c r="D670" s="74" t="s">
        <v>17</v>
      </c>
      <c r="E670" s="75" t="s">
        <v>670</v>
      </c>
      <c r="F670" s="72" t="s">
        <v>826</v>
      </c>
      <c r="G670" s="72" t="s">
        <v>418</v>
      </c>
      <c r="H670" s="76" t="s">
        <v>54</v>
      </c>
      <c r="I670" s="76" t="s">
        <v>29</v>
      </c>
      <c r="J670" s="77" t="s">
        <v>48</v>
      </c>
      <c r="K670" s="77" t="s">
        <v>211</v>
      </c>
    </row>
    <row r="671" ht="15.75" customHeight="1">
      <c r="A671" s="72" t="s">
        <v>1534</v>
      </c>
      <c r="B671" s="73" t="s">
        <v>521</v>
      </c>
      <c r="C671" s="73" t="s">
        <v>51</v>
      </c>
      <c r="D671" s="74" t="s">
        <v>17</v>
      </c>
      <c r="E671" s="75" t="s">
        <v>1013</v>
      </c>
      <c r="F671" s="72" t="s">
        <v>641</v>
      </c>
      <c r="G671" s="72" t="s">
        <v>337</v>
      </c>
      <c r="H671" s="76" t="s">
        <v>678</v>
      </c>
      <c r="I671" s="76" t="s">
        <v>97</v>
      </c>
      <c r="J671" s="77" t="s">
        <v>562</v>
      </c>
      <c r="K671" s="77" t="s">
        <v>1052</v>
      </c>
    </row>
    <row r="672" ht="15.75" customHeight="1">
      <c r="A672" s="72" t="s">
        <v>1535</v>
      </c>
      <c r="B672" s="73" t="s">
        <v>15</v>
      </c>
      <c r="C672" s="73" t="s">
        <v>692</v>
      </c>
      <c r="D672" s="74" t="s">
        <v>43</v>
      </c>
      <c r="E672" s="75" t="s">
        <v>522</v>
      </c>
      <c r="F672" s="72" t="s">
        <v>39</v>
      </c>
      <c r="G672" s="72" t="s">
        <v>379</v>
      </c>
      <c r="H672" s="76" t="s">
        <v>59</v>
      </c>
      <c r="I672" s="76" t="s">
        <v>201</v>
      </c>
      <c r="J672" s="77" t="s">
        <v>277</v>
      </c>
      <c r="K672" s="77" t="s">
        <v>523</v>
      </c>
    </row>
    <row r="673" ht="15.75" customHeight="1">
      <c r="A673" s="72" t="s">
        <v>1536</v>
      </c>
      <c r="B673" s="73" t="s">
        <v>15</v>
      </c>
      <c r="C673" s="73">
        <v>7.39238331E8</v>
      </c>
      <c r="D673" s="74" t="s">
        <v>17</v>
      </c>
      <c r="E673" s="75" t="s">
        <v>204</v>
      </c>
      <c r="F673" s="72" t="s">
        <v>824</v>
      </c>
      <c r="G673" s="72" t="s">
        <v>199</v>
      </c>
      <c r="H673" s="76" t="s">
        <v>59</v>
      </c>
      <c r="I673" s="76" t="s">
        <v>105</v>
      </c>
      <c r="J673" s="77" t="s">
        <v>23</v>
      </c>
      <c r="K673" s="77" t="s">
        <v>49</v>
      </c>
    </row>
    <row r="674" ht="15.75" customHeight="1">
      <c r="A674" s="72" t="s">
        <v>1537</v>
      </c>
      <c r="B674" s="73" t="s">
        <v>521</v>
      </c>
      <c r="C674" s="73" t="s">
        <v>664</v>
      </c>
      <c r="D674" s="74" t="s">
        <v>43</v>
      </c>
      <c r="E674" s="75" t="s">
        <v>1212</v>
      </c>
      <c r="F674" s="72" t="s">
        <v>1220</v>
      </c>
      <c r="G674" s="72" t="s">
        <v>699</v>
      </c>
      <c r="H674" s="76" t="s">
        <v>104</v>
      </c>
      <c r="I674" s="76" t="s">
        <v>105</v>
      </c>
      <c r="J674" s="77" t="s">
        <v>48</v>
      </c>
      <c r="K674" s="77" t="s">
        <v>963</v>
      </c>
    </row>
    <row r="675" ht="15.75" customHeight="1">
      <c r="A675" s="72" t="s">
        <v>1538</v>
      </c>
      <c r="B675" s="73" t="s">
        <v>15</v>
      </c>
      <c r="C675" s="73" t="s">
        <v>1140</v>
      </c>
      <c r="D675" s="74" t="s">
        <v>43</v>
      </c>
      <c r="E675" s="75" t="s">
        <v>951</v>
      </c>
      <c r="F675" s="72" t="s">
        <v>275</v>
      </c>
      <c r="G675" s="72" t="s">
        <v>827</v>
      </c>
      <c r="H675" s="76" t="s">
        <v>112</v>
      </c>
      <c r="I675" s="76" t="s">
        <v>130</v>
      </c>
      <c r="J675" s="77" t="s">
        <v>48</v>
      </c>
      <c r="K675" s="77" t="s">
        <v>684</v>
      </c>
    </row>
    <row r="676" ht="15.75" customHeight="1">
      <c r="A676" s="72" t="s">
        <v>1539</v>
      </c>
      <c r="B676" s="73" t="s">
        <v>905</v>
      </c>
      <c r="C676" s="73" t="s">
        <v>232</v>
      </c>
      <c r="D676" s="74" t="s">
        <v>17</v>
      </c>
      <c r="E676" s="75" t="s">
        <v>1093</v>
      </c>
      <c r="F676" s="72" t="s">
        <v>1245</v>
      </c>
      <c r="G676" s="72" t="s">
        <v>128</v>
      </c>
      <c r="H676" s="76" t="s">
        <v>541</v>
      </c>
      <c r="I676" s="76" t="s">
        <v>130</v>
      </c>
      <c r="J676" s="77" t="s">
        <v>23</v>
      </c>
      <c r="K676" s="77" t="s">
        <v>49</v>
      </c>
    </row>
    <row r="677" ht="15.75" customHeight="1">
      <c r="A677" s="72" t="s">
        <v>1540</v>
      </c>
      <c r="B677" s="73" t="s">
        <v>905</v>
      </c>
      <c r="C677" s="73">
        <v>7.94963357E8</v>
      </c>
      <c r="D677" s="74" t="s">
        <v>43</v>
      </c>
      <c r="E677" s="75" t="s">
        <v>38</v>
      </c>
      <c r="F677" s="72" t="s">
        <v>461</v>
      </c>
      <c r="G677" s="72" t="s">
        <v>226</v>
      </c>
      <c r="H677" s="76" t="s">
        <v>129</v>
      </c>
      <c r="I677" s="76" t="s">
        <v>47</v>
      </c>
      <c r="J677" s="77" t="s">
        <v>562</v>
      </c>
      <c r="K677" s="77" t="s">
        <v>49</v>
      </c>
    </row>
    <row r="678" ht="15.75" customHeight="1">
      <c r="A678" s="72" t="s">
        <v>1541</v>
      </c>
      <c r="B678" s="73" t="s">
        <v>376</v>
      </c>
      <c r="C678" s="73" t="s">
        <v>232</v>
      </c>
      <c r="D678" s="74" t="s">
        <v>43</v>
      </c>
      <c r="E678" s="75" t="s">
        <v>313</v>
      </c>
      <c r="F678" s="72" t="s">
        <v>1062</v>
      </c>
      <c r="G678" s="72" t="s">
        <v>418</v>
      </c>
      <c r="H678" s="76" t="s">
        <v>104</v>
      </c>
      <c r="I678" s="76" t="s">
        <v>22</v>
      </c>
      <c r="J678" s="77" t="s">
        <v>48</v>
      </c>
      <c r="K678" s="77" t="s">
        <v>625</v>
      </c>
    </row>
    <row r="679" ht="15.75" customHeight="1">
      <c r="A679" s="72" t="s">
        <v>1542</v>
      </c>
      <c r="B679" s="73" t="s">
        <v>905</v>
      </c>
      <c r="C679" s="73" t="s">
        <v>639</v>
      </c>
      <c r="D679" s="74" t="s">
        <v>43</v>
      </c>
      <c r="E679" s="75" t="s">
        <v>126</v>
      </c>
      <c r="F679" s="72" t="s">
        <v>1034</v>
      </c>
      <c r="G679" s="72" t="s">
        <v>80</v>
      </c>
      <c r="H679" s="76" t="s">
        <v>349</v>
      </c>
      <c r="I679" s="76" t="s">
        <v>47</v>
      </c>
      <c r="J679" s="77" t="s">
        <v>48</v>
      </c>
      <c r="K679" s="77" t="s">
        <v>169</v>
      </c>
    </row>
    <row r="680" ht="15.75" customHeight="1">
      <c r="A680" s="72" t="s">
        <v>1543</v>
      </c>
      <c r="B680" s="73" t="s">
        <v>1048</v>
      </c>
      <c r="C680" s="73" t="s">
        <v>31</v>
      </c>
      <c r="D680" s="74" t="s">
        <v>17</v>
      </c>
      <c r="E680" s="75" t="s">
        <v>964</v>
      </c>
      <c r="F680" s="72" t="s">
        <v>45</v>
      </c>
      <c r="G680" s="72" t="s">
        <v>418</v>
      </c>
      <c r="H680" s="76" t="s">
        <v>544</v>
      </c>
      <c r="I680" s="76" t="s">
        <v>201</v>
      </c>
      <c r="J680" s="77" t="s">
        <v>48</v>
      </c>
      <c r="K680" s="77" t="s">
        <v>393</v>
      </c>
    </row>
    <row r="681" ht="15.75" customHeight="1">
      <c r="A681" s="72" t="s">
        <v>1544</v>
      </c>
      <c r="B681" s="73" t="s">
        <v>905</v>
      </c>
      <c r="C681" s="73" t="s">
        <v>652</v>
      </c>
      <c r="D681" s="74" t="s">
        <v>17</v>
      </c>
      <c r="E681" s="75" t="s">
        <v>902</v>
      </c>
      <c r="F681" s="72" t="s">
        <v>432</v>
      </c>
      <c r="G681" s="72" t="s">
        <v>229</v>
      </c>
      <c r="H681" s="76" t="s">
        <v>541</v>
      </c>
      <c r="I681" s="76" t="s">
        <v>485</v>
      </c>
      <c r="J681" s="77" t="s">
        <v>562</v>
      </c>
      <c r="K681" s="77" t="s">
        <v>616</v>
      </c>
    </row>
    <row r="682" ht="15.75" customHeight="1">
      <c r="A682" s="72" t="s">
        <v>1545</v>
      </c>
      <c r="B682" s="73" t="s">
        <v>376</v>
      </c>
      <c r="C682" s="73" t="s">
        <v>412</v>
      </c>
      <c r="D682" s="74" t="s">
        <v>17</v>
      </c>
      <c r="E682" s="75" t="s">
        <v>101</v>
      </c>
      <c r="F682" s="72" t="s">
        <v>722</v>
      </c>
      <c r="G682" s="72" t="s">
        <v>392</v>
      </c>
      <c r="H682" s="76" t="s">
        <v>610</v>
      </c>
      <c r="I682" s="76" t="s">
        <v>22</v>
      </c>
      <c r="J682" s="77" t="s">
        <v>562</v>
      </c>
      <c r="K682" s="77" t="s">
        <v>528</v>
      </c>
    </row>
    <row r="683" ht="15.75" customHeight="1">
      <c r="A683" s="72" t="s">
        <v>1546</v>
      </c>
      <c r="B683" s="73" t="s">
        <v>905</v>
      </c>
      <c r="C683" s="73" t="s">
        <v>257</v>
      </c>
      <c r="D683" s="74" t="s">
        <v>43</v>
      </c>
      <c r="E683" s="75" t="s">
        <v>1026</v>
      </c>
      <c r="F683" s="72" t="s">
        <v>809</v>
      </c>
      <c r="G683" s="72" t="s">
        <v>379</v>
      </c>
      <c r="H683" s="76" t="s">
        <v>54</v>
      </c>
      <c r="I683" s="76" t="s">
        <v>22</v>
      </c>
      <c r="J683" s="77" t="s">
        <v>48</v>
      </c>
      <c r="K683" s="77" t="s">
        <v>907</v>
      </c>
    </row>
    <row r="684" ht="15.75" customHeight="1">
      <c r="A684" s="72" t="s">
        <v>1547</v>
      </c>
      <c r="B684" s="73" t="s">
        <v>376</v>
      </c>
      <c r="C684" s="73">
        <v>7.30807114E8</v>
      </c>
      <c r="D684" s="74" t="s">
        <v>43</v>
      </c>
      <c r="E684" s="75" t="s">
        <v>425</v>
      </c>
      <c r="F684" s="72" t="s">
        <v>677</v>
      </c>
      <c r="G684" s="72" t="s">
        <v>1164</v>
      </c>
      <c r="H684" s="76" t="s">
        <v>54</v>
      </c>
      <c r="I684" s="76" t="s">
        <v>22</v>
      </c>
      <c r="J684" s="77" t="s">
        <v>23</v>
      </c>
      <c r="K684" s="77" t="s">
        <v>49</v>
      </c>
    </row>
    <row r="685" ht="15.75" customHeight="1">
      <c r="A685" s="72" t="s">
        <v>1548</v>
      </c>
      <c r="B685" s="73" t="s">
        <v>1048</v>
      </c>
      <c r="C685" s="73">
        <v>7.11704542E8</v>
      </c>
      <c r="D685" s="74" t="s">
        <v>43</v>
      </c>
      <c r="E685" s="75" t="s">
        <v>1050</v>
      </c>
      <c r="F685" s="72" t="s">
        <v>1003</v>
      </c>
      <c r="G685" s="72" t="s">
        <v>556</v>
      </c>
      <c r="H685" s="76" t="s">
        <v>21</v>
      </c>
      <c r="I685" s="76" t="s">
        <v>105</v>
      </c>
      <c r="J685" s="77" t="s">
        <v>761</v>
      </c>
      <c r="K685" s="77" t="s">
        <v>907</v>
      </c>
    </row>
    <row r="686" ht="15.75" customHeight="1">
      <c r="A686" s="72" t="s">
        <v>1549</v>
      </c>
      <c r="B686" s="73" t="s">
        <v>15</v>
      </c>
      <c r="C686" s="73" t="s">
        <v>1265</v>
      </c>
      <c r="D686" s="74" t="s">
        <v>43</v>
      </c>
      <c r="E686" s="75" t="s">
        <v>1120</v>
      </c>
      <c r="F686" s="72" t="s">
        <v>1195</v>
      </c>
      <c r="G686" s="72" t="s">
        <v>72</v>
      </c>
      <c r="H686" s="76" t="s">
        <v>54</v>
      </c>
      <c r="I686" s="76" t="s">
        <v>105</v>
      </c>
      <c r="J686" s="77" t="s">
        <v>23</v>
      </c>
      <c r="K686" s="77" t="s">
        <v>1065</v>
      </c>
    </row>
    <row r="687" ht="15.75" customHeight="1">
      <c r="A687" s="72" t="s">
        <v>1550</v>
      </c>
      <c r="B687" s="73" t="s">
        <v>521</v>
      </c>
      <c r="C687" s="73">
        <v>7.10524767E8</v>
      </c>
      <c r="D687" s="74" t="s">
        <v>17</v>
      </c>
      <c r="E687" s="75" t="s">
        <v>214</v>
      </c>
      <c r="F687" s="72" t="s">
        <v>845</v>
      </c>
      <c r="G687" s="72" t="s">
        <v>379</v>
      </c>
      <c r="H687" s="76" t="s">
        <v>610</v>
      </c>
      <c r="I687" s="76" t="s">
        <v>113</v>
      </c>
      <c r="J687" s="77" t="s">
        <v>48</v>
      </c>
      <c r="K687" s="77" t="s">
        <v>49</v>
      </c>
    </row>
    <row r="688" ht="15.75" customHeight="1">
      <c r="A688" s="72" t="s">
        <v>1551</v>
      </c>
      <c r="B688" s="73" t="s">
        <v>905</v>
      </c>
      <c r="C688" s="73" t="s">
        <v>714</v>
      </c>
      <c r="D688" s="74" t="s">
        <v>43</v>
      </c>
      <c r="E688" s="75" t="s">
        <v>786</v>
      </c>
      <c r="F688" s="72" t="s">
        <v>760</v>
      </c>
      <c r="G688" s="72" t="s">
        <v>418</v>
      </c>
      <c r="H688" s="76" t="s">
        <v>241</v>
      </c>
      <c r="I688" s="76" t="s">
        <v>130</v>
      </c>
      <c r="J688" s="77" t="s">
        <v>48</v>
      </c>
      <c r="K688" s="77" t="s">
        <v>616</v>
      </c>
    </row>
    <row r="689" ht="15.75" customHeight="1">
      <c r="A689" s="72" t="s">
        <v>1552</v>
      </c>
      <c r="B689" s="73" t="s">
        <v>521</v>
      </c>
      <c r="C689" s="73">
        <v>7.56931186E8</v>
      </c>
      <c r="D689" s="74" t="s">
        <v>17</v>
      </c>
      <c r="E689" s="75" t="s">
        <v>291</v>
      </c>
      <c r="F689" s="72" t="s">
        <v>653</v>
      </c>
      <c r="G689" s="72" t="s">
        <v>199</v>
      </c>
      <c r="H689" s="76" t="s">
        <v>200</v>
      </c>
      <c r="I689" s="76" t="s">
        <v>201</v>
      </c>
      <c r="J689" s="77" t="s">
        <v>48</v>
      </c>
      <c r="K689" s="77" t="s">
        <v>49</v>
      </c>
    </row>
    <row r="690" ht="15.75" customHeight="1">
      <c r="A690" s="72" t="s">
        <v>1553</v>
      </c>
      <c r="B690" s="73" t="s">
        <v>376</v>
      </c>
      <c r="C690" s="73" t="s">
        <v>1224</v>
      </c>
      <c r="D690" s="74" t="s">
        <v>43</v>
      </c>
      <c r="E690" s="75" t="s">
        <v>746</v>
      </c>
      <c r="F690" s="72" t="s">
        <v>766</v>
      </c>
      <c r="G690" s="72" t="s">
        <v>446</v>
      </c>
      <c r="H690" s="76" t="s">
        <v>678</v>
      </c>
      <c r="I690" s="76" t="s">
        <v>130</v>
      </c>
      <c r="J690" s="77" t="s">
        <v>48</v>
      </c>
      <c r="K690" s="77" t="s">
        <v>892</v>
      </c>
    </row>
    <row r="691" ht="15.75" customHeight="1">
      <c r="A691" s="72" t="s">
        <v>1554</v>
      </c>
      <c r="B691" s="73" t="s">
        <v>521</v>
      </c>
      <c r="C691" s="73" t="s">
        <v>295</v>
      </c>
      <c r="D691" s="74" t="s">
        <v>43</v>
      </c>
      <c r="E691" s="75" t="s">
        <v>121</v>
      </c>
      <c r="F691" s="72" t="s">
        <v>45</v>
      </c>
      <c r="G691" s="72" t="s">
        <v>556</v>
      </c>
      <c r="H691" s="76" t="s">
        <v>34</v>
      </c>
      <c r="I691" s="76" t="s">
        <v>22</v>
      </c>
      <c r="J691" s="77" t="s">
        <v>48</v>
      </c>
      <c r="K691" s="77" t="s">
        <v>1152</v>
      </c>
    </row>
    <row r="692" ht="15.75" customHeight="1">
      <c r="A692" s="72" t="s">
        <v>1555</v>
      </c>
      <c r="B692" s="73" t="s">
        <v>521</v>
      </c>
      <c r="C692" s="73">
        <v>7.10074871E8</v>
      </c>
      <c r="D692" s="74" t="s">
        <v>17</v>
      </c>
      <c r="E692" s="75" t="s">
        <v>428</v>
      </c>
      <c r="F692" s="72" t="s">
        <v>653</v>
      </c>
      <c r="G692" s="72" t="s">
        <v>111</v>
      </c>
      <c r="H692" s="76" t="s">
        <v>118</v>
      </c>
      <c r="I692" s="76" t="s">
        <v>47</v>
      </c>
      <c r="J692" s="77" t="s">
        <v>48</v>
      </c>
      <c r="K692" s="77" t="s">
        <v>49</v>
      </c>
    </row>
    <row r="693" ht="15.75" customHeight="1">
      <c r="A693" s="72" t="s">
        <v>1556</v>
      </c>
      <c r="B693" s="73" t="s">
        <v>376</v>
      </c>
      <c r="C693" s="73" t="s">
        <v>863</v>
      </c>
      <c r="D693" s="74" t="s">
        <v>43</v>
      </c>
      <c r="E693" s="75" t="s">
        <v>964</v>
      </c>
      <c r="F693" s="72" t="s">
        <v>731</v>
      </c>
      <c r="G693" s="72" t="s">
        <v>1151</v>
      </c>
      <c r="H693" s="76" t="s">
        <v>447</v>
      </c>
      <c r="I693" s="76" t="s">
        <v>22</v>
      </c>
      <c r="J693" s="77" t="s">
        <v>23</v>
      </c>
      <c r="K693" s="77" t="s">
        <v>24</v>
      </c>
    </row>
    <row r="694" ht="15.75" customHeight="1">
      <c r="A694" s="72" t="s">
        <v>1557</v>
      </c>
      <c r="B694" s="73" t="s">
        <v>521</v>
      </c>
      <c r="C694" s="73" t="s">
        <v>1088</v>
      </c>
      <c r="D694" s="74" t="s">
        <v>17</v>
      </c>
      <c r="E694" s="75" t="s">
        <v>737</v>
      </c>
      <c r="F694" s="72" t="s">
        <v>842</v>
      </c>
      <c r="G694" s="72" t="s">
        <v>813</v>
      </c>
      <c r="H694" s="76" t="s">
        <v>77</v>
      </c>
      <c r="I694" s="76" t="s">
        <v>130</v>
      </c>
      <c r="J694" s="77" t="s">
        <v>23</v>
      </c>
      <c r="K694" s="77" t="s">
        <v>49</v>
      </c>
    </row>
    <row r="695" ht="15.75" customHeight="1">
      <c r="A695" s="72" t="s">
        <v>1558</v>
      </c>
      <c r="B695" s="73" t="s">
        <v>521</v>
      </c>
      <c r="C695" s="73" t="s">
        <v>1007</v>
      </c>
      <c r="D695" s="74" t="s">
        <v>43</v>
      </c>
      <c r="E695" s="75" t="s">
        <v>27</v>
      </c>
      <c r="F695" s="72" t="s">
        <v>614</v>
      </c>
      <c r="G695" s="72" t="s">
        <v>418</v>
      </c>
      <c r="H695" s="76" t="s">
        <v>276</v>
      </c>
      <c r="I695" s="76" t="s">
        <v>130</v>
      </c>
      <c r="J695" s="77" t="s">
        <v>23</v>
      </c>
      <c r="K695" s="77" t="s">
        <v>942</v>
      </c>
    </row>
    <row r="696" ht="15.75" customHeight="1">
      <c r="A696" s="72" t="s">
        <v>1559</v>
      </c>
      <c r="B696" s="73" t="s">
        <v>905</v>
      </c>
      <c r="C696" s="73" t="s">
        <v>1124</v>
      </c>
      <c r="D696" s="74" t="s">
        <v>43</v>
      </c>
      <c r="E696" s="75" t="s">
        <v>1084</v>
      </c>
      <c r="F696" s="72" t="s">
        <v>1014</v>
      </c>
      <c r="G696" s="72" t="s">
        <v>111</v>
      </c>
      <c r="H696" s="76" t="s">
        <v>34</v>
      </c>
      <c r="I696" s="76" t="s">
        <v>739</v>
      </c>
      <c r="J696" s="77" t="s">
        <v>48</v>
      </c>
      <c r="K696" s="77" t="s">
        <v>211</v>
      </c>
    </row>
    <row r="697" ht="15.75" customHeight="1">
      <c r="A697" s="72" t="s">
        <v>1560</v>
      </c>
      <c r="B697" s="73" t="s">
        <v>1048</v>
      </c>
      <c r="C697" s="73" t="s">
        <v>84</v>
      </c>
      <c r="D697" s="74" t="s">
        <v>17</v>
      </c>
      <c r="E697" s="75" t="s">
        <v>274</v>
      </c>
      <c r="F697" s="72" t="s">
        <v>432</v>
      </c>
      <c r="G697" s="72" t="s">
        <v>1028</v>
      </c>
      <c r="H697" s="76" t="s">
        <v>248</v>
      </c>
      <c r="I697" s="76" t="s">
        <v>22</v>
      </c>
      <c r="J697" s="77" t="s">
        <v>48</v>
      </c>
      <c r="K697" s="77" t="s">
        <v>1268</v>
      </c>
    </row>
    <row r="698" ht="15.75" customHeight="1">
      <c r="A698" s="72" t="s">
        <v>1561</v>
      </c>
      <c r="B698" s="73" t="s">
        <v>376</v>
      </c>
      <c r="C698" s="73">
        <v>7.5784006E8</v>
      </c>
      <c r="D698" s="74" t="s">
        <v>17</v>
      </c>
      <c r="E698" s="75" t="s">
        <v>1084</v>
      </c>
      <c r="F698" s="72" t="s">
        <v>738</v>
      </c>
      <c r="G698" s="72" t="s">
        <v>1052</v>
      </c>
      <c r="H698" s="76" t="s">
        <v>34</v>
      </c>
      <c r="I698" s="76" t="s">
        <v>1196</v>
      </c>
      <c r="J698" s="77" t="s">
        <v>48</v>
      </c>
      <c r="K698" s="77" t="s">
        <v>542</v>
      </c>
    </row>
    <row r="699" ht="15.75" customHeight="1">
      <c r="A699" s="72" t="s">
        <v>1562</v>
      </c>
      <c r="B699" s="73" t="s">
        <v>521</v>
      </c>
      <c r="C699" s="73">
        <v>7.75126029E8</v>
      </c>
      <c r="D699" s="74" t="s">
        <v>17</v>
      </c>
      <c r="E699" s="75" t="s">
        <v>805</v>
      </c>
      <c r="F699" s="72" t="s">
        <v>1109</v>
      </c>
      <c r="G699" s="72" t="s">
        <v>382</v>
      </c>
      <c r="H699" s="76" t="s">
        <v>359</v>
      </c>
      <c r="I699" s="76" t="s">
        <v>97</v>
      </c>
      <c r="J699" s="77" t="s">
        <v>23</v>
      </c>
      <c r="K699" s="77" t="s">
        <v>24</v>
      </c>
    </row>
    <row r="700" ht="15.75" customHeight="1">
      <c r="A700" s="72" t="s">
        <v>1563</v>
      </c>
      <c r="B700" s="73" t="s">
        <v>376</v>
      </c>
      <c r="C700" s="73" t="s">
        <v>1077</v>
      </c>
      <c r="D700" s="74" t="s">
        <v>43</v>
      </c>
      <c r="E700" s="75" t="s">
        <v>204</v>
      </c>
      <c r="F700" s="72" t="s">
        <v>763</v>
      </c>
      <c r="G700" s="72" t="s">
        <v>875</v>
      </c>
      <c r="H700" s="76" t="s">
        <v>34</v>
      </c>
      <c r="I700" s="76" t="s">
        <v>97</v>
      </c>
      <c r="J700" s="77" t="s">
        <v>48</v>
      </c>
      <c r="K700" s="77" t="s">
        <v>49</v>
      </c>
    </row>
    <row r="701" ht="15.75" customHeight="1">
      <c r="A701" s="72" t="s">
        <v>1564</v>
      </c>
      <c r="B701" s="73" t="s">
        <v>376</v>
      </c>
      <c r="C701" s="73">
        <v>7.5843203E8</v>
      </c>
      <c r="D701" s="74" t="s">
        <v>17</v>
      </c>
      <c r="E701" s="75" t="s">
        <v>470</v>
      </c>
      <c r="F701" s="72" t="s">
        <v>766</v>
      </c>
      <c r="G701" s="72" t="s">
        <v>1052</v>
      </c>
      <c r="H701" s="76" t="s">
        <v>34</v>
      </c>
      <c r="I701" s="76" t="s">
        <v>105</v>
      </c>
      <c r="J701" s="77" t="s">
        <v>48</v>
      </c>
      <c r="K701" s="77" t="s">
        <v>49</v>
      </c>
    </row>
    <row r="702" ht="15.75" customHeight="1">
      <c r="A702" s="72" t="s">
        <v>1565</v>
      </c>
      <c r="B702" s="73" t="s">
        <v>521</v>
      </c>
      <c r="C702" s="73" t="s">
        <v>1049</v>
      </c>
      <c r="D702" s="74" t="s">
        <v>43</v>
      </c>
      <c r="E702" s="75" t="s">
        <v>431</v>
      </c>
      <c r="F702" s="72" t="s">
        <v>941</v>
      </c>
      <c r="G702" s="72" t="s">
        <v>556</v>
      </c>
      <c r="H702" s="76" t="s">
        <v>34</v>
      </c>
      <c r="I702" s="76" t="s">
        <v>22</v>
      </c>
      <c r="J702" s="77" t="s">
        <v>48</v>
      </c>
      <c r="K702" s="77" t="s">
        <v>866</v>
      </c>
    </row>
    <row r="703" ht="15.75" customHeight="1">
      <c r="A703" s="72" t="s">
        <v>1566</v>
      </c>
      <c r="B703" s="73" t="s">
        <v>15</v>
      </c>
      <c r="C703" s="73" t="s">
        <v>1170</v>
      </c>
      <c r="D703" s="74" t="s">
        <v>17</v>
      </c>
      <c r="E703" s="75" t="s">
        <v>532</v>
      </c>
      <c r="F703" s="72" t="s">
        <v>1031</v>
      </c>
      <c r="G703" s="72" t="s">
        <v>979</v>
      </c>
      <c r="H703" s="76" t="s">
        <v>544</v>
      </c>
      <c r="I703" s="76" t="s">
        <v>22</v>
      </c>
      <c r="J703" s="77" t="s">
        <v>48</v>
      </c>
      <c r="K703" s="77" t="s">
        <v>278</v>
      </c>
    </row>
    <row r="704" ht="15.75" customHeight="1">
      <c r="A704" s="72" t="s">
        <v>1567</v>
      </c>
      <c r="B704" s="73" t="s">
        <v>905</v>
      </c>
      <c r="C704" s="73" t="s">
        <v>404</v>
      </c>
      <c r="D704" s="74" t="s">
        <v>17</v>
      </c>
      <c r="E704" s="75" t="s">
        <v>18</v>
      </c>
      <c r="F704" s="72" t="s">
        <v>614</v>
      </c>
      <c r="G704" s="72" t="s">
        <v>654</v>
      </c>
      <c r="H704" s="76" t="s">
        <v>59</v>
      </c>
      <c r="I704" s="76" t="s">
        <v>97</v>
      </c>
      <c r="J704" s="77" t="s">
        <v>23</v>
      </c>
      <c r="K704" s="77" t="s">
        <v>90</v>
      </c>
    </row>
    <row r="705" ht="15.75" customHeight="1">
      <c r="A705" s="72" t="s">
        <v>1568</v>
      </c>
      <c r="B705" s="73" t="s">
        <v>905</v>
      </c>
      <c r="C705" s="73" t="s">
        <v>1061</v>
      </c>
      <c r="D705" s="74" t="s">
        <v>17</v>
      </c>
      <c r="E705" s="75" t="s">
        <v>737</v>
      </c>
      <c r="F705" s="72" t="s">
        <v>247</v>
      </c>
      <c r="G705" s="72" t="s">
        <v>418</v>
      </c>
      <c r="H705" s="76" t="s">
        <v>332</v>
      </c>
      <c r="I705" s="76" t="s">
        <v>22</v>
      </c>
      <c r="J705" s="77" t="s">
        <v>48</v>
      </c>
      <c r="K705" s="77" t="s">
        <v>1239</v>
      </c>
    </row>
    <row r="706" ht="15.75" customHeight="1">
      <c r="A706" s="72" t="s">
        <v>1569</v>
      </c>
      <c r="B706" s="73" t="s">
        <v>905</v>
      </c>
      <c r="C706" s="73" t="s">
        <v>1124</v>
      </c>
      <c r="D706" s="74" t="s">
        <v>17</v>
      </c>
      <c r="E706" s="75" t="s">
        <v>208</v>
      </c>
      <c r="F706" s="72" t="s">
        <v>215</v>
      </c>
      <c r="G706" s="72" t="s">
        <v>226</v>
      </c>
      <c r="H706" s="76" t="s">
        <v>129</v>
      </c>
      <c r="I706" s="76" t="s">
        <v>22</v>
      </c>
      <c r="J706" s="77" t="s">
        <v>81</v>
      </c>
      <c r="K706" s="77" t="s">
        <v>49</v>
      </c>
    </row>
    <row r="707" ht="15.75" customHeight="1">
      <c r="A707" s="72" t="s">
        <v>1570</v>
      </c>
      <c r="B707" s="73" t="s">
        <v>15</v>
      </c>
      <c r="C707" s="73" t="s">
        <v>203</v>
      </c>
      <c r="D707" s="74" t="s">
        <v>17</v>
      </c>
      <c r="E707" s="75" t="s">
        <v>900</v>
      </c>
      <c r="F707" s="72" t="s">
        <v>1173</v>
      </c>
      <c r="G707" s="72" t="s">
        <v>418</v>
      </c>
      <c r="H707" s="76" t="s">
        <v>34</v>
      </c>
      <c r="I707" s="76" t="s">
        <v>29</v>
      </c>
      <c r="J707" s="77" t="s">
        <v>23</v>
      </c>
      <c r="K707" s="77" t="s">
        <v>49</v>
      </c>
    </row>
    <row r="708" ht="15.75" customHeight="1">
      <c r="A708" s="72" t="s">
        <v>1571</v>
      </c>
      <c r="B708" s="73" t="s">
        <v>521</v>
      </c>
      <c r="C708" s="73" t="s">
        <v>213</v>
      </c>
      <c r="D708" s="74" t="s">
        <v>43</v>
      </c>
      <c r="E708" s="75" t="s">
        <v>457</v>
      </c>
      <c r="F708" s="72" t="s">
        <v>374</v>
      </c>
      <c r="G708" s="72" t="s">
        <v>20</v>
      </c>
      <c r="H708" s="76" t="s">
        <v>104</v>
      </c>
      <c r="I708" s="76" t="s">
        <v>130</v>
      </c>
      <c r="J708" s="77" t="s">
        <v>81</v>
      </c>
      <c r="K708" s="77" t="s">
        <v>393</v>
      </c>
    </row>
    <row r="709" ht="15.75" customHeight="1">
      <c r="A709" s="72" t="s">
        <v>1572</v>
      </c>
      <c r="B709" s="73" t="s">
        <v>905</v>
      </c>
      <c r="C709" s="73" t="s">
        <v>1198</v>
      </c>
      <c r="D709" s="74" t="s">
        <v>43</v>
      </c>
      <c r="E709" s="75" t="s">
        <v>66</v>
      </c>
      <c r="F709" s="72" t="s">
        <v>1270</v>
      </c>
      <c r="G709" s="72" t="s">
        <v>418</v>
      </c>
      <c r="H709" s="76" t="s">
        <v>544</v>
      </c>
      <c r="I709" s="76" t="s">
        <v>22</v>
      </c>
      <c r="J709" s="77" t="s">
        <v>48</v>
      </c>
      <c r="K709" s="77" t="s">
        <v>945</v>
      </c>
    </row>
    <row r="710" ht="15.75" customHeight="1">
      <c r="A710" s="72" t="s">
        <v>1573</v>
      </c>
      <c r="B710" s="73" t="s">
        <v>521</v>
      </c>
      <c r="C710" s="73" t="s">
        <v>31</v>
      </c>
      <c r="D710" s="74" t="s">
        <v>43</v>
      </c>
      <c r="E710" s="75" t="s">
        <v>193</v>
      </c>
      <c r="F710" s="72" t="s">
        <v>1220</v>
      </c>
      <c r="G710" s="72" t="s">
        <v>418</v>
      </c>
      <c r="H710" s="76" t="s">
        <v>349</v>
      </c>
      <c r="I710" s="76" t="s">
        <v>130</v>
      </c>
      <c r="J710" s="77" t="s">
        <v>48</v>
      </c>
      <c r="K710" s="77" t="s">
        <v>1065</v>
      </c>
    </row>
    <row r="711" ht="15.75" customHeight="1">
      <c r="A711" s="72" t="s">
        <v>1574</v>
      </c>
      <c r="B711" s="73" t="s">
        <v>905</v>
      </c>
      <c r="C711" s="73" t="s">
        <v>863</v>
      </c>
      <c r="D711" s="74" t="s">
        <v>17</v>
      </c>
      <c r="E711" s="75" t="s">
        <v>900</v>
      </c>
      <c r="F711" s="72" t="s">
        <v>247</v>
      </c>
      <c r="G711" s="72" t="s">
        <v>20</v>
      </c>
      <c r="H711" s="76" t="s">
        <v>34</v>
      </c>
      <c r="I711" s="76" t="s">
        <v>97</v>
      </c>
      <c r="J711" s="77" t="s">
        <v>48</v>
      </c>
      <c r="K711" s="77" t="s">
        <v>106</v>
      </c>
    </row>
    <row r="712" ht="15.75" customHeight="1">
      <c r="A712" s="72" t="s">
        <v>1575</v>
      </c>
      <c r="B712" s="73" t="s">
        <v>521</v>
      </c>
      <c r="C712" s="73" t="s">
        <v>496</v>
      </c>
      <c r="D712" s="74" t="s">
        <v>43</v>
      </c>
      <c r="E712" s="75" t="s">
        <v>32</v>
      </c>
      <c r="F712" s="72" t="s">
        <v>275</v>
      </c>
      <c r="G712" s="72" t="s">
        <v>1080</v>
      </c>
      <c r="H712" s="76" t="s">
        <v>21</v>
      </c>
      <c r="I712" s="76" t="s">
        <v>130</v>
      </c>
      <c r="J712" s="77" t="s">
        <v>23</v>
      </c>
      <c r="K712" s="77" t="s">
        <v>49</v>
      </c>
    </row>
    <row r="713" ht="15.75" customHeight="1">
      <c r="A713" s="72" t="s">
        <v>1576</v>
      </c>
      <c r="B713" s="73" t="s">
        <v>905</v>
      </c>
      <c r="C713" s="73" t="s">
        <v>1002</v>
      </c>
      <c r="D713" s="74" t="s">
        <v>17</v>
      </c>
      <c r="E713" s="75" t="s">
        <v>579</v>
      </c>
      <c r="F713" s="72" t="s">
        <v>826</v>
      </c>
      <c r="G713" s="72" t="s">
        <v>600</v>
      </c>
      <c r="H713" s="76" t="s">
        <v>477</v>
      </c>
      <c r="I713" s="76" t="s">
        <v>201</v>
      </c>
      <c r="J713" s="77" t="s">
        <v>48</v>
      </c>
      <c r="K713" s="77" t="s">
        <v>49</v>
      </c>
    </row>
    <row r="714" ht="15.75" customHeight="1">
      <c r="A714" s="72" t="s">
        <v>1577</v>
      </c>
      <c r="B714" s="73" t="s">
        <v>521</v>
      </c>
      <c r="C714" s="73">
        <v>7.33226739E8</v>
      </c>
      <c r="D714" s="74" t="s">
        <v>17</v>
      </c>
      <c r="E714" s="75" t="s">
        <v>579</v>
      </c>
      <c r="F714" s="72" t="s">
        <v>401</v>
      </c>
      <c r="G714" s="72" t="s">
        <v>72</v>
      </c>
      <c r="H714" s="76" t="s">
        <v>349</v>
      </c>
      <c r="I714" s="76" t="s">
        <v>29</v>
      </c>
      <c r="J714" s="77" t="s">
        <v>23</v>
      </c>
      <c r="K714" s="77" t="s">
        <v>1128</v>
      </c>
    </row>
    <row r="715" ht="15.75" customHeight="1">
      <c r="A715" s="72" t="s">
        <v>1578</v>
      </c>
      <c r="B715" s="73" t="s">
        <v>1048</v>
      </c>
      <c r="C715" s="73" t="s">
        <v>312</v>
      </c>
      <c r="D715" s="74" t="s">
        <v>17</v>
      </c>
      <c r="E715" s="75" t="s">
        <v>431</v>
      </c>
      <c r="F715" s="72" t="s">
        <v>1086</v>
      </c>
      <c r="G715" s="72" t="s">
        <v>1182</v>
      </c>
      <c r="H715" s="76" t="s">
        <v>142</v>
      </c>
      <c r="I715" s="76" t="s">
        <v>201</v>
      </c>
      <c r="J715" s="77" t="s">
        <v>48</v>
      </c>
      <c r="K715" s="77" t="s">
        <v>24</v>
      </c>
    </row>
    <row r="716" ht="15.75" customHeight="1">
      <c r="A716" s="72" t="s">
        <v>1579</v>
      </c>
      <c r="B716" s="73" t="s">
        <v>15</v>
      </c>
      <c r="C716" s="73" t="s">
        <v>1102</v>
      </c>
      <c r="D716" s="74" t="s">
        <v>17</v>
      </c>
      <c r="E716" s="75" t="s">
        <v>926</v>
      </c>
      <c r="F716" s="72" t="s">
        <v>1014</v>
      </c>
      <c r="G716" s="72" t="s">
        <v>1201</v>
      </c>
      <c r="H716" s="76" t="s">
        <v>316</v>
      </c>
      <c r="I716" s="76" t="s">
        <v>201</v>
      </c>
      <c r="J716" s="77" t="s">
        <v>48</v>
      </c>
      <c r="K716" s="77" t="s">
        <v>528</v>
      </c>
    </row>
    <row r="717" ht="15.75" customHeight="1">
      <c r="A717" s="72" t="s">
        <v>1580</v>
      </c>
      <c r="B717" s="73" t="s">
        <v>905</v>
      </c>
      <c r="C717" s="73">
        <v>7.47434846E8</v>
      </c>
      <c r="D717" s="74" t="s">
        <v>43</v>
      </c>
      <c r="E717" s="75" t="s">
        <v>140</v>
      </c>
      <c r="F717" s="72" t="s">
        <v>955</v>
      </c>
      <c r="G717" s="72" t="s">
        <v>699</v>
      </c>
      <c r="H717" s="76" t="s">
        <v>77</v>
      </c>
      <c r="I717" s="76" t="s">
        <v>105</v>
      </c>
      <c r="J717" s="77" t="s">
        <v>48</v>
      </c>
      <c r="K717" s="77" t="s">
        <v>1247</v>
      </c>
    </row>
    <row r="718" ht="15.75" customHeight="1">
      <c r="A718" s="72" t="s">
        <v>1581</v>
      </c>
      <c r="B718" s="73" t="s">
        <v>15</v>
      </c>
      <c r="C718" s="73" t="s">
        <v>1007</v>
      </c>
      <c r="D718" s="74" t="s">
        <v>17</v>
      </c>
      <c r="E718" s="75" t="s">
        <v>152</v>
      </c>
      <c r="F718" s="72" t="s">
        <v>1090</v>
      </c>
      <c r="G718" s="72" t="s">
        <v>915</v>
      </c>
      <c r="H718" s="76" t="s">
        <v>267</v>
      </c>
      <c r="I718" s="76" t="s">
        <v>22</v>
      </c>
      <c r="J718" s="77" t="s">
        <v>23</v>
      </c>
      <c r="K718" s="77" t="s">
        <v>1081</v>
      </c>
    </row>
    <row r="719" ht="15.75" customHeight="1">
      <c r="A719" s="72" t="s">
        <v>1582</v>
      </c>
      <c r="B719" s="73" t="s">
        <v>1048</v>
      </c>
      <c r="C719" s="73" t="s">
        <v>913</v>
      </c>
      <c r="D719" s="74" t="s">
        <v>43</v>
      </c>
      <c r="E719" s="75" t="s">
        <v>746</v>
      </c>
      <c r="F719" s="72" t="s">
        <v>76</v>
      </c>
      <c r="G719" s="72" t="s">
        <v>937</v>
      </c>
      <c r="H719" s="76" t="s">
        <v>349</v>
      </c>
      <c r="I719" s="76" t="s">
        <v>130</v>
      </c>
      <c r="J719" s="77" t="s">
        <v>23</v>
      </c>
      <c r="K719" s="77" t="s">
        <v>49</v>
      </c>
    </row>
    <row r="720" ht="15.75" customHeight="1">
      <c r="A720" s="72" t="s">
        <v>1583</v>
      </c>
      <c r="B720" s="73" t="s">
        <v>905</v>
      </c>
      <c r="C720" s="73" t="s">
        <v>967</v>
      </c>
      <c r="D720" s="74" t="s">
        <v>43</v>
      </c>
      <c r="E720" s="75" t="s">
        <v>32</v>
      </c>
      <c r="F720" s="72" t="s">
        <v>1056</v>
      </c>
      <c r="G720" s="72" t="s">
        <v>556</v>
      </c>
      <c r="H720" s="76" t="s">
        <v>433</v>
      </c>
      <c r="I720" s="76" t="s">
        <v>130</v>
      </c>
      <c r="J720" s="77" t="s">
        <v>81</v>
      </c>
      <c r="K720" s="77" t="s">
        <v>24</v>
      </c>
    </row>
    <row r="721" ht="15.75" customHeight="1">
      <c r="A721" s="72" t="s">
        <v>1584</v>
      </c>
      <c r="B721" s="73" t="s">
        <v>905</v>
      </c>
      <c r="C721" s="73" t="s">
        <v>870</v>
      </c>
      <c r="D721" s="74" t="s">
        <v>43</v>
      </c>
      <c r="E721" s="75" t="s">
        <v>85</v>
      </c>
      <c r="F721" s="72" t="s">
        <v>930</v>
      </c>
      <c r="G721" s="72" t="s">
        <v>987</v>
      </c>
      <c r="H721" s="76" t="s">
        <v>104</v>
      </c>
      <c r="I721" s="76" t="s">
        <v>130</v>
      </c>
      <c r="J721" s="77" t="s">
        <v>23</v>
      </c>
      <c r="K721" s="77" t="s">
        <v>916</v>
      </c>
    </row>
    <row r="722" ht="15.75" customHeight="1">
      <c r="A722" s="72" t="s">
        <v>1585</v>
      </c>
      <c r="B722" s="73" t="s">
        <v>376</v>
      </c>
      <c r="C722" s="73" t="s">
        <v>1224</v>
      </c>
      <c r="D722" s="74" t="s">
        <v>43</v>
      </c>
      <c r="E722" s="75" t="s">
        <v>233</v>
      </c>
      <c r="F722" s="72" t="s">
        <v>445</v>
      </c>
      <c r="G722" s="72" t="s">
        <v>875</v>
      </c>
      <c r="H722" s="76" t="s">
        <v>276</v>
      </c>
      <c r="I722" s="76" t="s">
        <v>97</v>
      </c>
      <c r="J722" s="77" t="s">
        <v>23</v>
      </c>
      <c r="K722" s="77" t="s">
        <v>230</v>
      </c>
    </row>
    <row r="723" ht="15.75" customHeight="1">
      <c r="A723" s="72" t="s">
        <v>1586</v>
      </c>
      <c r="B723" s="73" t="s">
        <v>376</v>
      </c>
      <c r="C723" s="73">
        <v>7.57069733E8</v>
      </c>
      <c r="D723" s="74" t="s">
        <v>17</v>
      </c>
      <c r="E723" s="75" t="s">
        <v>246</v>
      </c>
      <c r="F723" s="72" t="s">
        <v>921</v>
      </c>
      <c r="G723" s="72" t="s">
        <v>426</v>
      </c>
      <c r="H723" s="76" t="s">
        <v>59</v>
      </c>
      <c r="I723" s="76" t="s">
        <v>97</v>
      </c>
      <c r="J723" s="77" t="s">
        <v>23</v>
      </c>
      <c r="K723" s="77" t="s">
        <v>49</v>
      </c>
    </row>
    <row r="724" ht="15.75" customHeight="1">
      <c r="A724" s="72" t="s">
        <v>1587</v>
      </c>
      <c r="B724" s="73" t="s">
        <v>1048</v>
      </c>
      <c r="C724" s="73" t="s">
        <v>688</v>
      </c>
      <c r="D724" s="74" t="s">
        <v>17</v>
      </c>
      <c r="E724" s="75" t="s">
        <v>676</v>
      </c>
      <c r="F724" s="72" t="s">
        <v>1167</v>
      </c>
      <c r="G724" s="72" t="s">
        <v>1151</v>
      </c>
      <c r="H724" s="76" t="s">
        <v>932</v>
      </c>
      <c r="I724" s="76" t="s">
        <v>97</v>
      </c>
      <c r="J724" s="77" t="s">
        <v>23</v>
      </c>
      <c r="K724" s="77" t="s">
        <v>393</v>
      </c>
    </row>
    <row r="725" ht="15.75" customHeight="1">
      <c r="A725" s="72" t="s">
        <v>1588</v>
      </c>
      <c r="B725" s="73" t="s">
        <v>15</v>
      </c>
      <c r="C725" s="73" t="s">
        <v>1145</v>
      </c>
      <c r="D725" s="74" t="s">
        <v>17</v>
      </c>
      <c r="E725" s="75" t="s">
        <v>38</v>
      </c>
      <c r="F725" s="72" t="s">
        <v>498</v>
      </c>
      <c r="G725" s="72" t="s">
        <v>1227</v>
      </c>
      <c r="H725" s="76" t="s">
        <v>34</v>
      </c>
      <c r="I725" s="76" t="s">
        <v>201</v>
      </c>
      <c r="J725" s="77" t="s">
        <v>23</v>
      </c>
      <c r="K725" s="77" t="s">
        <v>49</v>
      </c>
    </row>
    <row r="726" ht="15.75" customHeight="1">
      <c r="A726" s="72" t="s">
        <v>1589</v>
      </c>
      <c r="B726" s="73" t="s">
        <v>521</v>
      </c>
      <c r="C726" s="73" t="s">
        <v>872</v>
      </c>
      <c r="D726" s="74" t="s">
        <v>17</v>
      </c>
      <c r="E726" s="75" t="s">
        <v>873</v>
      </c>
      <c r="F726" s="72" t="s">
        <v>378</v>
      </c>
      <c r="G726" s="72" t="s">
        <v>111</v>
      </c>
      <c r="H726" s="76" t="s">
        <v>610</v>
      </c>
      <c r="I726" s="76" t="s">
        <v>97</v>
      </c>
      <c r="J726" s="77" t="s">
        <v>48</v>
      </c>
      <c r="K726" s="77" t="s">
        <v>1081</v>
      </c>
    </row>
    <row r="727" ht="15.75" customHeight="1">
      <c r="A727" s="72" t="s">
        <v>1590</v>
      </c>
      <c r="B727" s="73" t="s">
        <v>1048</v>
      </c>
      <c r="C727" s="73" t="s">
        <v>389</v>
      </c>
      <c r="D727" s="74" t="s">
        <v>43</v>
      </c>
      <c r="E727" s="75" t="s">
        <v>737</v>
      </c>
      <c r="F727" s="72" t="s">
        <v>596</v>
      </c>
      <c r="G727" s="72" t="s">
        <v>418</v>
      </c>
      <c r="H727" s="76" t="s">
        <v>21</v>
      </c>
      <c r="I727" s="76" t="s">
        <v>97</v>
      </c>
      <c r="J727" s="77" t="s">
        <v>23</v>
      </c>
      <c r="K727" s="77" t="s">
        <v>861</v>
      </c>
    </row>
    <row r="728" ht="15.75" customHeight="1">
      <c r="A728" s="72" t="s">
        <v>1591</v>
      </c>
      <c r="B728" s="73" t="s">
        <v>905</v>
      </c>
      <c r="C728" s="73" t="s">
        <v>1235</v>
      </c>
      <c r="D728" s="74" t="s">
        <v>43</v>
      </c>
      <c r="E728" s="75" t="s">
        <v>425</v>
      </c>
      <c r="F728" s="72" t="s">
        <v>153</v>
      </c>
      <c r="G728" s="72" t="s">
        <v>493</v>
      </c>
      <c r="H728" s="76" t="s">
        <v>932</v>
      </c>
      <c r="I728" s="76" t="s">
        <v>22</v>
      </c>
      <c r="J728" s="77" t="s">
        <v>48</v>
      </c>
      <c r="K728" s="77" t="s">
        <v>1252</v>
      </c>
    </row>
    <row r="729" ht="15.75" customHeight="1">
      <c r="A729" s="72" t="s">
        <v>1592</v>
      </c>
      <c r="B729" s="73" t="s">
        <v>521</v>
      </c>
      <c r="C729" s="73" t="s">
        <v>1088</v>
      </c>
      <c r="D729" s="74" t="s">
        <v>17</v>
      </c>
      <c r="E729" s="75" t="s">
        <v>405</v>
      </c>
      <c r="F729" s="72" t="s">
        <v>768</v>
      </c>
      <c r="G729" s="72" t="s">
        <v>556</v>
      </c>
      <c r="H729" s="76" t="s">
        <v>104</v>
      </c>
      <c r="I729" s="76" t="s">
        <v>201</v>
      </c>
      <c r="J729" s="77" t="s">
        <v>48</v>
      </c>
      <c r="K729" s="77" t="s">
        <v>397</v>
      </c>
    </row>
    <row r="730" ht="15.75" customHeight="1">
      <c r="A730" s="72" t="s">
        <v>1593</v>
      </c>
      <c r="B730" s="73" t="s">
        <v>905</v>
      </c>
      <c r="C730" s="73" t="s">
        <v>859</v>
      </c>
      <c r="D730" s="74" t="s">
        <v>43</v>
      </c>
      <c r="E730" s="75" t="s">
        <v>793</v>
      </c>
      <c r="F730" s="72" t="s">
        <v>791</v>
      </c>
      <c r="G730" s="72" t="s">
        <v>928</v>
      </c>
      <c r="H730" s="76" t="s">
        <v>349</v>
      </c>
      <c r="I730" s="76" t="s">
        <v>22</v>
      </c>
      <c r="J730" s="77" t="s">
        <v>23</v>
      </c>
      <c r="K730" s="77" t="s">
        <v>393</v>
      </c>
    </row>
    <row r="731" ht="15.75" customHeight="1">
      <c r="A731" s="72" t="s">
        <v>1594</v>
      </c>
      <c r="B731" s="73" t="s">
        <v>1048</v>
      </c>
      <c r="C731" s="73" t="s">
        <v>192</v>
      </c>
      <c r="D731" s="74" t="s">
        <v>17</v>
      </c>
      <c r="E731" s="75" t="s">
        <v>676</v>
      </c>
      <c r="F731" s="72" t="s">
        <v>725</v>
      </c>
      <c r="G731" s="72" t="s">
        <v>472</v>
      </c>
      <c r="H731" s="76" t="s">
        <v>59</v>
      </c>
      <c r="I731" s="76" t="s">
        <v>113</v>
      </c>
      <c r="J731" s="77" t="s">
        <v>48</v>
      </c>
      <c r="K731" s="77" t="s">
        <v>1105</v>
      </c>
    </row>
    <row r="732" ht="15.75" customHeight="1">
      <c r="A732" s="72" t="s">
        <v>1595</v>
      </c>
      <c r="B732" s="73" t="s">
        <v>1048</v>
      </c>
      <c r="C732" s="73" t="s">
        <v>883</v>
      </c>
      <c r="D732" s="74" t="s">
        <v>17</v>
      </c>
      <c r="E732" s="75" t="s">
        <v>746</v>
      </c>
      <c r="F732" s="72" t="s">
        <v>110</v>
      </c>
      <c r="G732" s="72" t="s">
        <v>226</v>
      </c>
      <c r="H732" s="76" t="s">
        <v>512</v>
      </c>
      <c r="I732" s="76" t="s">
        <v>201</v>
      </c>
      <c r="J732" s="77" t="s">
        <v>23</v>
      </c>
      <c r="K732" s="77" t="s">
        <v>49</v>
      </c>
    </row>
    <row r="733" ht="15.75" customHeight="1">
      <c r="A733" s="72" t="s">
        <v>1596</v>
      </c>
      <c r="B733" s="73" t="s">
        <v>521</v>
      </c>
      <c r="C733" s="73" t="s">
        <v>1291</v>
      </c>
      <c r="D733" s="74" t="s">
        <v>17</v>
      </c>
      <c r="E733" s="75" t="s">
        <v>509</v>
      </c>
      <c r="F733" s="72" t="s">
        <v>716</v>
      </c>
      <c r="G733" s="72" t="s">
        <v>1080</v>
      </c>
      <c r="H733" s="76" t="s">
        <v>163</v>
      </c>
      <c r="I733" s="76" t="s">
        <v>47</v>
      </c>
      <c r="J733" s="77" t="s">
        <v>48</v>
      </c>
      <c r="K733" s="77" t="s">
        <v>169</v>
      </c>
    </row>
    <row r="734" ht="15.75" customHeight="1">
      <c r="A734" s="72" t="s">
        <v>1597</v>
      </c>
      <c r="B734" s="73" t="s">
        <v>521</v>
      </c>
      <c r="C734" s="73" t="s">
        <v>1232</v>
      </c>
      <c r="D734" s="74" t="s">
        <v>17</v>
      </c>
      <c r="E734" s="75" t="s">
        <v>995</v>
      </c>
      <c r="F734" s="72" t="s">
        <v>445</v>
      </c>
      <c r="G734" s="72" t="s">
        <v>379</v>
      </c>
      <c r="H734" s="76" t="s">
        <v>142</v>
      </c>
      <c r="I734" s="76" t="s">
        <v>47</v>
      </c>
      <c r="J734" s="77" t="s">
        <v>48</v>
      </c>
      <c r="K734" s="77" t="s">
        <v>49</v>
      </c>
    </row>
    <row r="735" ht="15.75" customHeight="1">
      <c r="A735" s="72" t="s">
        <v>1598</v>
      </c>
      <c r="B735" s="73" t="s">
        <v>1048</v>
      </c>
      <c r="C735" s="73" t="s">
        <v>865</v>
      </c>
      <c r="D735" s="74" t="s">
        <v>43</v>
      </c>
      <c r="E735" s="75" t="s">
        <v>926</v>
      </c>
      <c r="F735" s="72" t="s">
        <v>1259</v>
      </c>
      <c r="G735" s="72" t="s">
        <v>897</v>
      </c>
      <c r="H735" s="76" t="s">
        <v>255</v>
      </c>
      <c r="I735" s="76" t="s">
        <v>47</v>
      </c>
      <c r="J735" s="77" t="s">
        <v>81</v>
      </c>
      <c r="K735" s="77" t="s">
        <v>230</v>
      </c>
    </row>
    <row r="736" ht="15.75" customHeight="1">
      <c r="A736" s="72" t="s">
        <v>1599</v>
      </c>
      <c r="B736" s="73" t="s">
        <v>521</v>
      </c>
      <c r="C736" s="73">
        <v>7.05211018E8</v>
      </c>
      <c r="D736" s="74" t="s">
        <v>43</v>
      </c>
      <c r="E736" s="75" t="s">
        <v>958</v>
      </c>
      <c r="F736" s="72" t="s">
        <v>76</v>
      </c>
      <c r="G736" s="72" t="s">
        <v>418</v>
      </c>
      <c r="H736" s="76" t="s">
        <v>255</v>
      </c>
      <c r="I736" s="76" t="s">
        <v>97</v>
      </c>
      <c r="J736" s="77" t="s">
        <v>48</v>
      </c>
      <c r="K736" s="77" t="s">
        <v>49</v>
      </c>
    </row>
    <row r="737" ht="15.75" customHeight="1">
      <c r="A737" s="72" t="s">
        <v>1600</v>
      </c>
      <c r="B737" s="73" t="s">
        <v>521</v>
      </c>
      <c r="C737" s="73" t="s">
        <v>166</v>
      </c>
      <c r="D737" s="74" t="s">
        <v>17</v>
      </c>
      <c r="E737" s="75" t="s">
        <v>715</v>
      </c>
      <c r="F737" s="72" t="s">
        <v>1296</v>
      </c>
      <c r="G737" s="72" t="s">
        <v>418</v>
      </c>
      <c r="H737" s="76" t="s">
        <v>477</v>
      </c>
      <c r="I737" s="76" t="s">
        <v>97</v>
      </c>
      <c r="J737" s="77" t="s">
        <v>48</v>
      </c>
      <c r="K737" s="77" t="s">
        <v>49</v>
      </c>
    </row>
    <row r="738" ht="15.75" customHeight="1">
      <c r="A738" s="72" t="s">
        <v>1601</v>
      </c>
      <c r="B738" s="73" t="s">
        <v>1048</v>
      </c>
      <c r="C738" s="73" t="s">
        <v>1058</v>
      </c>
      <c r="D738" s="74" t="s">
        <v>17</v>
      </c>
      <c r="E738" s="75" t="s">
        <v>693</v>
      </c>
      <c r="F738" s="72" t="s">
        <v>794</v>
      </c>
      <c r="G738" s="72" t="s">
        <v>199</v>
      </c>
      <c r="H738" s="76" t="s">
        <v>40</v>
      </c>
      <c r="I738" s="76" t="s">
        <v>717</v>
      </c>
      <c r="J738" s="77" t="s">
        <v>48</v>
      </c>
      <c r="K738" s="77" t="s">
        <v>718</v>
      </c>
    </row>
    <row r="739" ht="15.75" customHeight="1">
      <c r="A739" s="72" t="s">
        <v>1602</v>
      </c>
      <c r="B739" s="73" t="s">
        <v>15</v>
      </c>
      <c r="C739" s="73">
        <v>7.57343618E8</v>
      </c>
      <c r="D739" s="74" t="s">
        <v>17</v>
      </c>
      <c r="E739" s="75" t="s">
        <v>239</v>
      </c>
      <c r="F739" s="72" t="s">
        <v>727</v>
      </c>
      <c r="G739" s="72" t="s">
        <v>72</v>
      </c>
      <c r="H739" s="76" t="s">
        <v>129</v>
      </c>
      <c r="I739" s="76" t="s">
        <v>29</v>
      </c>
      <c r="J739" s="77" t="s">
        <v>48</v>
      </c>
      <c r="K739" s="77" t="s">
        <v>49</v>
      </c>
    </row>
    <row r="740" ht="15.75" customHeight="1">
      <c r="A740" s="72" t="s">
        <v>1603</v>
      </c>
      <c r="B740" s="73" t="s">
        <v>1048</v>
      </c>
      <c r="C740" s="73">
        <v>7.10243137E8</v>
      </c>
      <c r="D740" s="74" t="s">
        <v>43</v>
      </c>
      <c r="E740" s="75" t="s">
        <v>779</v>
      </c>
      <c r="F740" s="72" t="s">
        <v>1031</v>
      </c>
      <c r="G740" s="72" t="s">
        <v>20</v>
      </c>
      <c r="H740" s="76" t="s">
        <v>21</v>
      </c>
      <c r="I740" s="76" t="s">
        <v>201</v>
      </c>
      <c r="J740" s="77" t="s">
        <v>48</v>
      </c>
      <c r="K740" s="77" t="s">
        <v>468</v>
      </c>
    </row>
    <row r="741" ht="15.75" customHeight="1">
      <c r="A741" s="72" t="s">
        <v>1604</v>
      </c>
      <c r="B741" s="73" t="s">
        <v>15</v>
      </c>
      <c r="C741" s="73" t="s">
        <v>1224</v>
      </c>
      <c r="D741" s="74" t="s">
        <v>17</v>
      </c>
      <c r="E741" s="75" t="s">
        <v>715</v>
      </c>
      <c r="F741" s="72" t="s">
        <v>689</v>
      </c>
      <c r="G741" s="72" t="s">
        <v>229</v>
      </c>
      <c r="H741" s="76" t="s">
        <v>359</v>
      </c>
      <c r="I741" s="76" t="s">
        <v>105</v>
      </c>
      <c r="J741" s="77" t="s">
        <v>23</v>
      </c>
      <c r="K741" s="77" t="s">
        <v>230</v>
      </c>
    </row>
    <row r="742" ht="15.75" customHeight="1">
      <c r="A742" s="72" t="s">
        <v>1605</v>
      </c>
      <c r="B742" s="73" t="s">
        <v>15</v>
      </c>
      <c r="C742" s="73" t="s">
        <v>42</v>
      </c>
      <c r="D742" s="74" t="s">
        <v>17</v>
      </c>
      <c r="E742" s="75" t="s">
        <v>565</v>
      </c>
      <c r="F742" s="72" t="s">
        <v>275</v>
      </c>
      <c r="G742" s="72" t="s">
        <v>418</v>
      </c>
      <c r="H742" s="76" t="s">
        <v>477</v>
      </c>
      <c r="I742" s="76" t="s">
        <v>22</v>
      </c>
      <c r="J742" s="77" t="s">
        <v>23</v>
      </c>
      <c r="K742" s="77" t="s">
        <v>49</v>
      </c>
    </row>
    <row r="743" ht="15.75" customHeight="1">
      <c r="A743" s="72" t="s">
        <v>1606</v>
      </c>
      <c r="B743" s="73" t="s">
        <v>15</v>
      </c>
      <c r="C743" s="73" t="s">
        <v>612</v>
      </c>
      <c r="D743" s="74" t="s">
        <v>43</v>
      </c>
      <c r="E743" s="75" t="s">
        <v>449</v>
      </c>
      <c r="F743" s="72" t="s">
        <v>826</v>
      </c>
      <c r="G743" s="72" t="s">
        <v>128</v>
      </c>
      <c r="H743" s="76" t="s">
        <v>359</v>
      </c>
      <c r="I743" s="76" t="s">
        <v>22</v>
      </c>
      <c r="J743" s="77" t="s">
        <v>23</v>
      </c>
      <c r="K743" s="77" t="s">
        <v>857</v>
      </c>
    </row>
    <row r="744" ht="15.75" customHeight="1">
      <c r="A744" s="72" t="s">
        <v>1607</v>
      </c>
      <c r="B744" s="73" t="s">
        <v>905</v>
      </c>
      <c r="C744" s="73">
        <v>7.33939658E8</v>
      </c>
      <c r="D744" s="74" t="s">
        <v>17</v>
      </c>
      <c r="E744" s="75" t="s">
        <v>1117</v>
      </c>
      <c r="F744" s="72" t="s">
        <v>314</v>
      </c>
      <c r="G744" s="72" t="s">
        <v>418</v>
      </c>
      <c r="H744" s="76" t="s">
        <v>359</v>
      </c>
      <c r="I744" s="76" t="s">
        <v>105</v>
      </c>
      <c r="J744" s="77" t="s">
        <v>48</v>
      </c>
      <c r="K744" s="77" t="s">
        <v>24</v>
      </c>
    </row>
    <row r="745" ht="15.75" customHeight="1">
      <c r="A745" s="72" t="s">
        <v>1608</v>
      </c>
      <c r="B745" s="73" t="s">
        <v>521</v>
      </c>
      <c r="C745" s="73">
        <v>7.21384599E8</v>
      </c>
      <c r="D745" s="74" t="s">
        <v>17</v>
      </c>
      <c r="E745" s="75" t="s">
        <v>233</v>
      </c>
      <c r="F745" s="72" t="s">
        <v>1044</v>
      </c>
      <c r="G745" s="72" t="s">
        <v>418</v>
      </c>
      <c r="H745" s="76" t="s">
        <v>349</v>
      </c>
      <c r="I745" s="76" t="s">
        <v>201</v>
      </c>
      <c r="J745" s="77" t="s">
        <v>23</v>
      </c>
      <c r="K745" s="77" t="s">
        <v>1065</v>
      </c>
    </row>
    <row r="746" ht="15.75" customHeight="1">
      <c r="A746" s="72" t="s">
        <v>1609</v>
      </c>
      <c r="B746" s="73" t="s">
        <v>905</v>
      </c>
      <c r="C746" s="73">
        <v>7.76220302E8</v>
      </c>
      <c r="D746" s="74" t="s">
        <v>43</v>
      </c>
      <c r="E746" s="75" t="s">
        <v>313</v>
      </c>
      <c r="F746" s="72" t="s">
        <v>911</v>
      </c>
      <c r="G746" s="72" t="s">
        <v>418</v>
      </c>
      <c r="H746" s="76" t="s">
        <v>104</v>
      </c>
      <c r="I746" s="76" t="s">
        <v>22</v>
      </c>
      <c r="J746" s="77" t="s">
        <v>48</v>
      </c>
      <c r="K746" s="77" t="s">
        <v>1222</v>
      </c>
    </row>
    <row r="747" ht="15.75" customHeight="1">
      <c r="A747" s="72" t="s">
        <v>1610</v>
      </c>
      <c r="B747" s="73" t="s">
        <v>521</v>
      </c>
      <c r="C747" s="73">
        <v>7.19120185E8</v>
      </c>
      <c r="D747" s="74" t="s">
        <v>17</v>
      </c>
      <c r="E747" s="75" t="s">
        <v>579</v>
      </c>
      <c r="F747" s="72" t="s">
        <v>378</v>
      </c>
      <c r="G747" s="72" t="s">
        <v>774</v>
      </c>
      <c r="H747" s="76" t="s">
        <v>34</v>
      </c>
      <c r="I747" s="76" t="s">
        <v>113</v>
      </c>
      <c r="J747" s="77" t="s">
        <v>48</v>
      </c>
      <c r="K747" s="77" t="s">
        <v>620</v>
      </c>
    </row>
    <row r="748" ht="15.75" customHeight="1">
      <c r="A748" s="72" t="s">
        <v>1611</v>
      </c>
      <c r="B748" s="73" t="s">
        <v>905</v>
      </c>
      <c r="C748" s="73" t="s">
        <v>173</v>
      </c>
      <c r="D748" s="74" t="s">
        <v>17</v>
      </c>
      <c r="E748" s="75" t="s">
        <v>676</v>
      </c>
      <c r="F748" s="72" t="s">
        <v>683</v>
      </c>
      <c r="G748" s="72" t="s">
        <v>1080</v>
      </c>
      <c r="H748" s="76" t="s">
        <v>477</v>
      </c>
      <c r="I748" s="76" t="s">
        <v>97</v>
      </c>
      <c r="J748" s="77" t="s">
        <v>48</v>
      </c>
      <c r="K748" s="77" t="s">
        <v>916</v>
      </c>
    </row>
    <row r="749" ht="15.75" customHeight="1">
      <c r="A749" s="72" t="s">
        <v>1612</v>
      </c>
      <c r="B749" s="73" t="s">
        <v>521</v>
      </c>
      <c r="C749" s="73" t="s">
        <v>79</v>
      </c>
      <c r="D749" s="74" t="s">
        <v>17</v>
      </c>
      <c r="E749" s="75" t="s">
        <v>246</v>
      </c>
      <c r="F749" s="72" t="s">
        <v>292</v>
      </c>
      <c r="G749" s="72" t="s">
        <v>46</v>
      </c>
      <c r="H749" s="76" t="s">
        <v>104</v>
      </c>
      <c r="I749" s="76" t="s">
        <v>97</v>
      </c>
      <c r="J749" s="77" t="s">
        <v>23</v>
      </c>
      <c r="K749" s="77" t="s">
        <v>907</v>
      </c>
    </row>
    <row r="750" ht="15.75" customHeight="1">
      <c r="A750" s="72" t="s">
        <v>1613</v>
      </c>
      <c r="B750" s="73" t="s">
        <v>905</v>
      </c>
      <c r="C750" s="73" t="s">
        <v>1166</v>
      </c>
      <c r="D750" s="74" t="s">
        <v>43</v>
      </c>
      <c r="E750" s="75" t="s">
        <v>197</v>
      </c>
      <c r="F750" s="72" t="s">
        <v>770</v>
      </c>
      <c r="G750" s="72" t="s">
        <v>128</v>
      </c>
      <c r="H750" s="76" t="s">
        <v>104</v>
      </c>
      <c r="I750" s="76" t="s">
        <v>97</v>
      </c>
      <c r="J750" s="77" t="s">
        <v>23</v>
      </c>
      <c r="K750" s="77" t="s">
        <v>383</v>
      </c>
    </row>
    <row r="751" ht="15.75" customHeight="1">
      <c r="A751" s="72" t="s">
        <v>1614</v>
      </c>
      <c r="B751" s="73" t="s">
        <v>905</v>
      </c>
      <c r="C751" s="73">
        <v>7.09044115E8</v>
      </c>
      <c r="D751" s="74" t="s">
        <v>17</v>
      </c>
      <c r="E751" s="75" t="s">
        <v>832</v>
      </c>
      <c r="F751" s="72" t="s">
        <v>589</v>
      </c>
      <c r="G751" s="72" t="s">
        <v>72</v>
      </c>
      <c r="H751" s="76" t="s">
        <v>129</v>
      </c>
      <c r="I751" s="76" t="s">
        <v>22</v>
      </c>
      <c r="J751" s="77" t="s">
        <v>23</v>
      </c>
      <c r="K751" s="77" t="s">
        <v>230</v>
      </c>
    </row>
    <row r="752" ht="15.75" customHeight="1">
      <c r="A752" s="72" t="s">
        <v>1615</v>
      </c>
      <c r="B752" s="73" t="s">
        <v>15</v>
      </c>
      <c r="C752" s="73" t="s">
        <v>1299</v>
      </c>
      <c r="D752" s="74" t="s">
        <v>43</v>
      </c>
      <c r="E752" s="75" t="s">
        <v>640</v>
      </c>
      <c r="F752" s="72" t="s">
        <v>314</v>
      </c>
      <c r="G752" s="72" t="s">
        <v>511</v>
      </c>
      <c r="H752" s="76" t="s">
        <v>59</v>
      </c>
      <c r="I752" s="76" t="s">
        <v>97</v>
      </c>
      <c r="J752" s="77" t="s">
        <v>23</v>
      </c>
      <c r="K752" s="77" t="s">
        <v>1065</v>
      </c>
    </row>
    <row r="753" ht="15.75" customHeight="1">
      <c r="A753" s="72" t="s">
        <v>1616</v>
      </c>
      <c r="B753" s="73" t="s">
        <v>15</v>
      </c>
      <c r="C753" s="73" t="s">
        <v>1098</v>
      </c>
      <c r="D753" s="74" t="s">
        <v>43</v>
      </c>
      <c r="E753" s="75" t="s">
        <v>270</v>
      </c>
      <c r="F753" s="72" t="s">
        <v>566</v>
      </c>
      <c r="G753" s="72" t="s">
        <v>1080</v>
      </c>
      <c r="H753" s="76" t="s">
        <v>21</v>
      </c>
      <c r="I753" s="76" t="s">
        <v>47</v>
      </c>
      <c r="J753" s="77" t="s">
        <v>48</v>
      </c>
      <c r="K753" s="77" t="s">
        <v>1081</v>
      </c>
    </row>
    <row r="754" ht="15.75" customHeight="1">
      <c r="A754" s="72" t="s">
        <v>1617</v>
      </c>
      <c r="B754" s="73" t="s">
        <v>905</v>
      </c>
      <c r="C754" s="73" t="s">
        <v>353</v>
      </c>
      <c r="D754" s="74" t="s">
        <v>17</v>
      </c>
      <c r="E754" s="75" t="s">
        <v>873</v>
      </c>
      <c r="F754" s="72" t="s">
        <v>378</v>
      </c>
      <c r="G754" s="72" t="s">
        <v>103</v>
      </c>
      <c r="H754" s="76" t="s">
        <v>21</v>
      </c>
      <c r="I754" s="76" t="s">
        <v>105</v>
      </c>
      <c r="J754" s="77" t="s">
        <v>23</v>
      </c>
      <c r="K754" s="77" t="s">
        <v>24</v>
      </c>
    </row>
    <row r="755" ht="15.75" customHeight="1">
      <c r="A755" s="72" t="s">
        <v>1618</v>
      </c>
      <c r="B755" s="73" t="s">
        <v>521</v>
      </c>
      <c r="C755" s="73">
        <v>7.46915361E8</v>
      </c>
      <c r="D755" s="74" t="s">
        <v>43</v>
      </c>
      <c r="E755" s="75" t="s">
        <v>532</v>
      </c>
      <c r="F755" s="72" t="s">
        <v>357</v>
      </c>
      <c r="G755" s="72" t="s">
        <v>1151</v>
      </c>
      <c r="H755" s="76" t="s">
        <v>54</v>
      </c>
      <c r="I755" s="76" t="s">
        <v>130</v>
      </c>
      <c r="J755" s="77" t="s">
        <v>562</v>
      </c>
      <c r="K755" s="77" t="s">
        <v>923</v>
      </c>
    </row>
    <row r="756" ht="15.75" customHeight="1">
      <c r="A756" s="72" t="s">
        <v>1619</v>
      </c>
      <c r="B756" s="73" t="s">
        <v>521</v>
      </c>
      <c r="C756" s="73" t="s">
        <v>1299</v>
      </c>
      <c r="D756" s="74" t="s">
        <v>17</v>
      </c>
      <c r="E756" s="75" t="s">
        <v>649</v>
      </c>
      <c r="F756" s="72" t="s">
        <v>716</v>
      </c>
      <c r="G756" s="72" t="s">
        <v>418</v>
      </c>
      <c r="H756" s="76" t="s">
        <v>96</v>
      </c>
      <c r="I756" s="76" t="s">
        <v>97</v>
      </c>
      <c r="J756" s="77" t="s">
        <v>48</v>
      </c>
      <c r="K756" s="77" t="s">
        <v>24</v>
      </c>
    </row>
    <row r="757" ht="15.75" customHeight="1">
      <c r="A757" s="72" t="s">
        <v>1620</v>
      </c>
      <c r="B757" s="73" t="s">
        <v>376</v>
      </c>
      <c r="C757" s="73" t="s">
        <v>1111</v>
      </c>
      <c r="D757" s="74" t="s">
        <v>17</v>
      </c>
      <c r="E757" s="75" t="s">
        <v>38</v>
      </c>
      <c r="F757" s="72" t="s">
        <v>768</v>
      </c>
      <c r="G757" s="72" t="s">
        <v>1221</v>
      </c>
      <c r="H757" s="76" t="s">
        <v>200</v>
      </c>
      <c r="I757" s="76" t="s">
        <v>201</v>
      </c>
      <c r="J757" s="77" t="s">
        <v>277</v>
      </c>
      <c r="K757" s="77" t="s">
        <v>146</v>
      </c>
    </row>
    <row r="758" ht="15.75" customHeight="1">
      <c r="A758" s="72" t="s">
        <v>1621</v>
      </c>
      <c r="B758" s="73" t="s">
        <v>521</v>
      </c>
      <c r="C758" s="73" t="s">
        <v>353</v>
      </c>
      <c r="D758" s="74" t="s">
        <v>17</v>
      </c>
      <c r="E758" s="75" t="s">
        <v>1199</v>
      </c>
      <c r="F758" s="72" t="s">
        <v>1034</v>
      </c>
      <c r="G758" s="72" t="s">
        <v>222</v>
      </c>
      <c r="H758" s="76" t="s">
        <v>241</v>
      </c>
      <c r="I758" s="76" t="s">
        <v>105</v>
      </c>
      <c r="J758" s="77" t="s">
        <v>23</v>
      </c>
      <c r="K758" s="77" t="s">
        <v>49</v>
      </c>
    </row>
    <row r="759" ht="15.75" customHeight="1">
      <c r="A759" s="72" t="s">
        <v>1622</v>
      </c>
      <c r="B759" s="73" t="s">
        <v>376</v>
      </c>
      <c r="C759" s="73">
        <v>7.09501287E8</v>
      </c>
      <c r="D759" s="74" t="s">
        <v>17</v>
      </c>
      <c r="E759" s="75" t="s">
        <v>661</v>
      </c>
      <c r="F759" s="72" t="s">
        <v>543</v>
      </c>
      <c r="G759" s="72" t="s">
        <v>937</v>
      </c>
      <c r="H759" s="76" t="s">
        <v>557</v>
      </c>
      <c r="I759" s="76" t="s">
        <v>47</v>
      </c>
      <c r="J759" s="77" t="s">
        <v>48</v>
      </c>
      <c r="K759" s="77" t="s">
        <v>487</v>
      </c>
    </row>
    <row r="760" ht="15.75" customHeight="1">
      <c r="A760" s="72" t="s">
        <v>1623</v>
      </c>
      <c r="B760" s="73" t="s">
        <v>15</v>
      </c>
      <c r="C760" s="73">
        <v>7.05723744E8</v>
      </c>
      <c r="D760" s="74" t="s">
        <v>17</v>
      </c>
      <c r="E760" s="75" t="s">
        <v>532</v>
      </c>
      <c r="F760" s="72" t="s">
        <v>1167</v>
      </c>
      <c r="G760" s="72" t="s">
        <v>418</v>
      </c>
      <c r="H760" s="76" t="s">
        <v>276</v>
      </c>
      <c r="I760" s="76" t="s">
        <v>130</v>
      </c>
      <c r="J760" s="77" t="s">
        <v>23</v>
      </c>
      <c r="K760" s="77" t="s">
        <v>1065</v>
      </c>
    </row>
    <row r="761" ht="15.75" customHeight="1">
      <c r="A761" s="72" t="s">
        <v>1624</v>
      </c>
      <c r="B761" s="73" t="s">
        <v>376</v>
      </c>
      <c r="C761" s="73">
        <v>7.7463057E8</v>
      </c>
      <c r="D761" s="74" t="s">
        <v>43</v>
      </c>
      <c r="E761" s="75" t="s">
        <v>347</v>
      </c>
      <c r="F761" s="72" t="s">
        <v>826</v>
      </c>
      <c r="G761" s="72" t="s">
        <v>422</v>
      </c>
      <c r="H761" s="76" t="s">
        <v>581</v>
      </c>
      <c r="I761" s="76" t="s">
        <v>130</v>
      </c>
      <c r="J761" s="77" t="s">
        <v>23</v>
      </c>
      <c r="K761" s="77" t="s">
        <v>616</v>
      </c>
    </row>
    <row r="762" ht="15.75" customHeight="1">
      <c r="A762" s="72" t="s">
        <v>1625</v>
      </c>
      <c r="B762" s="73" t="s">
        <v>15</v>
      </c>
      <c r="C762" s="73" t="s">
        <v>51</v>
      </c>
      <c r="D762" s="74" t="s">
        <v>43</v>
      </c>
      <c r="E762" s="75" t="s">
        <v>136</v>
      </c>
      <c r="F762" s="72" t="s">
        <v>254</v>
      </c>
      <c r="G762" s="72" t="s">
        <v>379</v>
      </c>
      <c r="H762" s="76" t="s">
        <v>180</v>
      </c>
      <c r="I762" s="76" t="s">
        <v>130</v>
      </c>
      <c r="J762" s="77" t="s">
        <v>23</v>
      </c>
      <c r="K762" s="77" t="s">
        <v>24</v>
      </c>
    </row>
    <row r="763" ht="15.75" customHeight="1">
      <c r="A763" s="72" t="s">
        <v>1626</v>
      </c>
      <c r="B763" s="73" t="s">
        <v>905</v>
      </c>
      <c r="C763" s="73">
        <v>7.73310964E8</v>
      </c>
      <c r="D763" s="74" t="s">
        <v>43</v>
      </c>
      <c r="E763" s="75" t="s">
        <v>844</v>
      </c>
      <c r="F763" s="72" t="s">
        <v>903</v>
      </c>
      <c r="G763" s="72" t="s">
        <v>834</v>
      </c>
      <c r="H763" s="76" t="s">
        <v>129</v>
      </c>
      <c r="I763" s="76" t="s">
        <v>97</v>
      </c>
      <c r="J763" s="77" t="s">
        <v>48</v>
      </c>
      <c r="K763" s="77" t="s">
        <v>230</v>
      </c>
    </row>
    <row r="764" ht="15.75" customHeight="1">
      <c r="A764" s="72" t="s">
        <v>1627</v>
      </c>
      <c r="B764" s="73" t="s">
        <v>521</v>
      </c>
      <c r="C764" s="73" t="s">
        <v>343</v>
      </c>
      <c r="D764" s="74" t="s">
        <v>17</v>
      </c>
      <c r="E764" s="75" t="s">
        <v>995</v>
      </c>
      <c r="F764" s="72" t="s">
        <v>891</v>
      </c>
      <c r="G764" s="72" t="s">
        <v>422</v>
      </c>
      <c r="H764" s="76" t="s">
        <v>447</v>
      </c>
      <c r="I764" s="76" t="s">
        <v>105</v>
      </c>
      <c r="J764" s="77" t="s">
        <v>48</v>
      </c>
      <c r="K764" s="77" t="s">
        <v>1247</v>
      </c>
    </row>
    <row r="765" ht="15.75" customHeight="1">
      <c r="A765" s="72" t="s">
        <v>1628</v>
      </c>
      <c r="B765" s="73" t="s">
        <v>376</v>
      </c>
      <c r="C765" s="73" t="s">
        <v>936</v>
      </c>
      <c r="D765" s="74" t="s">
        <v>17</v>
      </c>
      <c r="E765" s="75" t="s">
        <v>1050</v>
      </c>
      <c r="F765" s="72" t="s">
        <v>458</v>
      </c>
      <c r="G765" s="72" t="s">
        <v>556</v>
      </c>
      <c r="H765" s="76" t="s">
        <v>34</v>
      </c>
      <c r="I765" s="76" t="s">
        <v>201</v>
      </c>
      <c r="J765" s="77" t="s">
        <v>48</v>
      </c>
      <c r="K765" s="77" t="s">
        <v>620</v>
      </c>
    </row>
    <row r="766" ht="15.75" customHeight="1">
      <c r="A766" s="72" t="s">
        <v>1629</v>
      </c>
      <c r="B766" s="73" t="s">
        <v>1048</v>
      </c>
      <c r="C766" s="73" t="s">
        <v>664</v>
      </c>
      <c r="D766" s="74" t="s">
        <v>43</v>
      </c>
      <c r="E766" s="75" t="s">
        <v>779</v>
      </c>
      <c r="F766" s="72" t="s">
        <v>292</v>
      </c>
      <c r="G766" s="72" t="s">
        <v>145</v>
      </c>
      <c r="H766" s="76" t="s">
        <v>21</v>
      </c>
      <c r="I766" s="76" t="s">
        <v>201</v>
      </c>
      <c r="J766" s="77" t="s">
        <v>23</v>
      </c>
      <c r="K766" s="77" t="s">
        <v>387</v>
      </c>
    </row>
    <row r="767" ht="15.75" customHeight="1">
      <c r="A767" s="72" t="s">
        <v>1630</v>
      </c>
      <c r="B767" s="73" t="s">
        <v>1048</v>
      </c>
      <c r="C767" s="73" t="s">
        <v>664</v>
      </c>
      <c r="D767" s="74" t="s">
        <v>17</v>
      </c>
      <c r="E767" s="75" t="s">
        <v>1013</v>
      </c>
      <c r="F767" s="72" t="s">
        <v>955</v>
      </c>
      <c r="G767" s="72" t="s">
        <v>556</v>
      </c>
      <c r="H767" s="76" t="s">
        <v>477</v>
      </c>
      <c r="I767" s="76" t="s">
        <v>201</v>
      </c>
      <c r="J767" s="77" t="s">
        <v>48</v>
      </c>
      <c r="K767" s="77" t="s">
        <v>523</v>
      </c>
    </row>
    <row r="768" ht="15.75" customHeight="1">
      <c r="A768" s="72" t="s">
        <v>1631</v>
      </c>
      <c r="B768" s="73" t="s">
        <v>905</v>
      </c>
      <c r="C768" s="73" t="s">
        <v>1241</v>
      </c>
      <c r="D768" s="74" t="s">
        <v>17</v>
      </c>
      <c r="E768" s="75" t="s">
        <v>463</v>
      </c>
      <c r="F768" s="72" t="s">
        <v>826</v>
      </c>
      <c r="G768" s="72" t="s">
        <v>20</v>
      </c>
      <c r="H768" s="76" t="s">
        <v>21</v>
      </c>
      <c r="I768" s="76" t="s">
        <v>717</v>
      </c>
      <c r="J768" s="77" t="s">
        <v>23</v>
      </c>
      <c r="K768" s="77" t="s">
        <v>423</v>
      </c>
    </row>
    <row r="769" ht="15.75" customHeight="1">
      <c r="A769" s="72" t="s">
        <v>1632</v>
      </c>
      <c r="B769" s="73" t="s">
        <v>521</v>
      </c>
      <c r="C769" s="73">
        <v>7.59109475E8</v>
      </c>
      <c r="D769" s="74" t="s">
        <v>43</v>
      </c>
      <c r="E769" s="75" t="s">
        <v>902</v>
      </c>
      <c r="F769" s="72" t="s">
        <v>374</v>
      </c>
      <c r="G769" s="72" t="s">
        <v>556</v>
      </c>
      <c r="H769" s="76" t="s">
        <v>21</v>
      </c>
      <c r="I769" s="76" t="s">
        <v>22</v>
      </c>
      <c r="J769" s="77" t="s">
        <v>48</v>
      </c>
      <c r="K769" s="77" t="s">
        <v>49</v>
      </c>
    </row>
    <row r="770" ht="15.75" customHeight="1">
      <c r="A770" s="72" t="s">
        <v>1633</v>
      </c>
      <c r="B770" s="73" t="s">
        <v>1048</v>
      </c>
      <c r="C770" s="73" t="s">
        <v>177</v>
      </c>
      <c r="D770" s="74" t="s">
        <v>17</v>
      </c>
      <c r="E770" s="75" t="s">
        <v>431</v>
      </c>
      <c r="F770" s="72" t="s">
        <v>802</v>
      </c>
      <c r="G770" s="72" t="s">
        <v>922</v>
      </c>
      <c r="H770" s="76" t="s">
        <v>59</v>
      </c>
      <c r="I770" s="76" t="s">
        <v>105</v>
      </c>
      <c r="J770" s="77" t="s">
        <v>23</v>
      </c>
      <c r="K770" s="77" t="s">
        <v>923</v>
      </c>
    </row>
    <row r="771" ht="15.75" customHeight="1">
      <c r="A771" s="72" t="s">
        <v>1634</v>
      </c>
      <c r="B771" s="73" t="s">
        <v>376</v>
      </c>
      <c r="C771" s="73" t="s">
        <v>733</v>
      </c>
      <c r="D771" s="74" t="s">
        <v>43</v>
      </c>
      <c r="E771" s="75" t="s">
        <v>239</v>
      </c>
      <c r="F771" s="72" t="s">
        <v>516</v>
      </c>
      <c r="G771" s="72" t="s">
        <v>111</v>
      </c>
      <c r="H771" s="76" t="s">
        <v>34</v>
      </c>
      <c r="I771" s="76" t="s">
        <v>130</v>
      </c>
      <c r="J771" s="77" t="s">
        <v>562</v>
      </c>
      <c r="K771" s="77" t="s">
        <v>49</v>
      </c>
    </row>
    <row r="772" ht="15.75" customHeight="1">
      <c r="A772" s="72" t="s">
        <v>1635</v>
      </c>
      <c r="B772" s="73" t="s">
        <v>376</v>
      </c>
      <c r="C772" s="73" t="s">
        <v>351</v>
      </c>
      <c r="D772" s="74" t="s">
        <v>17</v>
      </c>
      <c r="E772" s="75" t="s">
        <v>737</v>
      </c>
      <c r="F772" s="72" t="s">
        <v>341</v>
      </c>
      <c r="G772" s="72" t="s">
        <v>20</v>
      </c>
      <c r="H772" s="76" t="s">
        <v>54</v>
      </c>
      <c r="I772" s="76" t="s">
        <v>22</v>
      </c>
      <c r="J772" s="77" t="s">
        <v>48</v>
      </c>
      <c r="K772" s="77" t="s">
        <v>24</v>
      </c>
    </row>
    <row r="773" ht="15.75" customHeight="1">
      <c r="A773" s="72" t="s">
        <v>1636</v>
      </c>
      <c r="B773" s="73" t="s">
        <v>521</v>
      </c>
      <c r="C773" s="73" t="s">
        <v>492</v>
      </c>
      <c r="D773" s="74" t="s">
        <v>17</v>
      </c>
      <c r="E773" s="75" t="s">
        <v>291</v>
      </c>
      <c r="F773" s="72" t="s">
        <v>911</v>
      </c>
      <c r="G773" s="72" t="s">
        <v>20</v>
      </c>
      <c r="H773" s="76" t="s">
        <v>241</v>
      </c>
      <c r="I773" s="76" t="s">
        <v>105</v>
      </c>
      <c r="J773" s="77" t="s">
        <v>48</v>
      </c>
      <c r="K773" s="77" t="s">
        <v>393</v>
      </c>
    </row>
    <row r="774" ht="15.75" customHeight="1">
      <c r="A774" s="72" t="s">
        <v>1637</v>
      </c>
      <c r="B774" s="73" t="s">
        <v>905</v>
      </c>
      <c r="C774" s="73" t="s">
        <v>913</v>
      </c>
      <c r="D774" s="74" t="s">
        <v>17</v>
      </c>
      <c r="E774" s="75" t="s">
        <v>693</v>
      </c>
      <c r="F774" s="72" t="s">
        <v>33</v>
      </c>
      <c r="G774" s="72" t="s">
        <v>556</v>
      </c>
      <c r="H774" s="76" t="s">
        <v>69</v>
      </c>
      <c r="I774" s="76" t="s">
        <v>201</v>
      </c>
      <c r="J774" s="77" t="s">
        <v>48</v>
      </c>
      <c r="K774" s="77" t="s">
        <v>523</v>
      </c>
    </row>
    <row r="775" ht="15.75" customHeight="1">
      <c r="A775" s="72" t="s">
        <v>1638</v>
      </c>
      <c r="B775" s="73" t="s">
        <v>376</v>
      </c>
      <c r="C775" s="73">
        <v>7.11743454E8</v>
      </c>
      <c r="D775" s="74" t="s">
        <v>43</v>
      </c>
      <c r="E775" s="75" t="s">
        <v>356</v>
      </c>
      <c r="F775" s="72" t="s">
        <v>357</v>
      </c>
      <c r="G775" s="72" t="s">
        <v>834</v>
      </c>
      <c r="H775" s="76" t="s">
        <v>971</v>
      </c>
      <c r="I775" s="76" t="s">
        <v>201</v>
      </c>
      <c r="J775" s="77" t="s">
        <v>23</v>
      </c>
      <c r="K775" s="77" t="s">
        <v>945</v>
      </c>
    </row>
    <row r="776" ht="15.75" customHeight="1">
      <c r="A776" s="72" t="s">
        <v>1639</v>
      </c>
      <c r="B776" s="73" t="s">
        <v>376</v>
      </c>
      <c r="C776" s="73" t="s">
        <v>1244</v>
      </c>
      <c r="D776" s="74" t="s">
        <v>43</v>
      </c>
      <c r="E776" s="75" t="s">
        <v>274</v>
      </c>
      <c r="F776" s="72" t="s">
        <v>874</v>
      </c>
      <c r="G776" s="72" t="s">
        <v>418</v>
      </c>
      <c r="H776" s="76" t="s">
        <v>332</v>
      </c>
      <c r="I776" s="76" t="s">
        <v>22</v>
      </c>
      <c r="J776" s="77" t="s">
        <v>48</v>
      </c>
      <c r="K776" s="77" t="s">
        <v>230</v>
      </c>
    </row>
    <row r="777" ht="15.75" customHeight="1">
      <c r="A777" s="72" t="s">
        <v>1640</v>
      </c>
      <c r="B777" s="73" t="s">
        <v>905</v>
      </c>
      <c r="C777" s="73" t="s">
        <v>1007</v>
      </c>
      <c r="D777" s="74" t="s">
        <v>17</v>
      </c>
      <c r="E777" s="75" t="s">
        <v>204</v>
      </c>
      <c r="F777" s="72" t="s">
        <v>683</v>
      </c>
      <c r="G777" s="72" t="s">
        <v>379</v>
      </c>
      <c r="H777" s="76" t="s">
        <v>34</v>
      </c>
      <c r="I777" s="76" t="s">
        <v>130</v>
      </c>
      <c r="J777" s="77" t="s">
        <v>789</v>
      </c>
      <c r="K777" s="77" t="s">
        <v>24</v>
      </c>
    </row>
    <row r="778" ht="15.75" customHeight="1">
      <c r="A778" s="72" t="s">
        <v>1641</v>
      </c>
      <c r="B778" s="73" t="s">
        <v>15</v>
      </c>
      <c r="C778" s="73" t="s">
        <v>236</v>
      </c>
      <c r="D778" s="74" t="s">
        <v>17</v>
      </c>
      <c r="E778" s="75" t="s">
        <v>152</v>
      </c>
      <c r="F778" s="72" t="s">
        <v>1134</v>
      </c>
      <c r="G778" s="72" t="s">
        <v>418</v>
      </c>
      <c r="H778" s="76" t="s">
        <v>248</v>
      </c>
      <c r="I778" s="76" t="s">
        <v>201</v>
      </c>
      <c r="J778" s="77" t="s">
        <v>48</v>
      </c>
      <c r="K778" s="77" t="s">
        <v>523</v>
      </c>
    </row>
    <row r="779" ht="15.75" customHeight="1">
      <c r="A779" s="72" t="s">
        <v>1642</v>
      </c>
      <c r="B779" s="73" t="s">
        <v>376</v>
      </c>
      <c r="C779" s="73">
        <v>7.56945433E8</v>
      </c>
      <c r="D779" s="74" t="s">
        <v>43</v>
      </c>
      <c r="E779" s="75" t="s">
        <v>1009</v>
      </c>
      <c r="F779" s="72" t="s">
        <v>331</v>
      </c>
      <c r="G779" s="72" t="s">
        <v>979</v>
      </c>
      <c r="H779" s="76" t="s">
        <v>59</v>
      </c>
      <c r="I779" s="76" t="s">
        <v>22</v>
      </c>
      <c r="J779" s="77" t="s">
        <v>48</v>
      </c>
      <c r="K779" s="77" t="s">
        <v>24</v>
      </c>
    </row>
    <row r="780" ht="15.75" customHeight="1">
      <c r="A780" s="72" t="s">
        <v>1643</v>
      </c>
      <c r="B780" s="73" t="s">
        <v>905</v>
      </c>
      <c r="C780" s="73" t="s">
        <v>962</v>
      </c>
      <c r="D780" s="74" t="s">
        <v>17</v>
      </c>
      <c r="E780" s="75" t="s">
        <v>841</v>
      </c>
      <c r="F780" s="72" t="s">
        <v>1220</v>
      </c>
      <c r="G780" s="72" t="s">
        <v>1032</v>
      </c>
      <c r="H780" s="76" t="s">
        <v>349</v>
      </c>
      <c r="I780" s="76" t="s">
        <v>22</v>
      </c>
      <c r="J780" s="77" t="s">
        <v>761</v>
      </c>
      <c r="K780" s="77" t="s">
        <v>861</v>
      </c>
    </row>
    <row r="781" ht="15.75" customHeight="1">
      <c r="A781" s="72" t="s">
        <v>1644</v>
      </c>
      <c r="B781" s="73" t="s">
        <v>376</v>
      </c>
      <c r="C781" s="73">
        <v>7.96749487E8</v>
      </c>
      <c r="D781" s="74" t="s">
        <v>17</v>
      </c>
      <c r="E781" s="75" t="s">
        <v>746</v>
      </c>
      <c r="F781" s="72" t="s">
        <v>292</v>
      </c>
      <c r="G781" s="72" t="s">
        <v>72</v>
      </c>
      <c r="H781" s="76" t="s">
        <v>415</v>
      </c>
      <c r="I781" s="76" t="s">
        <v>97</v>
      </c>
      <c r="J781" s="77" t="s">
        <v>551</v>
      </c>
      <c r="K781" s="77" t="s">
        <v>1239</v>
      </c>
    </row>
    <row r="782" ht="15.75" customHeight="1">
      <c r="A782" s="72" t="s">
        <v>1645</v>
      </c>
      <c r="B782" s="73" t="s">
        <v>15</v>
      </c>
      <c r="C782" s="73" t="s">
        <v>868</v>
      </c>
      <c r="D782" s="74" t="s">
        <v>43</v>
      </c>
      <c r="E782" s="75" t="s">
        <v>539</v>
      </c>
      <c r="F782" s="72" t="s">
        <v>1044</v>
      </c>
      <c r="G782" s="72" t="s">
        <v>218</v>
      </c>
      <c r="H782" s="76" t="s">
        <v>544</v>
      </c>
      <c r="I782" s="76" t="s">
        <v>105</v>
      </c>
      <c r="J782" s="77" t="s">
        <v>48</v>
      </c>
      <c r="K782" s="77" t="s">
        <v>24</v>
      </c>
    </row>
    <row r="783" ht="15.75" customHeight="1">
      <c r="A783" s="72" t="s">
        <v>1646</v>
      </c>
      <c r="B783" s="73" t="s">
        <v>521</v>
      </c>
      <c r="C783" s="73" t="s">
        <v>675</v>
      </c>
      <c r="D783" s="74" t="s">
        <v>43</v>
      </c>
      <c r="E783" s="75" t="s">
        <v>420</v>
      </c>
      <c r="F783" s="72" t="s">
        <v>1278</v>
      </c>
      <c r="G783" s="72" t="s">
        <v>1201</v>
      </c>
      <c r="H783" s="76" t="s">
        <v>480</v>
      </c>
      <c r="I783" s="76" t="s">
        <v>1196</v>
      </c>
      <c r="J783" s="77" t="s">
        <v>761</v>
      </c>
      <c r="K783" s="77" t="s">
        <v>690</v>
      </c>
    </row>
    <row r="784" ht="15.75" customHeight="1">
      <c r="A784" s="72" t="s">
        <v>1647</v>
      </c>
      <c r="B784" s="73" t="s">
        <v>15</v>
      </c>
      <c r="C784" s="73" t="s">
        <v>100</v>
      </c>
      <c r="D784" s="74" t="s">
        <v>43</v>
      </c>
      <c r="E784" s="75" t="s">
        <v>951</v>
      </c>
      <c r="F784" s="72" t="s">
        <v>198</v>
      </c>
      <c r="G784" s="72" t="s">
        <v>1221</v>
      </c>
      <c r="H784" s="76" t="s">
        <v>34</v>
      </c>
      <c r="I784" s="76" t="s">
        <v>97</v>
      </c>
      <c r="J784" s="77" t="s">
        <v>89</v>
      </c>
      <c r="K784" s="77" t="s">
        <v>857</v>
      </c>
    </row>
    <row r="785" ht="15.75" customHeight="1">
      <c r="A785" s="72" t="s">
        <v>1648</v>
      </c>
      <c r="B785" s="73" t="s">
        <v>521</v>
      </c>
      <c r="C785" s="73">
        <v>7.07018654E8</v>
      </c>
      <c r="D785" s="74" t="s">
        <v>43</v>
      </c>
      <c r="E785" s="75" t="s">
        <v>676</v>
      </c>
      <c r="F785" s="72" t="s">
        <v>653</v>
      </c>
      <c r="G785" s="72" t="s">
        <v>556</v>
      </c>
      <c r="H785" s="76" t="s">
        <v>241</v>
      </c>
      <c r="I785" s="76" t="s">
        <v>201</v>
      </c>
      <c r="J785" s="77" t="s">
        <v>48</v>
      </c>
      <c r="K785" s="77" t="s">
        <v>775</v>
      </c>
    </row>
    <row r="786" ht="15.75" customHeight="1">
      <c r="A786" s="72" t="s">
        <v>1649</v>
      </c>
      <c r="B786" s="73" t="s">
        <v>1048</v>
      </c>
      <c r="C786" s="73" t="s">
        <v>1250</v>
      </c>
      <c r="D786" s="74" t="s">
        <v>17</v>
      </c>
      <c r="E786" s="75" t="s">
        <v>964</v>
      </c>
      <c r="F786" s="72" t="s">
        <v>1062</v>
      </c>
      <c r="G786" s="72" t="s">
        <v>422</v>
      </c>
      <c r="H786" s="76" t="s">
        <v>433</v>
      </c>
      <c r="I786" s="76" t="s">
        <v>201</v>
      </c>
      <c r="J786" s="77" t="s">
        <v>48</v>
      </c>
      <c r="K786" s="77" t="s">
        <v>923</v>
      </c>
    </row>
    <row r="787" ht="15.75" customHeight="1">
      <c r="A787" s="72" t="s">
        <v>1650</v>
      </c>
      <c r="B787" s="73" t="s">
        <v>15</v>
      </c>
      <c r="C787" s="73" t="s">
        <v>962</v>
      </c>
      <c r="D787" s="74" t="s">
        <v>17</v>
      </c>
      <c r="E787" s="75" t="s">
        <v>1099</v>
      </c>
      <c r="F787" s="72" t="s">
        <v>1014</v>
      </c>
      <c r="G787" s="72" t="s">
        <v>418</v>
      </c>
      <c r="H787" s="76" t="s">
        <v>34</v>
      </c>
      <c r="I787" s="76" t="s">
        <v>201</v>
      </c>
      <c r="J787" s="77" t="s">
        <v>48</v>
      </c>
      <c r="K787" s="77" t="s">
        <v>90</v>
      </c>
    </row>
    <row r="788" ht="15.75" customHeight="1">
      <c r="A788" s="72" t="s">
        <v>1651</v>
      </c>
      <c r="B788" s="73" t="s">
        <v>1048</v>
      </c>
      <c r="C788" s="73">
        <v>7.21315466E8</v>
      </c>
      <c r="D788" s="74" t="s">
        <v>17</v>
      </c>
      <c r="E788" s="75" t="s">
        <v>1093</v>
      </c>
      <c r="F788" s="72" t="s">
        <v>743</v>
      </c>
      <c r="G788" s="72" t="s">
        <v>1052</v>
      </c>
      <c r="H788" s="76" t="s">
        <v>21</v>
      </c>
      <c r="I788" s="76" t="s">
        <v>47</v>
      </c>
      <c r="J788" s="77" t="s">
        <v>23</v>
      </c>
      <c r="K788" s="77" t="s">
        <v>82</v>
      </c>
    </row>
    <row r="789" ht="15.75" customHeight="1">
      <c r="A789" s="72" t="s">
        <v>1652</v>
      </c>
      <c r="B789" s="73" t="s">
        <v>15</v>
      </c>
      <c r="C789" s="73" t="s">
        <v>1219</v>
      </c>
      <c r="D789" s="74" t="s">
        <v>43</v>
      </c>
      <c r="E789" s="75" t="s">
        <v>27</v>
      </c>
      <c r="F789" s="72" t="s">
        <v>53</v>
      </c>
      <c r="G789" s="72" t="s">
        <v>103</v>
      </c>
      <c r="H789" s="76" t="s">
        <v>535</v>
      </c>
      <c r="I789" s="76" t="s">
        <v>29</v>
      </c>
      <c r="J789" s="77" t="s">
        <v>562</v>
      </c>
      <c r="K789" s="77" t="s">
        <v>775</v>
      </c>
    </row>
    <row r="790" ht="15.75" customHeight="1">
      <c r="A790" s="72" t="s">
        <v>1653</v>
      </c>
      <c r="B790" s="73" t="s">
        <v>521</v>
      </c>
      <c r="C790" s="73" t="s">
        <v>196</v>
      </c>
      <c r="D790" s="74" t="s">
        <v>17</v>
      </c>
      <c r="E790" s="75" t="s">
        <v>1336</v>
      </c>
      <c r="F790" s="72" t="s">
        <v>886</v>
      </c>
      <c r="G790" s="72" t="s">
        <v>379</v>
      </c>
      <c r="H790" s="76" t="s">
        <v>535</v>
      </c>
      <c r="I790" s="76" t="s">
        <v>97</v>
      </c>
      <c r="J790" s="77" t="s">
        <v>89</v>
      </c>
      <c r="K790" s="77" t="s">
        <v>1141</v>
      </c>
    </row>
    <row r="791" ht="15.75" customHeight="1">
      <c r="A791" s="72" t="s">
        <v>1654</v>
      </c>
      <c r="B791" s="73" t="s">
        <v>15</v>
      </c>
      <c r="C791" s="73" t="s">
        <v>1232</v>
      </c>
      <c r="D791" s="74" t="s">
        <v>43</v>
      </c>
      <c r="E791" s="75" t="s">
        <v>187</v>
      </c>
      <c r="F791" s="72" t="s">
        <v>626</v>
      </c>
      <c r="G791" s="72" t="s">
        <v>145</v>
      </c>
      <c r="H791" s="76" t="s">
        <v>433</v>
      </c>
      <c r="I791" s="76" t="s">
        <v>201</v>
      </c>
      <c r="J791" s="77" t="s">
        <v>23</v>
      </c>
      <c r="K791" s="77" t="s">
        <v>916</v>
      </c>
    </row>
    <row r="792" ht="15.75" customHeight="1">
      <c r="A792" s="72" t="s">
        <v>1655</v>
      </c>
      <c r="B792" s="73" t="s">
        <v>521</v>
      </c>
      <c r="C792" s="73" t="s">
        <v>186</v>
      </c>
      <c r="D792" s="74" t="s">
        <v>43</v>
      </c>
      <c r="E792" s="75" t="s">
        <v>565</v>
      </c>
      <c r="F792" s="72" t="s">
        <v>1186</v>
      </c>
      <c r="G792" s="72" t="s">
        <v>418</v>
      </c>
      <c r="H792" s="76" t="s">
        <v>557</v>
      </c>
      <c r="I792" s="76" t="s">
        <v>113</v>
      </c>
      <c r="J792" s="77" t="s">
        <v>562</v>
      </c>
      <c r="K792" s="77" t="s">
        <v>523</v>
      </c>
    </row>
    <row r="793" ht="15.75" customHeight="1">
      <c r="A793" s="72" t="s">
        <v>1656</v>
      </c>
      <c r="B793" s="73" t="s">
        <v>1048</v>
      </c>
      <c r="C793" s="73" t="s">
        <v>1159</v>
      </c>
      <c r="D793" s="74" t="s">
        <v>17</v>
      </c>
      <c r="E793" s="75" t="s">
        <v>782</v>
      </c>
      <c r="F793" s="72" t="s">
        <v>894</v>
      </c>
      <c r="G793" s="72" t="s">
        <v>418</v>
      </c>
      <c r="H793" s="76" t="s">
        <v>21</v>
      </c>
      <c r="I793" s="76" t="s">
        <v>105</v>
      </c>
      <c r="J793" s="77" t="s">
        <v>48</v>
      </c>
      <c r="K793" s="77" t="s">
        <v>383</v>
      </c>
    </row>
    <row r="794" ht="15.75" customHeight="1">
      <c r="A794" s="72" t="s">
        <v>1657</v>
      </c>
      <c r="B794" s="73" t="s">
        <v>905</v>
      </c>
      <c r="C794" s="73" t="s">
        <v>16</v>
      </c>
      <c r="D794" s="74" t="s">
        <v>17</v>
      </c>
      <c r="E794" s="75" t="s">
        <v>737</v>
      </c>
      <c r="F794" s="72" t="s">
        <v>1062</v>
      </c>
      <c r="G794" s="72" t="s">
        <v>382</v>
      </c>
      <c r="H794" s="76" t="s">
        <v>34</v>
      </c>
      <c r="I794" s="76" t="s">
        <v>97</v>
      </c>
      <c r="J794" s="77" t="s">
        <v>48</v>
      </c>
      <c r="K794" s="77" t="s">
        <v>748</v>
      </c>
    </row>
    <row r="795" ht="15.75" customHeight="1">
      <c r="A795" s="72" t="s">
        <v>1658</v>
      </c>
      <c r="B795" s="73" t="s">
        <v>15</v>
      </c>
      <c r="C795" s="73" t="s">
        <v>203</v>
      </c>
      <c r="D795" s="74" t="s">
        <v>17</v>
      </c>
      <c r="E795" s="75" t="s">
        <v>390</v>
      </c>
      <c r="F795" s="72" t="s">
        <v>1304</v>
      </c>
      <c r="G795" s="72" t="s">
        <v>484</v>
      </c>
      <c r="H795" s="76" t="s">
        <v>34</v>
      </c>
      <c r="I795" s="76" t="s">
        <v>97</v>
      </c>
      <c r="J795" s="77" t="s">
        <v>23</v>
      </c>
      <c r="K795" s="77" t="s">
        <v>963</v>
      </c>
    </row>
    <row r="796" ht="15.75" customHeight="1">
      <c r="A796" s="72" t="s">
        <v>1659</v>
      </c>
      <c r="B796" s="73" t="s">
        <v>905</v>
      </c>
      <c r="C796" s="73">
        <v>7.19973176E8</v>
      </c>
      <c r="D796" s="74" t="s">
        <v>17</v>
      </c>
      <c r="E796" s="75" t="s">
        <v>613</v>
      </c>
      <c r="F796" s="72" t="s">
        <v>783</v>
      </c>
      <c r="G796" s="72" t="s">
        <v>534</v>
      </c>
      <c r="H796" s="76" t="s">
        <v>477</v>
      </c>
      <c r="I796" s="76" t="s">
        <v>97</v>
      </c>
      <c r="J796" s="77" t="s">
        <v>23</v>
      </c>
      <c r="K796" s="77" t="s">
        <v>49</v>
      </c>
    </row>
    <row r="797" ht="15.75" customHeight="1">
      <c r="A797" s="72" t="s">
        <v>1660</v>
      </c>
      <c r="B797" s="73" t="s">
        <v>905</v>
      </c>
      <c r="C797" s="73" t="s">
        <v>1107</v>
      </c>
      <c r="D797" s="74" t="s">
        <v>17</v>
      </c>
      <c r="E797" s="75" t="s">
        <v>746</v>
      </c>
      <c r="F797" s="72" t="s">
        <v>677</v>
      </c>
      <c r="G797" s="72" t="s">
        <v>418</v>
      </c>
      <c r="H797" s="76" t="s">
        <v>1064</v>
      </c>
      <c r="I797" s="76" t="s">
        <v>22</v>
      </c>
      <c r="J797" s="77" t="s">
        <v>48</v>
      </c>
      <c r="K797" s="77" t="s">
        <v>601</v>
      </c>
    </row>
    <row r="798" ht="15.75" customHeight="1">
      <c r="A798" s="72" t="s">
        <v>1661</v>
      </c>
      <c r="B798" s="73" t="s">
        <v>15</v>
      </c>
      <c r="C798" s="73" t="s">
        <v>630</v>
      </c>
      <c r="D798" s="74" t="s">
        <v>43</v>
      </c>
      <c r="E798" s="75" t="s">
        <v>365</v>
      </c>
      <c r="F798" s="72" t="s">
        <v>766</v>
      </c>
      <c r="G798" s="72" t="s">
        <v>1095</v>
      </c>
      <c r="H798" s="76" t="s">
        <v>544</v>
      </c>
      <c r="I798" s="76" t="s">
        <v>105</v>
      </c>
      <c r="J798" s="77" t="s">
        <v>89</v>
      </c>
      <c r="K798" s="77" t="s">
        <v>1022</v>
      </c>
    </row>
    <row r="799" ht="15.75" customHeight="1">
      <c r="A799" s="72" t="s">
        <v>1662</v>
      </c>
      <c r="B799" s="73" t="s">
        <v>905</v>
      </c>
      <c r="C799" s="73">
        <v>7.51524826E8</v>
      </c>
      <c r="D799" s="74" t="s">
        <v>43</v>
      </c>
      <c r="E799" s="75" t="s">
        <v>347</v>
      </c>
      <c r="F799" s="72" t="s">
        <v>824</v>
      </c>
      <c r="G799" s="72" t="s">
        <v>418</v>
      </c>
      <c r="H799" s="76" t="s">
        <v>123</v>
      </c>
      <c r="I799" s="76" t="s">
        <v>201</v>
      </c>
      <c r="J799" s="77" t="s">
        <v>23</v>
      </c>
      <c r="K799" s="77" t="s">
        <v>49</v>
      </c>
    </row>
    <row r="800" ht="15.75" customHeight="1">
      <c r="A800" s="72" t="s">
        <v>1663</v>
      </c>
      <c r="B800" s="73" t="s">
        <v>15</v>
      </c>
      <c r="C800" s="73" t="s">
        <v>1005</v>
      </c>
      <c r="D800" s="74" t="s">
        <v>17</v>
      </c>
      <c r="E800" s="75" t="s">
        <v>746</v>
      </c>
      <c r="F800" s="72" t="s">
        <v>1079</v>
      </c>
      <c r="G800" s="72" t="s">
        <v>931</v>
      </c>
      <c r="H800" s="76" t="s">
        <v>932</v>
      </c>
      <c r="I800" s="76" t="s">
        <v>130</v>
      </c>
      <c r="J800" s="77" t="s">
        <v>48</v>
      </c>
      <c r="K800" s="77" t="s">
        <v>718</v>
      </c>
    </row>
    <row r="801" ht="15.75" customHeight="1">
      <c r="A801" s="72" t="s">
        <v>1664</v>
      </c>
      <c r="B801" s="73" t="s">
        <v>521</v>
      </c>
      <c r="C801" s="73" t="s">
        <v>250</v>
      </c>
      <c r="D801" s="74" t="s">
        <v>17</v>
      </c>
      <c r="E801" s="75" t="s">
        <v>52</v>
      </c>
      <c r="F801" s="72" t="s">
        <v>894</v>
      </c>
      <c r="G801" s="72" t="s">
        <v>418</v>
      </c>
      <c r="H801" s="76" t="s">
        <v>535</v>
      </c>
      <c r="I801" s="76" t="s">
        <v>130</v>
      </c>
      <c r="J801" s="77" t="s">
        <v>81</v>
      </c>
      <c r="K801" s="77" t="s">
        <v>1268</v>
      </c>
    </row>
    <row r="802" ht="15.75" customHeight="1">
      <c r="A802" s="72" t="s">
        <v>1665</v>
      </c>
      <c r="B802" s="73" t="s">
        <v>521</v>
      </c>
      <c r="C802" s="73">
        <v>7.66018323E8</v>
      </c>
      <c r="D802" s="74" t="s">
        <v>43</v>
      </c>
      <c r="E802" s="75" t="s">
        <v>1084</v>
      </c>
      <c r="F802" s="72" t="s">
        <v>1079</v>
      </c>
      <c r="G802" s="72" t="s">
        <v>615</v>
      </c>
      <c r="H802" s="76" t="s">
        <v>34</v>
      </c>
      <c r="I802" s="76" t="s">
        <v>201</v>
      </c>
      <c r="J802" s="77" t="s">
        <v>23</v>
      </c>
      <c r="K802" s="77" t="s">
        <v>542</v>
      </c>
    </row>
    <row r="803" ht="15.75" customHeight="1">
      <c r="A803" s="72" t="s">
        <v>1666</v>
      </c>
      <c r="B803" s="73" t="s">
        <v>521</v>
      </c>
      <c r="C803" s="73">
        <v>7.18033587E8</v>
      </c>
      <c r="D803" s="74" t="s">
        <v>1336</v>
      </c>
      <c r="E803" s="75" t="s">
        <v>405</v>
      </c>
      <c r="F803" s="72" t="s">
        <v>1066</v>
      </c>
      <c r="G803" s="72" t="s">
        <v>418</v>
      </c>
      <c r="H803" s="76" t="s">
        <v>535</v>
      </c>
      <c r="I803" s="76" t="s">
        <v>113</v>
      </c>
      <c r="J803" s="77" t="s">
        <v>48</v>
      </c>
      <c r="K803" s="77" t="s">
        <v>24</v>
      </c>
    </row>
    <row r="804" ht="15.75" customHeight="1">
      <c r="A804" s="72" t="s">
        <v>1667</v>
      </c>
      <c r="B804" s="73" t="s">
        <v>521</v>
      </c>
      <c r="C804" s="73">
        <v>7.18848966E8</v>
      </c>
      <c r="D804" s="74" t="s">
        <v>43</v>
      </c>
      <c r="E804" s="75" t="s">
        <v>964</v>
      </c>
      <c r="F804" s="72" t="s">
        <v>653</v>
      </c>
      <c r="G804" s="72" t="s">
        <v>1032</v>
      </c>
      <c r="H804" s="76" t="s">
        <v>241</v>
      </c>
      <c r="I804" s="76" t="s">
        <v>22</v>
      </c>
      <c r="J804" s="77" t="s">
        <v>23</v>
      </c>
      <c r="K804" s="77" t="s">
        <v>563</v>
      </c>
    </row>
    <row r="805" ht="15.75" customHeight="1">
      <c r="A805" s="72" t="s">
        <v>1668</v>
      </c>
      <c r="B805" s="73" t="s">
        <v>521</v>
      </c>
      <c r="C805" s="73" t="s">
        <v>84</v>
      </c>
      <c r="D805" s="74" t="s">
        <v>43</v>
      </c>
      <c r="E805" s="75" t="s">
        <v>174</v>
      </c>
      <c r="F805" s="72" t="s">
        <v>614</v>
      </c>
      <c r="G805" s="72" t="s">
        <v>145</v>
      </c>
      <c r="H805" s="76" t="s">
        <v>59</v>
      </c>
      <c r="I805" s="76" t="s">
        <v>22</v>
      </c>
      <c r="J805" s="77" t="s">
        <v>23</v>
      </c>
      <c r="K805" s="77" t="s">
        <v>24</v>
      </c>
    </row>
    <row r="806" ht="15.75" customHeight="1">
      <c r="A806" s="72" t="s">
        <v>1669</v>
      </c>
      <c r="B806" s="73" t="s">
        <v>521</v>
      </c>
      <c r="C806" s="73" t="s">
        <v>865</v>
      </c>
      <c r="D806" s="74" t="s">
        <v>17</v>
      </c>
      <c r="E806" s="75" t="s">
        <v>693</v>
      </c>
      <c r="F806" s="72" t="s">
        <v>1046</v>
      </c>
      <c r="G806" s="72" t="s">
        <v>418</v>
      </c>
      <c r="H806" s="76" t="s">
        <v>581</v>
      </c>
      <c r="I806" s="76" t="s">
        <v>201</v>
      </c>
      <c r="J806" s="77" t="s">
        <v>48</v>
      </c>
      <c r="K806" s="77" t="s">
        <v>49</v>
      </c>
    </row>
    <row r="807" ht="15.75" customHeight="1">
      <c r="A807" s="72" t="s">
        <v>1670</v>
      </c>
      <c r="B807" s="73" t="s">
        <v>521</v>
      </c>
      <c r="C807" s="73" t="s">
        <v>502</v>
      </c>
      <c r="D807" s="74" t="s">
        <v>43</v>
      </c>
      <c r="E807" s="75" t="s">
        <v>1078</v>
      </c>
      <c r="F807" s="72" t="s">
        <v>722</v>
      </c>
      <c r="G807" s="72" t="s">
        <v>897</v>
      </c>
      <c r="H807" s="76" t="s">
        <v>59</v>
      </c>
      <c r="I807" s="76" t="s">
        <v>1196</v>
      </c>
      <c r="J807" s="77" t="s">
        <v>48</v>
      </c>
      <c r="K807" s="77" t="s">
        <v>1239</v>
      </c>
    </row>
    <row r="808" ht="15.75" customHeight="1">
      <c r="A808" s="72" t="s">
        <v>1671</v>
      </c>
      <c r="B808" s="73" t="s">
        <v>521</v>
      </c>
      <c r="C808" s="73" t="s">
        <v>245</v>
      </c>
      <c r="D808" s="74" t="s">
        <v>17</v>
      </c>
      <c r="E808" s="75" t="s">
        <v>525</v>
      </c>
      <c r="F808" s="72" t="s">
        <v>215</v>
      </c>
      <c r="G808" s="72" t="s">
        <v>1151</v>
      </c>
      <c r="H808" s="76" t="s">
        <v>129</v>
      </c>
      <c r="I808" s="76" t="s">
        <v>130</v>
      </c>
      <c r="J808" s="77" t="s">
        <v>23</v>
      </c>
      <c r="K808" s="77" t="s">
        <v>528</v>
      </c>
    </row>
    <row r="809" ht="15.75" customHeight="1">
      <c r="A809" s="72" t="s">
        <v>1672</v>
      </c>
      <c r="B809" s="73" t="s">
        <v>1048</v>
      </c>
      <c r="C809" s="73">
        <v>7.23522266E8</v>
      </c>
      <c r="D809" s="74" t="s">
        <v>43</v>
      </c>
      <c r="E809" s="75" t="s">
        <v>1199</v>
      </c>
      <c r="F809" s="72" t="s">
        <v>803</v>
      </c>
      <c r="G809" s="72" t="s">
        <v>1151</v>
      </c>
      <c r="H809" s="76" t="s">
        <v>69</v>
      </c>
      <c r="I809" s="76" t="s">
        <v>113</v>
      </c>
      <c r="J809" s="77" t="s">
        <v>23</v>
      </c>
      <c r="K809" s="77" t="s">
        <v>1247</v>
      </c>
    </row>
    <row r="810" ht="15.75" customHeight="1">
      <c r="A810" s="72" t="s">
        <v>1673</v>
      </c>
      <c r="B810" s="73" t="s">
        <v>521</v>
      </c>
      <c r="C810" s="73">
        <v>7.10842078E8</v>
      </c>
      <c r="D810" s="74" t="s">
        <v>43</v>
      </c>
      <c r="E810" s="75" t="s">
        <v>902</v>
      </c>
      <c r="F810" s="72" t="s">
        <v>683</v>
      </c>
      <c r="G810" s="72" t="s">
        <v>418</v>
      </c>
      <c r="H810" s="76" t="s">
        <v>21</v>
      </c>
      <c r="I810" s="76" t="s">
        <v>97</v>
      </c>
      <c r="J810" s="77" t="s">
        <v>48</v>
      </c>
      <c r="K810" s="77" t="s">
        <v>542</v>
      </c>
    </row>
    <row r="811" ht="15.75" customHeight="1">
      <c r="A811" s="72" t="s">
        <v>1674</v>
      </c>
      <c r="B811" s="73" t="s">
        <v>905</v>
      </c>
      <c r="C811" s="73" t="s">
        <v>353</v>
      </c>
      <c r="D811" s="74" t="s">
        <v>17</v>
      </c>
      <c r="E811" s="75" t="s">
        <v>631</v>
      </c>
      <c r="F811" s="72" t="s">
        <v>901</v>
      </c>
      <c r="G811" s="72" t="s">
        <v>418</v>
      </c>
      <c r="H811" s="76" t="s">
        <v>69</v>
      </c>
      <c r="I811" s="76" t="s">
        <v>130</v>
      </c>
      <c r="J811" s="77" t="s">
        <v>23</v>
      </c>
      <c r="K811" s="77" t="s">
        <v>24</v>
      </c>
    </row>
    <row r="812" ht="15.75" customHeight="1">
      <c r="A812" s="72" t="s">
        <v>1675</v>
      </c>
      <c r="B812" s="73" t="s">
        <v>376</v>
      </c>
      <c r="C812" s="73" t="s">
        <v>339</v>
      </c>
      <c r="D812" s="74" t="s">
        <v>17</v>
      </c>
      <c r="E812" s="75" t="s">
        <v>431</v>
      </c>
      <c r="F812" s="72" t="s">
        <v>583</v>
      </c>
      <c r="G812" s="72" t="s">
        <v>493</v>
      </c>
      <c r="H812" s="76" t="s">
        <v>210</v>
      </c>
      <c r="I812" s="76" t="s">
        <v>97</v>
      </c>
      <c r="J812" s="77" t="s">
        <v>48</v>
      </c>
      <c r="K812" s="77" t="s">
        <v>383</v>
      </c>
    </row>
    <row r="813" ht="15.75" customHeight="1">
      <c r="A813" s="72" t="s">
        <v>1676</v>
      </c>
      <c r="B813" s="73" t="s">
        <v>521</v>
      </c>
      <c r="C813" s="73" t="s">
        <v>339</v>
      </c>
      <c r="D813" s="74" t="s">
        <v>17</v>
      </c>
      <c r="E813" s="75" t="s">
        <v>796</v>
      </c>
      <c r="F813" s="72" t="s">
        <v>1220</v>
      </c>
      <c r="G813" s="72" t="s">
        <v>72</v>
      </c>
      <c r="H813" s="76" t="s">
        <v>316</v>
      </c>
      <c r="I813" s="76" t="s">
        <v>130</v>
      </c>
      <c r="J813" s="77" t="s">
        <v>277</v>
      </c>
      <c r="K813" s="77" t="s">
        <v>24</v>
      </c>
    </row>
    <row r="814" ht="15.75" customHeight="1">
      <c r="A814" s="72" t="s">
        <v>1677</v>
      </c>
      <c r="B814" s="73" t="s">
        <v>905</v>
      </c>
      <c r="C814" s="73" t="s">
        <v>158</v>
      </c>
      <c r="D814" s="74" t="s">
        <v>43</v>
      </c>
      <c r="E814" s="75" t="s">
        <v>832</v>
      </c>
      <c r="F814" s="72" t="s">
        <v>421</v>
      </c>
      <c r="G814" s="72" t="s">
        <v>80</v>
      </c>
      <c r="H814" s="76" t="s">
        <v>21</v>
      </c>
      <c r="I814" s="76" t="s">
        <v>22</v>
      </c>
      <c r="J814" s="77" t="s">
        <v>48</v>
      </c>
      <c r="K814" s="77" t="s">
        <v>815</v>
      </c>
    </row>
    <row r="815" ht="15.75" customHeight="1">
      <c r="A815" s="72" t="s">
        <v>1678</v>
      </c>
      <c r="B815" s="73" t="s">
        <v>15</v>
      </c>
      <c r="C815" s="73" t="s">
        <v>224</v>
      </c>
      <c r="D815" s="74" t="s">
        <v>43</v>
      </c>
      <c r="E815" s="75" t="s">
        <v>66</v>
      </c>
      <c r="F815" s="72" t="s">
        <v>86</v>
      </c>
      <c r="G815" s="72" t="s">
        <v>472</v>
      </c>
      <c r="H815" s="76" t="s">
        <v>21</v>
      </c>
      <c r="I815" s="76" t="s">
        <v>105</v>
      </c>
      <c r="J815" s="77" t="s">
        <v>23</v>
      </c>
      <c r="K815" s="77" t="s">
        <v>1022</v>
      </c>
    </row>
    <row r="816" ht="15.75" customHeight="1">
      <c r="A816" s="72" t="s">
        <v>1679</v>
      </c>
      <c r="B816" s="73" t="s">
        <v>905</v>
      </c>
      <c r="C816" s="73">
        <v>7.10847052E8</v>
      </c>
      <c r="D816" s="74" t="s">
        <v>43</v>
      </c>
      <c r="E816" s="75" t="s">
        <v>572</v>
      </c>
      <c r="F816" s="72" t="s">
        <v>824</v>
      </c>
      <c r="G816" s="72" t="s">
        <v>667</v>
      </c>
      <c r="H816" s="76" t="s">
        <v>971</v>
      </c>
      <c r="I816" s="76" t="s">
        <v>22</v>
      </c>
      <c r="J816" s="77" t="s">
        <v>48</v>
      </c>
      <c r="K816" s="77" t="s">
        <v>1285</v>
      </c>
    </row>
    <row r="817" ht="15.75" customHeight="1">
      <c r="A817" s="72" t="s">
        <v>1680</v>
      </c>
      <c r="B817" s="73" t="s">
        <v>1048</v>
      </c>
      <c r="C817" s="73" t="s">
        <v>243</v>
      </c>
      <c r="D817" s="74" t="s">
        <v>43</v>
      </c>
      <c r="E817" s="75" t="s">
        <v>27</v>
      </c>
      <c r="F817" s="72" t="s">
        <v>874</v>
      </c>
      <c r="G817" s="72" t="s">
        <v>556</v>
      </c>
      <c r="H817" s="76" t="s">
        <v>316</v>
      </c>
      <c r="I817" s="76" t="s">
        <v>97</v>
      </c>
      <c r="J817" s="77" t="s">
        <v>48</v>
      </c>
      <c r="K817" s="77" t="s">
        <v>570</v>
      </c>
    </row>
    <row r="818" ht="15.75" customHeight="1">
      <c r="A818" s="72" t="s">
        <v>1681</v>
      </c>
      <c r="B818" s="73" t="s">
        <v>376</v>
      </c>
      <c r="C818" s="73" t="s">
        <v>714</v>
      </c>
      <c r="D818" s="74" t="s">
        <v>17</v>
      </c>
      <c r="E818" s="75" t="s">
        <v>167</v>
      </c>
      <c r="F818" s="72" t="s">
        <v>1014</v>
      </c>
      <c r="G818" s="72" t="s">
        <v>1238</v>
      </c>
      <c r="H818" s="76" t="s">
        <v>577</v>
      </c>
      <c r="I818" s="76" t="s">
        <v>22</v>
      </c>
      <c r="J818" s="77" t="s">
        <v>48</v>
      </c>
      <c r="K818" s="77" t="s">
        <v>24</v>
      </c>
    </row>
    <row r="819" ht="15.75" customHeight="1">
      <c r="A819" s="72" t="s">
        <v>1682</v>
      </c>
      <c r="B819" s="73" t="s">
        <v>15</v>
      </c>
      <c r="C819" s="73" t="s">
        <v>920</v>
      </c>
      <c r="D819" s="74" t="s">
        <v>17</v>
      </c>
      <c r="E819" s="75" t="s">
        <v>431</v>
      </c>
      <c r="F819" s="72" t="s">
        <v>949</v>
      </c>
      <c r="G819" s="72" t="s">
        <v>987</v>
      </c>
      <c r="H819" s="76" t="s">
        <v>104</v>
      </c>
      <c r="I819" s="76" t="s">
        <v>130</v>
      </c>
      <c r="J819" s="77" t="s">
        <v>23</v>
      </c>
      <c r="K819" s="77" t="s">
        <v>24</v>
      </c>
    </row>
    <row r="820" ht="15.75" customHeight="1">
      <c r="A820" s="72" t="s">
        <v>1683</v>
      </c>
      <c r="B820" s="73" t="s">
        <v>15</v>
      </c>
      <c r="C820" s="73">
        <v>7.36224314E8</v>
      </c>
      <c r="D820" s="74" t="s">
        <v>17</v>
      </c>
      <c r="E820" s="75" t="s">
        <v>902</v>
      </c>
      <c r="F820" s="72" t="s">
        <v>292</v>
      </c>
      <c r="G820" s="72" t="s">
        <v>1015</v>
      </c>
      <c r="H820" s="76" t="s">
        <v>210</v>
      </c>
      <c r="I820" s="76" t="s">
        <v>22</v>
      </c>
      <c r="J820" s="77" t="s">
        <v>48</v>
      </c>
      <c r="K820" s="77" t="s">
        <v>563</v>
      </c>
    </row>
    <row r="821" ht="15.75" customHeight="1">
      <c r="A821" s="72" t="s">
        <v>1684</v>
      </c>
      <c r="B821" s="73" t="s">
        <v>1048</v>
      </c>
      <c r="C821" s="73" t="s">
        <v>1088</v>
      </c>
      <c r="D821" s="74" t="s">
        <v>17</v>
      </c>
      <c r="E821" s="75" t="s">
        <v>509</v>
      </c>
      <c r="F821" s="72" t="s">
        <v>994</v>
      </c>
      <c r="G821" s="72" t="s">
        <v>337</v>
      </c>
      <c r="H821" s="76" t="s">
        <v>200</v>
      </c>
      <c r="I821" s="76" t="s">
        <v>409</v>
      </c>
      <c r="J821" s="77" t="s">
        <v>48</v>
      </c>
      <c r="K821" s="77" t="s">
        <v>1065</v>
      </c>
    </row>
    <row r="822" ht="15.75" customHeight="1">
      <c r="A822" s="72" t="s">
        <v>1685</v>
      </c>
      <c r="B822" s="73" t="s">
        <v>905</v>
      </c>
      <c r="C822" s="73" t="s">
        <v>196</v>
      </c>
      <c r="D822" s="74" t="s">
        <v>43</v>
      </c>
      <c r="E822" s="75" t="s">
        <v>786</v>
      </c>
      <c r="F822" s="72" t="s">
        <v>1213</v>
      </c>
      <c r="G822" s="72" t="s">
        <v>1028</v>
      </c>
      <c r="H822" s="76" t="s">
        <v>59</v>
      </c>
      <c r="I822" s="76" t="s">
        <v>130</v>
      </c>
      <c r="J822" s="77" t="s">
        <v>562</v>
      </c>
      <c r="K822" s="77" t="s">
        <v>1075</v>
      </c>
    </row>
    <row r="823" ht="15.75" customHeight="1">
      <c r="A823" s="72" t="s">
        <v>1686</v>
      </c>
      <c r="B823" s="73" t="s">
        <v>376</v>
      </c>
      <c r="C823" s="73" t="s">
        <v>220</v>
      </c>
      <c r="D823" s="74" t="s">
        <v>17</v>
      </c>
      <c r="E823" s="75" t="s">
        <v>347</v>
      </c>
      <c r="F823" s="72" t="s">
        <v>1181</v>
      </c>
      <c r="G823" s="72" t="s">
        <v>1080</v>
      </c>
      <c r="H823" s="76" t="s">
        <v>447</v>
      </c>
      <c r="I823" s="76" t="s">
        <v>97</v>
      </c>
      <c r="J823" s="77" t="s">
        <v>48</v>
      </c>
      <c r="K823" s="77" t="s">
        <v>523</v>
      </c>
    </row>
    <row r="824" ht="15.75" customHeight="1">
      <c r="A824" s="72" t="s">
        <v>1687</v>
      </c>
      <c r="B824" s="73" t="s">
        <v>521</v>
      </c>
      <c r="C824" s="73" t="s">
        <v>863</v>
      </c>
      <c r="D824" s="74" t="s">
        <v>43</v>
      </c>
      <c r="E824" s="75" t="s">
        <v>832</v>
      </c>
      <c r="F824" s="72" t="s">
        <v>874</v>
      </c>
      <c r="G824" s="72" t="s">
        <v>72</v>
      </c>
      <c r="H824" s="76" t="s">
        <v>349</v>
      </c>
      <c r="I824" s="76" t="s">
        <v>22</v>
      </c>
      <c r="J824" s="77" t="s">
        <v>23</v>
      </c>
      <c r="K824" s="77" t="s">
        <v>24</v>
      </c>
    </row>
    <row r="825" ht="15.75" customHeight="1">
      <c r="A825" s="72" t="s">
        <v>1688</v>
      </c>
      <c r="B825" s="73" t="s">
        <v>15</v>
      </c>
      <c r="C825" s="73">
        <v>7.33375691E8</v>
      </c>
      <c r="D825" s="74" t="s">
        <v>17</v>
      </c>
      <c r="E825" s="75" t="s">
        <v>964</v>
      </c>
      <c r="F825" s="72" t="s">
        <v>930</v>
      </c>
      <c r="G825" s="72" t="s">
        <v>615</v>
      </c>
      <c r="H825" s="76" t="s">
        <v>359</v>
      </c>
      <c r="I825" s="76" t="s">
        <v>130</v>
      </c>
      <c r="J825" s="77" t="s">
        <v>23</v>
      </c>
      <c r="K825" s="77" t="s">
        <v>49</v>
      </c>
    </row>
    <row r="826" ht="15.75" customHeight="1">
      <c r="A826" s="72" t="s">
        <v>1689</v>
      </c>
      <c r="B826" s="73" t="s">
        <v>905</v>
      </c>
      <c r="C826" s="73">
        <v>7.10878429E8</v>
      </c>
      <c r="D826" s="74" t="s">
        <v>43</v>
      </c>
      <c r="E826" s="75" t="s">
        <v>539</v>
      </c>
      <c r="F826" s="72" t="s">
        <v>788</v>
      </c>
      <c r="G826" s="72" t="s">
        <v>937</v>
      </c>
      <c r="H826" s="76" t="s">
        <v>293</v>
      </c>
      <c r="I826" s="76" t="s">
        <v>97</v>
      </c>
      <c r="J826" s="77" t="s">
        <v>23</v>
      </c>
      <c r="K826" s="77" t="s">
        <v>1205</v>
      </c>
    </row>
    <row r="827" ht="15.75" customHeight="1">
      <c r="A827" s="72" t="s">
        <v>1690</v>
      </c>
      <c r="B827" s="73" t="s">
        <v>521</v>
      </c>
      <c r="C827" s="73" t="s">
        <v>1299</v>
      </c>
      <c r="D827" s="74" t="s">
        <v>17</v>
      </c>
      <c r="E827" s="75" t="s">
        <v>246</v>
      </c>
      <c r="F827" s="72" t="s">
        <v>812</v>
      </c>
      <c r="G827" s="72" t="s">
        <v>418</v>
      </c>
      <c r="H827" s="76" t="s">
        <v>433</v>
      </c>
      <c r="I827" s="76" t="s">
        <v>130</v>
      </c>
      <c r="J827" s="77" t="s">
        <v>48</v>
      </c>
      <c r="K827" s="77" t="s">
        <v>1065</v>
      </c>
    </row>
    <row r="828" ht="15.75" customHeight="1">
      <c r="A828" s="72" t="s">
        <v>1691</v>
      </c>
      <c r="B828" s="73" t="s">
        <v>15</v>
      </c>
      <c r="C828" s="73" t="s">
        <v>166</v>
      </c>
      <c r="D828" s="74" t="s">
        <v>43</v>
      </c>
      <c r="E828" s="75" t="s">
        <v>623</v>
      </c>
      <c r="F828" s="72" t="s">
        <v>19</v>
      </c>
      <c r="G828" s="72" t="s">
        <v>556</v>
      </c>
      <c r="H828" s="76" t="s">
        <v>276</v>
      </c>
      <c r="I828" s="76" t="s">
        <v>22</v>
      </c>
      <c r="J828" s="77" t="s">
        <v>48</v>
      </c>
      <c r="K828" s="77" t="s">
        <v>49</v>
      </c>
    </row>
    <row r="829" ht="15.75" customHeight="1">
      <c r="A829" s="72" t="s">
        <v>1692</v>
      </c>
      <c r="B829" s="73" t="s">
        <v>15</v>
      </c>
      <c r="C829" s="73">
        <v>7.7713906E8</v>
      </c>
      <c r="D829" s="74" t="s">
        <v>17</v>
      </c>
      <c r="E829" s="75" t="s">
        <v>356</v>
      </c>
      <c r="F829" s="72" t="s">
        <v>378</v>
      </c>
      <c r="G829" s="72" t="s">
        <v>103</v>
      </c>
      <c r="H829" s="76" t="s">
        <v>581</v>
      </c>
      <c r="I829" s="76" t="s">
        <v>105</v>
      </c>
      <c r="J829" s="77" t="s">
        <v>89</v>
      </c>
      <c r="K829" s="77" t="s">
        <v>907</v>
      </c>
    </row>
    <row r="830" ht="15.75" customHeight="1">
      <c r="A830" s="72" t="s">
        <v>1693</v>
      </c>
      <c r="B830" s="73" t="s">
        <v>15</v>
      </c>
      <c r="C830" s="73" t="s">
        <v>1154</v>
      </c>
      <c r="D830" s="74" t="s">
        <v>43</v>
      </c>
      <c r="E830" s="75" t="s">
        <v>431</v>
      </c>
      <c r="F830" s="72" t="s">
        <v>766</v>
      </c>
      <c r="G830" s="72" t="s">
        <v>382</v>
      </c>
      <c r="H830" s="76" t="s">
        <v>21</v>
      </c>
      <c r="I830" s="76" t="s">
        <v>22</v>
      </c>
      <c r="J830" s="77" t="s">
        <v>23</v>
      </c>
      <c r="K830" s="77" t="s">
        <v>24</v>
      </c>
    </row>
    <row r="831" ht="15.75" customHeight="1">
      <c r="A831" s="72" t="s">
        <v>1694</v>
      </c>
      <c r="B831" s="73" t="s">
        <v>15</v>
      </c>
      <c r="C831" s="73" t="s">
        <v>852</v>
      </c>
      <c r="D831" s="74" t="s">
        <v>17</v>
      </c>
      <c r="E831" s="75" t="s">
        <v>214</v>
      </c>
      <c r="F831" s="72" t="s">
        <v>519</v>
      </c>
      <c r="G831" s="72" t="s">
        <v>362</v>
      </c>
      <c r="H831" s="76" t="s">
        <v>34</v>
      </c>
      <c r="I831" s="76" t="s">
        <v>130</v>
      </c>
      <c r="J831" s="77" t="s">
        <v>23</v>
      </c>
      <c r="K831" s="77" t="s">
        <v>49</v>
      </c>
    </row>
    <row r="832" ht="15.75" customHeight="1">
      <c r="A832" s="72" t="s">
        <v>1695</v>
      </c>
      <c r="B832" s="73" t="s">
        <v>521</v>
      </c>
      <c r="C832" s="73">
        <v>7.05275249E8</v>
      </c>
      <c r="D832" s="74" t="s">
        <v>43</v>
      </c>
      <c r="E832" s="75" t="s">
        <v>772</v>
      </c>
      <c r="F832" s="72" t="s">
        <v>490</v>
      </c>
      <c r="G832" s="72" t="s">
        <v>1080</v>
      </c>
      <c r="H832" s="76" t="s">
        <v>59</v>
      </c>
      <c r="I832" s="76" t="s">
        <v>201</v>
      </c>
      <c r="J832" s="77" t="s">
        <v>23</v>
      </c>
      <c r="K832" s="77" t="s">
        <v>24</v>
      </c>
    </row>
    <row r="833" ht="15.75" customHeight="1">
      <c r="A833" s="72" t="s">
        <v>1696</v>
      </c>
      <c r="B833" s="73" t="s">
        <v>905</v>
      </c>
      <c r="C833" s="73">
        <v>7.22024324E8</v>
      </c>
      <c r="D833" s="74" t="s">
        <v>17</v>
      </c>
      <c r="E833" s="75" t="s">
        <v>746</v>
      </c>
      <c r="F833" s="72" t="s">
        <v>788</v>
      </c>
      <c r="G833" s="72" t="s">
        <v>20</v>
      </c>
      <c r="H833" s="76" t="s">
        <v>21</v>
      </c>
      <c r="I833" s="76" t="s">
        <v>22</v>
      </c>
      <c r="J833" s="77" t="s">
        <v>48</v>
      </c>
      <c r="K833" s="77" t="s">
        <v>907</v>
      </c>
    </row>
    <row r="834" ht="15.75" customHeight="1">
      <c r="A834" s="72" t="s">
        <v>1697</v>
      </c>
      <c r="B834" s="73" t="s">
        <v>1048</v>
      </c>
      <c r="C834" s="73" t="s">
        <v>630</v>
      </c>
      <c r="D834" s="74" t="s">
        <v>43</v>
      </c>
      <c r="E834" s="75" t="s">
        <v>1050</v>
      </c>
      <c r="F834" s="72" t="s">
        <v>537</v>
      </c>
      <c r="G834" s="72" t="s">
        <v>829</v>
      </c>
      <c r="H834" s="76" t="s">
        <v>477</v>
      </c>
      <c r="I834" s="76" t="s">
        <v>105</v>
      </c>
      <c r="J834" s="77" t="s">
        <v>23</v>
      </c>
      <c r="K834" s="77" t="s">
        <v>49</v>
      </c>
    </row>
    <row r="835" ht="15.75" customHeight="1">
      <c r="A835" s="72" t="s">
        <v>1698</v>
      </c>
      <c r="B835" s="73" t="s">
        <v>376</v>
      </c>
      <c r="C835" s="73" t="s">
        <v>1061</v>
      </c>
      <c r="D835" s="74" t="s">
        <v>43</v>
      </c>
      <c r="E835" s="75" t="s">
        <v>1072</v>
      </c>
      <c r="F835" s="72" t="s">
        <v>1014</v>
      </c>
      <c r="G835" s="72" t="s">
        <v>418</v>
      </c>
      <c r="H835" s="76" t="s">
        <v>69</v>
      </c>
      <c r="I835" s="76" t="s">
        <v>485</v>
      </c>
      <c r="J835" s="77" t="s">
        <v>48</v>
      </c>
      <c r="K835" s="77" t="s">
        <v>24</v>
      </c>
    </row>
    <row r="836" ht="15.75" customHeight="1">
      <c r="A836" s="72" t="s">
        <v>1699</v>
      </c>
      <c r="B836" s="73" t="s">
        <v>15</v>
      </c>
      <c r="C836" s="73">
        <v>7.57655582E8</v>
      </c>
      <c r="D836" s="74" t="s">
        <v>43</v>
      </c>
      <c r="E836" s="75" t="s">
        <v>1225</v>
      </c>
      <c r="F836" s="72" t="s">
        <v>292</v>
      </c>
      <c r="G836" s="72" t="s">
        <v>229</v>
      </c>
      <c r="H836" s="76" t="s">
        <v>162</v>
      </c>
      <c r="I836" s="76" t="s">
        <v>22</v>
      </c>
      <c r="J836" s="77" t="s">
        <v>23</v>
      </c>
      <c r="K836" s="77" t="s">
        <v>106</v>
      </c>
    </row>
    <row r="837" ht="15.75" customHeight="1">
      <c r="A837" s="72" t="s">
        <v>1700</v>
      </c>
      <c r="B837" s="73" t="s">
        <v>521</v>
      </c>
      <c r="C837" s="73" t="s">
        <v>992</v>
      </c>
      <c r="D837" s="74" t="s">
        <v>17</v>
      </c>
      <c r="E837" s="75" t="s">
        <v>313</v>
      </c>
      <c r="F837" s="72" t="s">
        <v>490</v>
      </c>
      <c r="G837" s="72" t="s">
        <v>1135</v>
      </c>
      <c r="H837" s="76" t="s">
        <v>316</v>
      </c>
      <c r="I837" s="76" t="s">
        <v>201</v>
      </c>
      <c r="J837" s="77" t="s">
        <v>48</v>
      </c>
      <c r="K837" s="77" t="s">
        <v>211</v>
      </c>
    </row>
    <row r="838" ht="15.75" customHeight="1">
      <c r="A838" s="72" t="s">
        <v>1701</v>
      </c>
      <c r="B838" s="73" t="s">
        <v>1048</v>
      </c>
      <c r="C838" s="73" t="s">
        <v>139</v>
      </c>
      <c r="D838" s="74" t="s">
        <v>17</v>
      </c>
      <c r="E838" s="75" t="s">
        <v>954</v>
      </c>
      <c r="F838" s="72" t="s">
        <v>259</v>
      </c>
      <c r="G838" s="72" t="s">
        <v>418</v>
      </c>
      <c r="H838" s="76" t="s">
        <v>104</v>
      </c>
      <c r="I838" s="76" t="s">
        <v>409</v>
      </c>
      <c r="J838" s="77" t="s">
        <v>48</v>
      </c>
      <c r="K838" s="77" t="s">
        <v>49</v>
      </c>
    </row>
    <row r="839" ht="15.75" customHeight="1">
      <c r="A839" s="72" t="s">
        <v>1702</v>
      </c>
      <c r="B839" s="73" t="s">
        <v>521</v>
      </c>
      <c r="C839" s="73">
        <v>7.78408996E8</v>
      </c>
      <c r="D839" s="74" t="s">
        <v>17</v>
      </c>
      <c r="E839" s="75" t="s">
        <v>1041</v>
      </c>
      <c r="F839" s="72" t="s">
        <v>519</v>
      </c>
      <c r="G839" s="72" t="s">
        <v>20</v>
      </c>
      <c r="H839" s="76" t="s">
        <v>447</v>
      </c>
      <c r="I839" s="76" t="s">
        <v>105</v>
      </c>
      <c r="J839" s="77" t="s">
        <v>81</v>
      </c>
      <c r="K839" s="77" t="s">
        <v>616</v>
      </c>
    </row>
    <row r="840" ht="15.75" customHeight="1">
      <c r="A840" s="72" t="s">
        <v>1703</v>
      </c>
      <c r="B840" s="73" t="s">
        <v>905</v>
      </c>
      <c r="C840" s="73" t="s">
        <v>688</v>
      </c>
      <c r="D840" s="74" t="s">
        <v>17</v>
      </c>
      <c r="E840" s="75" t="s">
        <v>431</v>
      </c>
      <c r="F840" s="72" t="s">
        <v>824</v>
      </c>
      <c r="G840" s="72" t="s">
        <v>418</v>
      </c>
      <c r="H840" s="76" t="s">
        <v>359</v>
      </c>
      <c r="I840" s="76" t="s">
        <v>130</v>
      </c>
      <c r="J840" s="77" t="s">
        <v>81</v>
      </c>
      <c r="K840" s="77" t="s">
        <v>393</v>
      </c>
    </row>
    <row r="841" ht="15.75" customHeight="1">
      <c r="A841" s="72" t="s">
        <v>1704</v>
      </c>
      <c r="B841" s="73" t="s">
        <v>1048</v>
      </c>
      <c r="C841" s="73" t="s">
        <v>872</v>
      </c>
      <c r="D841" s="74" t="s">
        <v>17</v>
      </c>
      <c r="E841" s="75" t="s">
        <v>830</v>
      </c>
      <c r="F841" s="72" t="s">
        <v>254</v>
      </c>
      <c r="G841" s="72" t="s">
        <v>834</v>
      </c>
      <c r="H841" s="76" t="s">
        <v>480</v>
      </c>
      <c r="I841" s="76" t="s">
        <v>105</v>
      </c>
      <c r="J841" s="77" t="s">
        <v>48</v>
      </c>
      <c r="K841" s="77" t="s">
        <v>857</v>
      </c>
    </row>
    <row r="842" ht="15.75" customHeight="1">
      <c r="A842" s="72" t="s">
        <v>1705</v>
      </c>
      <c r="B842" s="73" t="s">
        <v>376</v>
      </c>
      <c r="C842" s="73">
        <v>7.21577778E8</v>
      </c>
      <c r="D842" s="74" t="s">
        <v>17</v>
      </c>
      <c r="E842" s="75" t="s">
        <v>1009</v>
      </c>
      <c r="F842" s="72" t="s">
        <v>137</v>
      </c>
      <c r="G842" s="72" t="s">
        <v>834</v>
      </c>
      <c r="H842" s="76" t="s">
        <v>69</v>
      </c>
      <c r="I842" s="76" t="s">
        <v>130</v>
      </c>
      <c r="J842" s="77" t="s">
        <v>48</v>
      </c>
      <c r="K842" s="77" t="s">
        <v>230</v>
      </c>
    </row>
    <row r="843" ht="15.75" customHeight="1">
      <c r="A843" s="72" t="s">
        <v>1706</v>
      </c>
      <c r="B843" s="73" t="s">
        <v>1048</v>
      </c>
      <c r="C843" s="73" t="s">
        <v>883</v>
      </c>
      <c r="D843" s="74" t="s">
        <v>17</v>
      </c>
      <c r="E843" s="75" t="s">
        <v>167</v>
      </c>
      <c r="F843" s="72" t="s">
        <v>903</v>
      </c>
      <c r="G843" s="72" t="s">
        <v>527</v>
      </c>
      <c r="H843" s="76" t="s">
        <v>932</v>
      </c>
      <c r="I843" s="76" t="s">
        <v>130</v>
      </c>
      <c r="J843" s="77" t="s">
        <v>23</v>
      </c>
      <c r="K843" s="77" t="s">
        <v>24</v>
      </c>
    </row>
    <row r="844" ht="15.75" customHeight="1">
      <c r="A844" s="72" t="s">
        <v>1707</v>
      </c>
      <c r="B844" s="73" t="s">
        <v>521</v>
      </c>
      <c r="C844" s="73">
        <v>7.67578324E8</v>
      </c>
      <c r="D844" s="74" t="s">
        <v>43</v>
      </c>
      <c r="E844" s="75" t="s">
        <v>193</v>
      </c>
      <c r="F844" s="72" t="s">
        <v>168</v>
      </c>
      <c r="G844" s="72" t="s">
        <v>429</v>
      </c>
      <c r="H844" s="76" t="s">
        <v>210</v>
      </c>
      <c r="I844" s="76" t="s">
        <v>485</v>
      </c>
      <c r="J844" s="77" t="s">
        <v>48</v>
      </c>
      <c r="K844" s="77" t="s">
        <v>563</v>
      </c>
    </row>
    <row r="845" ht="15.75" customHeight="1">
      <c r="A845" s="72" t="s">
        <v>1708</v>
      </c>
      <c r="B845" s="73" t="s">
        <v>905</v>
      </c>
      <c r="C845" s="73" t="s">
        <v>213</v>
      </c>
      <c r="D845" s="74" t="s">
        <v>17</v>
      </c>
      <c r="E845" s="75" t="s">
        <v>365</v>
      </c>
      <c r="F845" s="72" t="s">
        <v>234</v>
      </c>
      <c r="G845" s="72" t="s">
        <v>1227</v>
      </c>
      <c r="H845" s="76" t="s">
        <v>267</v>
      </c>
      <c r="I845" s="76" t="s">
        <v>105</v>
      </c>
      <c r="J845" s="77" t="s">
        <v>48</v>
      </c>
      <c r="K845" s="77" t="s">
        <v>24</v>
      </c>
    </row>
    <row r="846" ht="15.75" customHeight="1">
      <c r="A846" s="72" t="s">
        <v>1709</v>
      </c>
      <c r="B846" s="73" t="s">
        <v>1048</v>
      </c>
      <c r="C846" s="73">
        <v>7.30389354E8</v>
      </c>
      <c r="D846" s="74" t="s">
        <v>43</v>
      </c>
      <c r="E846" s="75" t="s">
        <v>772</v>
      </c>
      <c r="F846" s="72" t="s">
        <v>1079</v>
      </c>
      <c r="G846" s="72" t="s">
        <v>226</v>
      </c>
      <c r="H846" s="76" t="s">
        <v>34</v>
      </c>
      <c r="I846" s="76" t="s">
        <v>105</v>
      </c>
      <c r="J846" s="77" t="s">
        <v>89</v>
      </c>
      <c r="K846" s="77" t="s">
        <v>146</v>
      </c>
    </row>
    <row r="847" ht="15.75" customHeight="1">
      <c r="A847" s="72" t="s">
        <v>1710</v>
      </c>
      <c r="B847" s="73" t="s">
        <v>376</v>
      </c>
      <c r="C847" s="73" t="s">
        <v>339</v>
      </c>
      <c r="D847" s="74" t="s">
        <v>43</v>
      </c>
      <c r="E847" s="75" t="s">
        <v>873</v>
      </c>
      <c r="F847" s="72" t="s">
        <v>348</v>
      </c>
      <c r="G847" s="72" t="s">
        <v>145</v>
      </c>
      <c r="H847" s="76" t="s">
        <v>129</v>
      </c>
      <c r="I847" s="76" t="s">
        <v>47</v>
      </c>
      <c r="J847" s="77" t="s">
        <v>23</v>
      </c>
      <c r="K847" s="77" t="s">
        <v>24</v>
      </c>
    </row>
    <row r="848" ht="15.75" customHeight="1">
      <c r="A848" s="72" t="s">
        <v>1711</v>
      </c>
      <c r="B848" s="73" t="s">
        <v>521</v>
      </c>
      <c r="C848" s="73">
        <v>7.14235224E8</v>
      </c>
      <c r="D848" s="74" t="s">
        <v>17</v>
      </c>
      <c r="E848" s="75" t="s">
        <v>1093</v>
      </c>
      <c r="F848" s="72" t="s">
        <v>891</v>
      </c>
      <c r="G848" s="72" t="s">
        <v>1261</v>
      </c>
      <c r="H848" s="76" t="s">
        <v>21</v>
      </c>
      <c r="I848" s="76" t="s">
        <v>201</v>
      </c>
      <c r="J848" s="77" t="s">
        <v>48</v>
      </c>
      <c r="K848" s="77" t="s">
        <v>570</v>
      </c>
    </row>
    <row r="849" ht="15.75" customHeight="1">
      <c r="A849" s="72" t="s">
        <v>1712</v>
      </c>
      <c r="B849" s="73" t="s">
        <v>1048</v>
      </c>
      <c r="C849" s="73" t="s">
        <v>934</v>
      </c>
      <c r="D849" s="74" t="s">
        <v>43</v>
      </c>
      <c r="E849" s="75" t="s">
        <v>1084</v>
      </c>
      <c r="F849" s="72" t="s">
        <v>432</v>
      </c>
      <c r="G849" s="72" t="s">
        <v>922</v>
      </c>
      <c r="H849" s="76" t="s">
        <v>104</v>
      </c>
      <c r="I849" s="76" t="s">
        <v>22</v>
      </c>
      <c r="J849" s="77" t="s">
        <v>48</v>
      </c>
      <c r="K849" s="77" t="s">
        <v>24</v>
      </c>
    </row>
    <row r="850" ht="15.75" customHeight="1">
      <c r="A850" s="72" t="s">
        <v>1713</v>
      </c>
      <c r="B850" s="73" t="s">
        <v>521</v>
      </c>
      <c r="C850" s="73" t="s">
        <v>607</v>
      </c>
      <c r="D850" s="74" t="s">
        <v>43</v>
      </c>
      <c r="E850" s="75" t="s">
        <v>636</v>
      </c>
      <c r="F850" s="72" t="s">
        <v>874</v>
      </c>
      <c r="G850" s="72" t="s">
        <v>344</v>
      </c>
      <c r="H850" s="76" t="s">
        <v>59</v>
      </c>
      <c r="I850" s="76" t="s">
        <v>113</v>
      </c>
      <c r="J850" s="77" t="s">
        <v>23</v>
      </c>
      <c r="K850" s="77" t="s">
        <v>49</v>
      </c>
    </row>
    <row r="851" ht="15.75" customHeight="1">
      <c r="A851" s="72" t="s">
        <v>1714</v>
      </c>
      <c r="B851" s="73" t="s">
        <v>905</v>
      </c>
      <c r="C851" s="73" t="s">
        <v>355</v>
      </c>
      <c r="D851" s="74" t="s">
        <v>17</v>
      </c>
      <c r="E851" s="75" t="s">
        <v>413</v>
      </c>
      <c r="F851" s="72" t="s">
        <v>791</v>
      </c>
      <c r="G851" s="72" t="s">
        <v>315</v>
      </c>
      <c r="H851" s="76" t="s">
        <v>544</v>
      </c>
      <c r="I851" s="76" t="s">
        <v>22</v>
      </c>
      <c r="J851" s="77" t="s">
        <v>23</v>
      </c>
      <c r="K851" s="77" t="s">
        <v>528</v>
      </c>
    </row>
    <row r="852" ht="15.75" customHeight="1">
      <c r="A852" s="72" t="s">
        <v>1715</v>
      </c>
      <c r="B852" s="73" t="s">
        <v>905</v>
      </c>
      <c r="C852" s="73">
        <v>7.7273554E8</v>
      </c>
      <c r="D852" s="74" t="s">
        <v>17</v>
      </c>
      <c r="E852" s="75" t="s">
        <v>613</v>
      </c>
      <c r="F852" s="72" t="s">
        <v>1167</v>
      </c>
      <c r="G852" s="72" t="s">
        <v>1080</v>
      </c>
      <c r="H852" s="76" t="s">
        <v>447</v>
      </c>
      <c r="I852" s="76" t="s">
        <v>201</v>
      </c>
      <c r="J852" s="77" t="s">
        <v>48</v>
      </c>
      <c r="K852" s="77" t="s">
        <v>523</v>
      </c>
    </row>
    <row r="853" ht="15.75" customHeight="1">
      <c r="A853" s="72" t="s">
        <v>1716</v>
      </c>
      <c r="B853" s="73" t="s">
        <v>1048</v>
      </c>
      <c r="C853" s="73" t="s">
        <v>1241</v>
      </c>
      <c r="D853" s="74" t="s">
        <v>43</v>
      </c>
      <c r="E853" s="75" t="s">
        <v>1295</v>
      </c>
      <c r="F853" s="72" t="s">
        <v>1190</v>
      </c>
      <c r="G853" s="72" t="s">
        <v>829</v>
      </c>
      <c r="H853" s="76" t="s">
        <v>129</v>
      </c>
      <c r="I853" s="76" t="s">
        <v>130</v>
      </c>
      <c r="J853" s="77" t="s">
        <v>23</v>
      </c>
      <c r="K853" s="77" t="s">
        <v>169</v>
      </c>
    </row>
    <row r="854" ht="15.75" customHeight="1">
      <c r="A854" s="72" t="s">
        <v>1717</v>
      </c>
      <c r="B854" s="73" t="s">
        <v>15</v>
      </c>
      <c r="C854" s="73" t="s">
        <v>918</v>
      </c>
      <c r="D854" s="74" t="s">
        <v>43</v>
      </c>
      <c r="E854" s="75" t="s">
        <v>1084</v>
      </c>
      <c r="F854" s="72" t="s">
        <v>483</v>
      </c>
      <c r="G854" s="72" t="s">
        <v>103</v>
      </c>
      <c r="H854" s="76" t="s">
        <v>500</v>
      </c>
      <c r="I854" s="76" t="s">
        <v>22</v>
      </c>
      <c r="J854" s="77" t="s">
        <v>48</v>
      </c>
      <c r="K854" s="77" t="s">
        <v>850</v>
      </c>
    </row>
    <row r="855" ht="15.75" customHeight="1">
      <c r="A855" s="72" t="s">
        <v>1718</v>
      </c>
      <c r="B855" s="73" t="s">
        <v>376</v>
      </c>
      <c r="C855" s="73" t="s">
        <v>1098</v>
      </c>
      <c r="D855" s="74" t="s">
        <v>17</v>
      </c>
      <c r="E855" s="75" t="s">
        <v>347</v>
      </c>
      <c r="F855" s="72" t="s">
        <v>835</v>
      </c>
      <c r="G855" s="72" t="s">
        <v>20</v>
      </c>
      <c r="H855" s="76" t="s">
        <v>447</v>
      </c>
      <c r="I855" s="76" t="s">
        <v>105</v>
      </c>
      <c r="J855" s="77" t="s">
        <v>48</v>
      </c>
      <c r="K855" s="77" t="s">
        <v>24</v>
      </c>
    </row>
    <row r="856" ht="15.75" customHeight="1">
      <c r="A856" s="72" t="s">
        <v>1719</v>
      </c>
      <c r="B856" s="73" t="s">
        <v>521</v>
      </c>
      <c r="C856" s="73" t="s">
        <v>1083</v>
      </c>
      <c r="D856" s="74" t="s">
        <v>17</v>
      </c>
      <c r="E856" s="75" t="s">
        <v>900</v>
      </c>
      <c r="F856" s="72" t="s">
        <v>1079</v>
      </c>
      <c r="G856" s="72" t="s">
        <v>296</v>
      </c>
      <c r="H856" s="76" t="s">
        <v>69</v>
      </c>
      <c r="I856" s="76" t="s">
        <v>97</v>
      </c>
      <c r="J856" s="77" t="s">
        <v>23</v>
      </c>
      <c r="K856" s="77" t="s">
        <v>570</v>
      </c>
    </row>
    <row r="857" ht="15.75" customHeight="1">
      <c r="A857" s="72" t="s">
        <v>1720</v>
      </c>
      <c r="B857" s="73" t="s">
        <v>521</v>
      </c>
      <c r="C857" s="73" t="s">
        <v>139</v>
      </c>
      <c r="D857" s="74" t="s">
        <v>43</v>
      </c>
      <c r="E857" s="75" t="s">
        <v>405</v>
      </c>
      <c r="F857" s="72" t="s">
        <v>671</v>
      </c>
      <c r="G857" s="72" t="s">
        <v>418</v>
      </c>
      <c r="H857" s="76" t="s">
        <v>34</v>
      </c>
      <c r="I857" s="76" t="s">
        <v>22</v>
      </c>
      <c r="J857" s="77" t="s">
        <v>23</v>
      </c>
      <c r="K857" s="77" t="s">
        <v>718</v>
      </c>
    </row>
    <row r="858" ht="15.75" customHeight="1">
      <c r="A858" s="72" t="s">
        <v>1721</v>
      </c>
      <c r="B858" s="73" t="s">
        <v>1048</v>
      </c>
      <c r="C858" s="73">
        <v>7.11718921E8</v>
      </c>
      <c r="D858" s="74" t="s">
        <v>43</v>
      </c>
      <c r="E858" s="75" t="s">
        <v>470</v>
      </c>
      <c r="F858" s="72" t="s">
        <v>1051</v>
      </c>
      <c r="G858" s="72" t="s">
        <v>392</v>
      </c>
      <c r="H858" s="76" t="s">
        <v>21</v>
      </c>
      <c r="I858" s="76" t="s">
        <v>97</v>
      </c>
      <c r="J858" s="77" t="s">
        <v>48</v>
      </c>
      <c r="K858" s="77" t="s">
        <v>523</v>
      </c>
    </row>
    <row r="859" ht="15.75" customHeight="1">
      <c r="A859" s="72" t="s">
        <v>1722</v>
      </c>
      <c r="B859" s="73" t="s">
        <v>15</v>
      </c>
      <c r="C859" s="73" t="s">
        <v>997</v>
      </c>
      <c r="D859" s="74" t="s">
        <v>17</v>
      </c>
      <c r="E859" s="75" t="s">
        <v>32</v>
      </c>
      <c r="F859" s="72" t="s">
        <v>314</v>
      </c>
      <c r="G859" s="72" t="s">
        <v>80</v>
      </c>
      <c r="H859" s="76" t="s">
        <v>34</v>
      </c>
      <c r="I859" s="76" t="s">
        <v>113</v>
      </c>
      <c r="J859" s="77" t="s">
        <v>48</v>
      </c>
      <c r="K859" s="77" t="s">
        <v>523</v>
      </c>
    </row>
    <row r="860" ht="15.75" customHeight="1">
      <c r="A860" s="72" t="s">
        <v>1723</v>
      </c>
      <c r="B860" s="73" t="s">
        <v>15</v>
      </c>
      <c r="C860" s="73">
        <v>7.71106087E8</v>
      </c>
      <c r="D860" s="74" t="s">
        <v>43</v>
      </c>
      <c r="E860" s="75" t="s">
        <v>640</v>
      </c>
      <c r="F860" s="72" t="s">
        <v>533</v>
      </c>
      <c r="G860" s="72" t="s">
        <v>418</v>
      </c>
      <c r="H860" s="76" t="s">
        <v>34</v>
      </c>
      <c r="I860" s="76" t="s">
        <v>130</v>
      </c>
      <c r="J860" s="77" t="s">
        <v>48</v>
      </c>
      <c r="K860" s="77" t="s">
        <v>616</v>
      </c>
    </row>
    <row r="861" ht="15.75" customHeight="1">
      <c r="A861" s="72" t="s">
        <v>1724</v>
      </c>
      <c r="B861" s="73" t="s">
        <v>1048</v>
      </c>
      <c r="C861" s="73">
        <v>7.93574279E8</v>
      </c>
      <c r="D861" s="74" t="s">
        <v>17</v>
      </c>
      <c r="E861" s="75" t="s">
        <v>274</v>
      </c>
      <c r="F861" s="72" t="s">
        <v>417</v>
      </c>
      <c r="G861" s="72" t="s">
        <v>615</v>
      </c>
      <c r="H861" s="76" t="s">
        <v>104</v>
      </c>
      <c r="I861" s="76" t="s">
        <v>105</v>
      </c>
      <c r="J861" s="77" t="s">
        <v>48</v>
      </c>
      <c r="K861" s="77" t="s">
        <v>616</v>
      </c>
    </row>
    <row r="862" ht="15.75" customHeight="1">
      <c r="A862" s="72" t="s">
        <v>1725</v>
      </c>
      <c r="B862" s="73" t="s">
        <v>905</v>
      </c>
      <c r="C862" s="73">
        <v>7.69429641E8</v>
      </c>
      <c r="D862" s="74" t="s">
        <v>43</v>
      </c>
      <c r="E862" s="75" t="s">
        <v>832</v>
      </c>
      <c r="F862" s="72" t="s">
        <v>455</v>
      </c>
      <c r="G862" s="72" t="s">
        <v>418</v>
      </c>
      <c r="H862" s="76" t="s">
        <v>447</v>
      </c>
      <c r="I862" s="76" t="s">
        <v>47</v>
      </c>
      <c r="J862" s="77" t="s">
        <v>48</v>
      </c>
      <c r="K862" s="77" t="s">
        <v>90</v>
      </c>
    </row>
    <row r="863" ht="15.75" customHeight="1">
      <c r="A863" s="72" t="s">
        <v>1726</v>
      </c>
      <c r="B863" s="73" t="s">
        <v>376</v>
      </c>
      <c r="C863" s="73">
        <v>7.76300227E8</v>
      </c>
      <c r="D863" s="74" t="s">
        <v>17</v>
      </c>
      <c r="E863" s="75" t="s">
        <v>253</v>
      </c>
      <c r="F863" s="72" t="s">
        <v>209</v>
      </c>
      <c r="G863" s="72" t="s">
        <v>422</v>
      </c>
      <c r="H863" s="76" t="s">
        <v>267</v>
      </c>
      <c r="I863" s="76" t="s">
        <v>22</v>
      </c>
      <c r="J863" s="77" t="s">
        <v>48</v>
      </c>
      <c r="K863" s="77" t="s">
        <v>24</v>
      </c>
    </row>
    <row r="864" ht="15.75" customHeight="1">
      <c r="A864" s="72" t="s">
        <v>1727</v>
      </c>
      <c r="B864" s="73" t="s">
        <v>905</v>
      </c>
      <c r="C864" s="73" t="s">
        <v>125</v>
      </c>
      <c r="D864" s="74" t="s">
        <v>43</v>
      </c>
      <c r="E864" s="75" t="s">
        <v>1258</v>
      </c>
      <c r="F864" s="72" t="s">
        <v>1213</v>
      </c>
      <c r="G864" s="72" t="s">
        <v>1059</v>
      </c>
      <c r="H864" s="76" t="s">
        <v>581</v>
      </c>
      <c r="I864" s="76" t="s">
        <v>130</v>
      </c>
      <c r="J864" s="77" t="s">
        <v>48</v>
      </c>
      <c r="K864" s="77" t="s">
        <v>916</v>
      </c>
    </row>
    <row r="865" ht="15.75" customHeight="1">
      <c r="A865" s="72" t="s">
        <v>1728</v>
      </c>
      <c r="B865" s="73" t="s">
        <v>15</v>
      </c>
      <c r="C865" s="73" t="s">
        <v>702</v>
      </c>
      <c r="D865" s="74" t="s">
        <v>17</v>
      </c>
      <c r="E865" s="75" t="s">
        <v>291</v>
      </c>
      <c r="F865" s="72" t="s">
        <v>259</v>
      </c>
      <c r="G865" s="72" t="s">
        <v>774</v>
      </c>
      <c r="H865" s="76" t="s">
        <v>276</v>
      </c>
      <c r="I865" s="76" t="s">
        <v>105</v>
      </c>
      <c r="J865" s="77" t="s">
        <v>48</v>
      </c>
      <c r="K865" s="77" t="s">
        <v>542</v>
      </c>
    </row>
    <row r="866" ht="15.75" customHeight="1">
      <c r="A866" s="72" t="s">
        <v>1729</v>
      </c>
      <c r="B866" s="73" t="s">
        <v>905</v>
      </c>
      <c r="C866" s="73" t="s">
        <v>989</v>
      </c>
      <c r="D866" s="74" t="s">
        <v>17</v>
      </c>
      <c r="E866" s="75" t="s">
        <v>995</v>
      </c>
      <c r="F866" s="72" t="s">
        <v>374</v>
      </c>
      <c r="G866" s="72" t="s">
        <v>418</v>
      </c>
      <c r="H866" s="76" t="s">
        <v>104</v>
      </c>
      <c r="I866" s="76" t="s">
        <v>97</v>
      </c>
      <c r="J866" s="77" t="s">
        <v>23</v>
      </c>
      <c r="K866" s="77" t="s">
        <v>755</v>
      </c>
    </row>
    <row r="867" ht="15.75" customHeight="1">
      <c r="A867" s="72" t="s">
        <v>1730</v>
      </c>
      <c r="B867" s="73" t="s">
        <v>905</v>
      </c>
      <c r="C867" s="73">
        <v>7.47200032E8</v>
      </c>
      <c r="D867" s="74" t="s">
        <v>17</v>
      </c>
      <c r="E867" s="75" t="s">
        <v>737</v>
      </c>
      <c r="F867" s="72" t="s">
        <v>406</v>
      </c>
      <c r="G867" s="72" t="s">
        <v>418</v>
      </c>
      <c r="H867" s="76" t="s">
        <v>129</v>
      </c>
      <c r="I867" s="76" t="s">
        <v>47</v>
      </c>
      <c r="J867" s="77" t="s">
        <v>48</v>
      </c>
      <c r="K867" s="77" t="s">
        <v>528</v>
      </c>
    </row>
    <row r="868" ht="15.75" customHeight="1">
      <c r="A868" s="72" t="s">
        <v>1731</v>
      </c>
      <c r="B868" s="73" t="s">
        <v>15</v>
      </c>
      <c r="C868" s="73" t="s">
        <v>688</v>
      </c>
      <c r="D868" s="74" t="s">
        <v>43</v>
      </c>
      <c r="E868" s="75" t="s">
        <v>525</v>
      </c>
      <c r="F868" s="72" t="s">
        <v>1126</v>
      </c>
      <c r="G868" s="72" t="s">
        <v>379</v>
      </c>
      <c r="H868" s="76" t="s">
        <v>276</v>
      </c>
      <c r="I868" s="76" t="s">
        <v>22</v>
      </c>
      <c r="J868" s="77" t="s">
        <v>48</v>
      </c>
      <c r="K868" s="77" t="s">
        <v>644</v>
      </c>
    </row>
    <row r="869" ht="15.75" customHeight="1">
      <c r="A869" s="72" t="s">
        <v>1732</v>
      </c>
      <c r="B869" s="73" t="s">
        <v>521</v>
      </c>
      <c r="C869" s="73" t="s">
        <v>1102</v>
      </c>
      <c r="D869" s="74" t="s">
        <v>17</v>
      </c>
      <c r="E869" s="75" t="s">
        <v>356</v>
      </c>
      <c r="F869" s="72" t="s">
        <v>378</v>
      </c>
      <c r="G869" s="72" t="s">
        <v>931</v>
      </c>
      <c r="H869" s="76" t="s">
        <v>104</v>
      </c>
      <c r="I869" s="76" t="s">
        <v>105</v>
      </c>
      <c r="J869" s="77" t="s">
        <v>23</v>
      </c>
      <c r="K869" s="77" t="s">
        <v>49</v>
      </c>
    </row>
    <row r="870" ht="15.75" customHeight="1">
      <c r="A870" s="72" t="s">
        <v>1733</v>
      </c>
      <c r="B870" s="73" t="s">
        <v>376</v>
      </c>
      <c r="C870" s="73">
        <v>7.18956094E8</v>
      </c>
      <c r="D870" s="74" t="s">
        <v>43</v>
      </c>
      <c r="E870" s="75" t="s">
        <v>1175</v>
      </c>
      <c r="F870" s="72" t="s">
        <v>704</v>
      </c>
      <c r="G870" s="72" t="s">
        <v>950</v>
      </c>
      <c r="H870" s="76" t="s">
        <v>332</v>
      </c>
      <c r="I870" s="76" t="s">
        <v>201</v>
      </c>
      <c r="J870" s="77" t="s">
        <v>23</v>
      </c>
      <c r="K870" s="77" t="s">
        <v>528</v>
      </c>
    </row>
    <row r="871" ht="15.75" customHeight="1">
      <c r="A871" s="72" t="s">
        <v>1734</v>
      </c>
      <c r="B871" s="73" t="s">
        <v>905</v>
      </c>
      <c r="C871" s="73" t="s">
        <v>639</v>
      </c>
      <c r="D871" s="74" t="s">
        <v>17</v>
      </c>
      <c r="E871" s="75" t="s">
        <v>808</v>
      </c>
      <c r="F871" s="72" t="s">
        <v>184</v>
      </c>
      <c r="G871" s="72" t="s">
        <v>875</v>
      </c>
      <c r="H871" s="76" t="s">
        <v>21</v>
      </c>
      <c r="I871" s="76" t="s">
        <v>201</v>
      </c>
      <c r="J871" s="77" t="s">
        <v>48</v>
      </c>
      <c r="K871" s="77" t="s">
        <v>105</v>
      </c>
    </row>
    <row r="872" ht="15.75" customHeight="1">
      <c r="A872" s="72" t="s">
        <v>1735</v>
      </c>
      <c r="B872" s="73" t="s">
        <v>521</v>
      </c>
      <c r="C872" s="73" t="s">
        <v>381</v>
      </c>
      <c r="D872" s="74" t="s">
        <v>17</v>
      </c>
      <c r="E872" s="75" t="s">
        <v>1125</v>
      </c>
      <c r="F872" s="72" t="s">
        <v>801</v>
      </c>
      <c r="G872" s="72" t="s">
        <v>979</v>
      </c>
      <c r="H872" s="76" t="s">
        <v>154</v>
      </c>
      <c r="I872" s="76" t="s">
        <v>105</v>
      </c>
      <c r="J872" s="77" t="s">
        <v>48</v>
      </c>
      <c r="K872" s="77" t="s">
        <v>146</v>
      </c>
    </row>
    <row r="873" ht="15.75" customHeight="1">
      <c r="A873" s="72" t="s">
        <v>1736</v>
      </c>
      <c r="B873" s="73" t="s">
        <v>15</v>
      </c>
      <c r="C873" s="73">
        <v>7.44470922E8</v>
      </c>
      <c r="D873" s="74" t="s">
        <v>17</v>
      </c>
      <c r="E873" s="75" t="s">
        <v>746</v>
      </c>
      <c r="F873" s="72" t="s">
        <v>432</v>
      </c>
      <c r="G873" s="72" t="s">
        <v>418</v>
      </c>
      <c r="H873" s="76" t="s">
        <v>142</v>
      </c>
      <c r="I873" s="76" t="s">
        <v>97</v>
      </c>
      <c r="J873" s="77" t="s">
        <v>23</v>
      </c>
      <c r="K873" s="77" t="s">
        <v>24</v>
      </c>
    </row>
    <row r="874" ht="15.75" customHeight="1">
      <c r="A874" s="72" t="s">
        <v>1737</v>
      </c>
      <c r="B874" s="73" t="s">
        <v>521</v>
      </c>
      <c r="C874" s="73" t="s">
        <v>1154</v>
      </c>
      <c r="D874" s="74" t="s">
        <v>17</v>
      </c>
      <c r="E874" s="75" t="s">
        <v>737</v>
      </c>
      <c r="F874" s="72" t="s">
        <v>1094</v>
      </c>
      <c r="G874" s="72" t="s">
        <v>1063</v>
      </c>
      <c r="H874" s="76" t="s">
        <v>535</v>
      </c>
      <c r="I874" s="76" t="s">
        <v>22</v>
      </c>
      <c r="J874" s="77" t="s">
        <v>48</v>
      </c>
      <c r="K874" s="77" t="s">
        <v>605</v>
      </c>
    </row>
    <row r="875" ht="15.75" customHeight="1">
      <c r="A875" s="72" t="s">
        <v>1738</v>
      </c>
      <c r="B875" s="73" t="s">
        <v>1048</v>
      </c>
      <c r="C875" s="73" t="s">
        <v>261</v>
      </c>
      <c r="D875" s="74" t="s">
        <v>17</v>
      </c>
      <c r="E875" s="75" t="s">
        <v>608</v>
      </c>
      <c r="F875" s="72" t="s">
        <v>141</v>
      </c>
      <c r="G875" s="72" t="s">
        <v>856</v>
      </c>
      <c r="H875" s="76" t="s">
        <v>971</v>
      </c>
      <c r="I875" s="76" t="s">
        <v>485</v>
      </c>
      <c r="J875" s="77" t="s">
        <v>48</v>
      </c>
      <c r="K875" s="77" t="s">
        <v>1081</v>
      </c>
    </row>
    <row r="876" ht="15.75" customHeight="1">
      <c r="A876" s="72" t="s">
        <v>1739</v>
      </c>
      <c r="B876" s="73" t="s">
        <v>521</v>
      </c>
      <c r="C876" s="73" t="s">
        <v>264</v>
      </c>
      <c r="D876" s="74" t="s">
        <v>17</v>
      </c>
      <c r="E876" s="75" t="s">
        <v>636</v>
      </c>
      <c r="F876" s="72" t="s">
        <v>546</v>
      </c>
      <c r="G876" s="72" t="s">
        <v>937</v>
      </c>
      <c r="H876" s="76" t="s">
        <v>54</v>
      </c>
      <c r="I876" s="76" t="s">
        <v>130</v>
      </c>
      <c r="J876" s="77" t="s">
        <v>48</v>
      </c>
      <c r="K876" s="77" t="s">
        <v>393</v>
      </c>
    </row>
    <row r="877" ht="15.75" customHeight="1">
      <c r="A877" s="72" t="s">
        <v>1740</v>
      </c>
      <c r="B877" s="73" t="s">
        <v>905</v>
      </c>
      <c r="C877" s="73" t="s">
        <v>657</v>
      </c>
      <c r="D877" s="74" t="s">
        <v>17</v>
      </c>
      <c r="E877" s="75" t="s">
        <v>214</v>
      </c>
      <c r="F877" s="72" t="s">
        <v>1014</v>
      </c>
      <c r="G877" s="72" t="s">
        <v>1032</v>
      </c>
      <c r="H877" s="76" t="s">
        <v>433</v>
      </c>
      <c r="I877" s="76" t="s">
        <v>130</v>
      </c>
      <c r="J877" s="77" t="s">
        <v>48</v>
      </c>
      <c r="K877" s="77" t="s">
        <v>857</v>
      </c>
    </row>
    <row r="878" ht="15.75" customHeight="1">
      <c r="A878" s="72" t="s">
        <v>1741</v>
      </c>
      <c r="B878" s="73" t="s">
        <v>521</v>
      </c>
      <c r="C878" s="73" t="s">
        <v>1294</v>
      </c>
      <c r="D878" s="74" t="s">
        <v>17</v>
      </c>
      <c r="E878" s="75" t="s">
        <v>265</v>
      </c>
      <c r="F878" s="72" t="s">
        <v>653</v>
      </c>
      <c r="G878" s="72" t="s">
        <v>418</v>
      </c>
      <c r="H878" s="76" t="s">
        <v>932</v>
      </c>
      <c r="I878" s="76" t="s">
        <v>22</v>
      </c>
      <c r="J878" s="77" t="s">
        <v>89</v>
      </c>
      <c r="K878" s="77" t="s">
        <v>98</v>
      </c>
    </row>
    <row r="879" ht="15.75" customHeight="1">
      <c r="A879" s="72" t="s">
        <v>1742</v>
      </c>
      <c r="B879" s="73" t="s">
        <v>376</v>
      </c>
      <c r="C879" s="73" t="s">
        <v>652</v>
      </c>
      <c r="D879" s="74" t="s">
        <v>17</v>
      </c>
      <c r="E879" s="75" t="s">
        <v>623</v>
      </c>
      <c r="F879" s="72" t="s">
        <v>516</v>
      </c>
      <c r="G879" s="72" t="s">
        <v>928</v>
      </c>
      <c r="H879" s="76" t="s">
        <v>610</v>
      </c>
      <c r="I879" s="76" t="s">
        <v>105</v>
      </c>
      <c r="J879" s="77" t="s">
        <v>23</v>
      </c>
      <c r="K879" s="77" t="s">
        <v>1336</v>
      </c>
    </row>
    <row r="880" ht="15.75" customHeight="1">
      <c r="A880" s="72" t="s">
        <v>1743</v>
      </c>
      <c r="B880" s="73" t="s">
        <v>521</v>
      </c>
      <c r="C880" s="73" t="s">
        <v>1068</v>
      </c>
      <c r="D880" s="74" t="s">
        <v>43</v>
      </c>
      <c r="E880" s="75" t="s">
        <v>579</v>
      </c>
      <c r="F880" s="72" t="s">
        <v>516</v>
      </c>
      <c r="G880" s="72" t="s">
        <v>556</v>
      </c>
      <c r="H880" s="76" t="s">
        <v>34</v>
      </c>
      <c r="I880" s="76" t="s">
        <v>22</v>
      </c>
      <c r="J880" s="77" t="s">
        <v>23</v>
      </c>
      <c r="K880" s="77" t="s">
        <v>24</v>
      </c>
    </row>
    <row r="881" ht="15.75" customHeight="1">
      <c r="A881" s="72" t="s">
        <v>1744</v>
      </c>
      <c r="B881" s="73" t="s">
        <v>376</v>
      </c>
      <c r="C881" s="73">
        <v>7.06386218E8</v>
      </c>
      <c r="D881" s="74" t="s">
        <v>17</v>
      </c>
      <c r="E881" s="75" t="s">
        <v>800</v>
      </c>
      <c r="F881" s="72" t="s">
        <v>632</v>
      </c>
      <c r="G881" s="72" t="s">
        <v>103</v>
      </c>
      <c r="H881" s="76" t="s">
        <v>477</v>
      </c>
      <c r="I881" s="76" t="s">
        <v>105</v>
      </c>
      <c r="J881" s="77" t="s">
        <v>562</v>
      </c>
      <c r="K881" s="77" t="s">
        <v>387</v>
      </c>
    </row>
    <row r="882" ht="15.75" customHeight="1">
      <c r="A882" s="72" t="s">
        <v>1745</v>
      </c>
      <c r="B882" s="73" t="s">
        <v>905</v>
      </c>
      <c r="C882" s="73" t="s">
        <v>1140</v>
      </c>
      <c r="D882" s="74" t="s">
        <v>17</v>
      </c>
      <c r="E882" s="75" t="s">
        <v>1258</v>
      </c>
      <c r="F882" s="72" t="s">
        <v>666</v>
      </c>
      <c r="G882" s="72" t="s">
        <v>1028</v>
      </c>
      <c r="H882" s="76" t="s">
        <v>932</v>
      </c>
      <c r="I882" s="76" t="s">
        <v>22</v>
      </c>
      <c r="J882" s="77" t="s">
        <v>23</v>
      </c>
      <c r="K882" s="77" t="s">
        <v>49</v>
      </c>
    </row>
    <row r="883" ht="15.75" customHeight="1">
      <c r="A883" s="72" t="s">
        <v>1746</v>
      </c>
      <c r="B883" s="73" t="s">
        <v>521</v>
      </c>
      <c r="C883" s="73" t="s">
        <v>1116</v>
      </c>
      <c r="D883" s="74" t="s">
        <v>17</v>
      </c>
      <c r="E883" s="75" t="s">
        <v>964</v>
      </c>
      <c r="F883" s="72" t="s">
        <v>275</v>
      </c>
      <c r="G883" s="72" t="s">
        <v>418</v>
      </c>
      <c r="H883" s="76" t="s">
        <v>276</v>
      </c>
      <c r="I883" s="76" t="s">
        <v>22</v>
      </c>
      <c r="J883" s="77" t="s">
        <v>48</v>
      </c>
      <c r="K883" s="77" t="s">
        <v>49</v>
      </c>
    </row>
    <row r="884" ht="15.75" customHeight="1">
      <c r="A884" s="72" t="s">
        <v>1747</v>
      </c>
      <c r="B884" s="73" t="s">
        <v>905</v>
      </c>
      <c r="C884" s="73">
        <v>7.63757384E8</v>
      </c>
      <c r="D884" s="74" t="s">
        <v>17</v>
      </c>
      <c r="E884" s="75" t="s">
        <v>779</v>
      </c>
      <c r="F884" s="72" t="s">
        <v>39</v>
      </c>
      <c r="G884" s="72" t="s">
        <v>1080</v>
      </c>
      <c r="H884" s="76" t="s">
        <v>535</v>
      </c>
      <c r="I884" s="76" t="s">
        <v>130</v>
      </c>
      <c r="J884" s="77" t="s">
        <v>23</v>
      </c>
      <c r="K884" s="77" t="s">
        <v>24</v>
      </c>
    </row>
    <row r="885" ht="15.75" customHeight="1">
      <c r="A885" s="72" t="s">
        <v>1748</v>
      </c>
      <c r="B885" s="73" t="s">
        <v>15</v>
      </c>
      <c r="C885" s="73" t="s">
        <v>228</v>
      </c>
      <c r="D885" s="74" t="s">
        <v>43</v>
      </c>
      <c r="E885" s="75" t="s">
        <v>793</v>
      </c>
      <c r="F885" s="72" t="s">
        <v>314</v>
      </c>
      <c r="G885" s="72" t="s">
        <v>928</v>
      </c>
      <c r="H885" s="76" t="s">
        <v>69</v>
      </c>
      <c r="I885" s="76" t="s">
        <v>130</v>
      </c>
      <c r="J885" s="77" t="s">
        <v>48</v>
      </c>
      <c r="K885" s="77" t="s">
        <v>528</v>
      </c>
    </row>
    <row r="886" ht="15.75" customHeight="1">
      <c r="A886" s="72" t="s">
        <v>1749</v>
      </c>
      <c r="B886" s="73" t="s">
        <v>521</v>
      </c>
      <c r="C886" s="73" t="s">
        <v>1007</v>
      </c>
      <c r="D886" s="74" t="s">
        <v>43</v>
      </c>
      <c r="E886" s="75" t="s">
        <v>948</v>
      </c>
      <c r="F886" s="72" t="s">
        <v>240</v>
      </c>
      <c r="G886" s="72" t="s">
        <v>418</v>
      </c>
      <c r="H886" s="76" t="s">
        <v>241</v>
      </c>
      <c r="I886" s="76" t="s">
        <v>105</v>
      </c>
      <c r="J886" s="77" t="s">
        <v>23</v>
      </c>
      <c r="K886" s="77" t="s">
        <v>146</v>
      </c>
    </row>
    <row r="887" ht="15.75" customHeight="1">
      <c r="A887" s="72" t="s">
        <v>1750</v>
      </c>
      <c r="B887" s="73" t="s">
        <v>521</v>
      </c>
      <c r="C887" s="73" t="s">
        <v>320</v>
      </c>
      <c r="D887" s="74" t="s">
        <v>43</v>
      </c>
      <c r="E887" s="75" t="s">
        <v>640</v>
      </c>
      <c r="F887" s="72" t="s">
        <v>53</v>
      </c>
      <c r="G887" s="72" t="s">
        <v>998</v>
      </c>
      <c r="H887" s="76" t="s">
        <v>154</v>
      </c>
      <c r="I887" s="76" t="s">
        <v>130</v>
      </c>
      <c r="J887" s="77" t="s">
        <v>761</v>
      </c>
      <c r="K887" s="77" t="s">
        <v>230</v>
      </c>
    </row>
    <row r="888" ht="15.75" customHeight="1">
      <c r="A888" s="72" t="s">
        <v>1751</v>
      </c>
      <c r="B888" s="73" t="s">
        <v>15</v>
      </c>
      <c r="C888" s="73">
        <v>7.98763889E8</v>
      </c>
      <c r="D888" s="74" t="s">
        <v>17</v>
      </c>
      <c r="E888" s="75" t="s">
        <v>954</v>
      </c>
      <c r="F888" s="72" t="s">
        <v>1034</v>
      </c>
      <c r="G888" s="72" t="s">
        <v>915</v>
      </c>
      <c r="H888" s="76" t="s">
        <v>971</v>
      </c>
      <c r="I888" s="76" t="s">
        <v>22</v>
      </c>
      <c r="J888" s="77" t="s">
        <v>23</v>
      </c>
      <c r="K888" s="77" t="s">
        <v>49</v>
      </c>
    </row>
    <row r="889" ht="15.75" customHeight="1">
      <c r="A889" s="72" t="s">
        <v>1752</v>
      </c>
      <c r="B889" s="73" t="s">
        <v>521</v>
      </c>
      <c r="C889" s="73" t="s">
        <v>502</v>
      </c>
      <c r="D889" s="74" t="s">
        <v>17</v>
      </c>
      <c r="E889" s="75" t="s">
        <v>449</v>
      </c>
      <c r="F889" s="72" t="s">
        <v>826</v>
      </c>
      <c r="G889" s="72" t="s">
        <v>418</v>
      </c>
      <c r="H889" s="76" t="s">
        <v>210</v>
      </c>
      <c r="I889" s="76" t="s">
        <v>97</v>
      </c>
      <c r="J889" s="77" t="s">
        <v>48</v>
      </c>
      <c r="K889" s="77" t="s">
        <v>169</v>
      </c>
    </row>
    <row r="890" ht="15.75" customHeight="1">
      <c r="A890" s="72" t="s">
        <v>1753</v>
      </c>
      <c r="B890" s="73" t="s">
        <v>15</v>
      </c>
      <c r="C890" s="73" t="s">
        <v>502</v>
      </c>
      <c r="D890" s="74" t="s">
        <v>43</v>
      </c>
      <c r="E890" s="75" t="s">
        <v>958</v>
      </c>
      <c r="F890" s="72" t="s">
        <v>783</v>
      </c>
      <c r="G890" s="72" t="s">
        <v>970</v>
      </c>
      <c r="H890" s="76" t="s">
        <v>210</v>
      </c>
      <c r="I890" s="76" t="s">
        <v>113</v>
      </c>
      <c r="J890" s="77" t="s">
        <v>23</v>
      </c>
      <c r="K890" s="77" t="s">
        <v>1022</v>
      </c>
    </row>
    <row r="891" ht="15.75" customHeight="1">
      <c r="A891" s="72" t="s">
        <v>1754</v>
      </c>
      <c r="B891" s="73" t="s">
        <v>521</v>
      </c>
      <c r="C891" s="73" t="s">
        <v>1116</v>
      </c>
      <c r="D891" s="74" t="s">
        <v>17</v>
      </c>
      <c r="E891" s="75" t="s">
        <v>152</v>
      </c>
      <c r="F891" s="72" t="s">
        <v>240</v>
      </c>
      <c r="G891" s="72" t="s">
        <v>128</v>
      </c>
      <c r="H891" s="76" t="s">
        <v>34</v>
      </c>
      <c r="I891" s="76" t="s">
        <v>47</v>
      </c>
      <c r="J891" s="77" t="s">
        <v>23</v>
      </c>
      <c r="K891" s="77" t="s">
        <v>916</v>
      </c>
    </row>
    <row r="892" ht="15.75" customHeight="1">
      <c r="A892" s="72" t="s">
        <v>1755</v>
      </c>
      <c r="B892" s="73" t="s">
        <v>905</v>
      </c>
      <c r="C892" s="73" t="s">
        <v>322</v>
      </c>
      <c r="D892" s="74" t="s">
        <v>17</v>
      </c>
      <c r="E892" s="75" t="s">
        <v>737</v>
      </c>
      <c r="F892" s="72" t="s">
        <v>215</v>
      </c>
      <c r="G892" s="72" t="s">
        <v>379</v>
      </c>
      <c r="H892" s="76" t="s">
        <v>276</v>
      </c>
      <c r="I892" s="76" t="s">
        <v>105</v>
      </c>
      <c r="J892" s="77" t="s">
        <v>48</v>
      </c>
      <c r="K892" s="77" t="s">
        <v>397</v>
      </c>
    </row>
    <row r="893" ht="15.75" customHeight="1">
      <c r="A893" s="72" t="s">
        <v>1756</v>
      </c>
      <c r="B893" s="73" t="s">
        <v>15</v>
      </c>
      <c r="C893" s="73" t="s">
        <v>295</v>
      </c>
      <c r="D893" s="74" t="s">
        <v>17</v>
      </c>
      <c r="E893" s="75" t="s">
        <v>954</v>
      </c>
      <c r="F893" s="72" t="s">
        <v>1066</v>
      </c>
      <c r="G893" s="72" t="s">
        <v>418</v>
      </c>
      <c r="H893" s="76" t="s">
        <v>359</v>
      </c>
      <c r="I893" s="76" t="s">
        <v>130</v>
      </c>
      <c r="J893" s="77" t="s">
        <v>48</v>
      </c>
      <c r="K893" s="77" t="s">
        <v>106</v>
      </c>
    </row>
    <row r="894" ht="15.75" customHeight="1">
      <c r="A894" s="72" t="s">
        <v>1757</v>
      </c>
      <c r="B894" s="73" t="s">
        <v>521</v>
      </c>
      <c r="C894" s="73">
        <v>7.97469998E8</v>
      </c>
      <c r="D894" s="74" t="s">
        <v>17</v>
      </c>
      <c r="E894" s="75" t="s">
        <v>431</v>
      </c>
      <c r="F894" s="72" t="s">
        <v>716</v>
      </c>
      <c r="G894" s="72" t="s">
        <v>20</v>
      </c>
      <c r="H894" s="76" t="s">
        <v>104</v>
      </c>
      <c r="I894" s="76" t="s">
        <v>113</v>
      </c>
      <c r="J894" s="77" t="s">
        <v>48</v>
      </c>
      <c r="K894" s="77" t="s">
        <v>1065</v>
      </c>
    </row>
    <row r="895" ht="15.75" customHeight="1">
      <c r="A895" s="72" t="s">
        <v>1758</v>
      </c>
      <c r="B895" s="73" t="s">
        <v>521</v>
      </c>
      <c r="C895" s="73" t="s">
        <v>514</v>
      </c>
      <c r="D895" s="74" t="s">
        <v>17</v>
      </c>
      <c r="E895" s="75" t="s">
        <v>737</v>
      </c>
      <c r="F895" s="72" t="s">
        <v>826</v>
      </c>
      <c r="G895" s="72" t="s">
        <v>829</v>
      </c>
      <c r="H895" s="76" t="s">
        <v>477</v>
      </c>
      <c r="I895" s="76" t="s">
        <v>22</v>
      </c>
      <c r="J895" s="77" t="s">
        <v>23</v>
      </c>
      <c r="K895" s="77" t="s">
        <v>164</v>
      </c>
    </row>
    <row r="896" ht="15.75" customHeight="1">
      <c r="A896" s="72" t="s">
        <v>1759</v>
      </c>
      <c r="B896" s="73" t="s">
        <v>376</v>
      </c>
      <c r="C896" s="73" t="s">
        <v>1083</v>
      </c>
      <c r="D896" s="74" t="s">
        <v>17</v>
      </c>
      <c r="E896" s="75" t="s">
        <v>258</v>
      </c>
      <c r="F896" s="72" t="s">
        <v>619</v>
      </c>
      <c r="G896" s="72" t="s">
        <v>806</v>
      </c>
      <c r="H896" s="76" t="s">
        <v>87</v>
      </c>
      <c r="I896" s="76" t="s">
        <v>22</v>
      </c>
      <c r="J896" s="77" t="s">
        <v>48</v>
      </c>
      <c r="K896" s="77" t="s">
        <v>90</v>
      </c>
    </row>
    <row r="897" ht="15.75" customHeight="1">
      <c r="A897" s="72" t="s">
        <v>1760</v>
      </c>
      <c r="B897" s="73" t="s">
        <v>15</v>
      </c>
      <c r="C897" s="73" t="s">
        <v>1276</v>
      </c>
      <c r="D897" s="74" t="s">
        <v>17</v>
      </c>
      <c r="E897" s="75" t="s">
        <v>811</v>
      </c>
      <c r="F897" s="72" t="s">
        <v>738</v>
      </c>
      <c r="G897" s="72" t="s">
        <v>476</v>
      </c>
      <c r="H897" s="76" t="s">
        <v>316</v>
      </c>
      <c r="I897" s="76" t="s">
        <v>201</v>
      </c>
      <c r="J897" s="77" t="s">
        <v>48</v>
      </c>
      <c r="K897" s="77" t="s">
        <v>563</v>
      </c>
    </row>
    <row r="898" ht="15.75" customHeight="1">
      <c r="A898" s="72" t="s">
        <v>1761</v>
      </c>
      <c r="B898" s="73" t="s">
        <v>521</v>
      </c>
      <c r="C898" s="73">
        <v>7.84647837E8</v>
      </c>
      <c r="D898" s="74" t="s">
        <v>17</v>
      </c>
      <c r="E898" s="75" t="s">
        <v>800</v>
      </c>
      <c r="F898" s="72" t="s">
        <v>911</v>
      </c>
      <c r="G898" s="72" t="s">
        <v>103</v>
      </c>
      <c r="H898" s="76" t="s">
        <v>69</v>
      </c>
      <c r="I898" s="76" t="s">
        <v>22</v>
      </c>
      <c r="J898" s="77" t="s">
        <v>23</v>
      </c>
      <c r="K898" s="77" t="s">
        <v>24</v>
      </c>
    </row>
    <row r="899" ht="15.75" customHeight="1">
      <c r="A899" s="72" t="s">
        <v>1762</v>
      </c>
      <c r="B899" s="73" t="s">
        <v>521</v>
      </c>
      <c r="C899" s="73" t="s">
        <v>711</v>
      </c>
      <c r="D899" s="74" t="s">
        <v>17</v>
      </c>
      <c r="E899" s="75" t="s">
        <v>489</v>
      </c>
      <c r="F899" s="72" t="s">
        <v>314</v>
      </c>
      <c r="G899" s="72" t="s">
        <v>418</v>
      </c>
      <c r="H899" s="76" t="s">
        <v>77</v>
      </c>
      <c r="I899" s="76" t="s">
        <v>201</v>
      </c>
      <c r="J899" s="77" t="s">
        <v>48</v>
      </c>
      <c r="K899" s="77" t="s">
        <v>423</v>
      </c>
    </row>
    <row r="900" ht="15.75" customHeight="1">
      <c r="A900" s="72" t="s">
        <v>1763</v>
      </c>
      <c r="B900" s="73" t="s">
        <v>521</v>
      </c>
      <c r="C900" s="73">
        <v>7.50576743E8</v>
      </c>
      <c r="D900" s="74" t="s">
        <v>17</v>
      </c>
      <c r="E900" s="75" t="s">
        <v>1072</v>
      </c>
      <c r="F900" s="72" t="s">
        <v>653</v>
      </c>
      <c r="G900" s="72" t="s">
        <v>20</v>
      </c>
      <c r="H900" s="76" t="s">
        <v>59</v>
      </c>
      <c r="I900" s="76" t="s">
        <v>22</v>
      </c>
      <c r="J900" s="77" t="s">
        <v>23</v>
      </c>
      <c r="K900" s="77" t="s">
        <v>24</v>
      </c>
    </row>
    <row r="901" ht="15.75" customHeight="1">
      <c r="A901" s="72" t="s">
        <v>1764</v>
      </c>
      <c r="B901" s="73" t="s">
        <v>376</v>
      </c>
      <c r="C901" s="73" t="s">
        <v>947</v>
      </c>
      <c r="D901" s="74" t="s">
        <v>17</v>
      </c>
      <c r="E901" s="75" t="s">
        <v>38</v>
      </c>
      <c r="F901" s="72" t="s">
        <v>254</v>
      </c>
      <c r="G901" s="72" t="s">
        <v>556</v>
      </c>
      <c r="H901" s="76" t="s">
        <v>162</v>
      </c>
      <c r="I901" s="76" t="s">
        <v>97</v>
      </c>
      <c r="J901" s="77" t="s">
        <v>23</v>
      </c>
      <c r="K901" s="77" t="s">
        <v>857</v>
      </c>
    </row>
    <row r="902" ht="15.75" customHeight="1">
      <c r="A902" s="72" t="s">
        <v>1765</v>
      </c>
      <c r="B902" s="73" t="s">
        <v>905</v>
      </c>
      <c r="C902" s="73" t="s">
        <v>909</v>
      </c>
      <c r="D902" s="74" t="s">
        <v>43</v>
      </c>
      <c r="E902" s="75" t="s">
        <v>1258</v>
      </c>
      <c r="F902" s="72" t="s">
        <v>1266</v>
      </c>
      <c r="G902" s="72" t="s">
        <v>80</v>
      </c>
      <c r="H902" s="76" t="s">
        <v>316</v>
      </c>
      <c r="I902" s="76" t="s">
        <v>201</v>
      </c>
      <c r="J902" s="77" t="s">
        <v>48</v>
      </c>
      <c r="K902" s="77" t="s">
        <v>393</v>
      </c>
    </row>
    <row r="903" ht="15.75" customHeight="1">
      <c r="A903" s="72" t="s">
        <v>1766</v>
      </c>
      <c r="B903" s="73" t="s">
        <v>521</v>
      </c>
      <c r="C903" s="73" t="s">
        <v>250</v>
      </c>
      <c r="D903" s="74" t="s">
        <v>43</v>
      </c>
      <c r="E903" s="75" t="s">
        <v>985</v>
      </c>
      <c r="F903" s="72" t="s">
        <v>894</v>
      </c>
      <c r="G903" s="72" t="s">
        <v>111</v>
      </c>
      <c r="H903" s="76" t="s">
        <v>241</v>
      </c>
      <c r="I903" s="76" t="s">
        <v>97</v>
      </c>
      <c r="J903" s="77" t="s">
        <v>23</v>
      </c>
      <c r="K903" s="77" t="s">
        <v>24</v>
      </c>
    </row>
    <row r="904" ht="15.75" customHeight="1">
      <c r="A904" s="72" t="s">
        <v>1767</v>
      </c>
      <c r="B904" s="73" t="s">
        <v>905</v>
      </c>
      <c r="C904" s="73" t="s">
        <v>65</v>
      </c>
      <c r="D904" s="74" t="s">
        <v>43</v>
      </c>
      <c r="E904" s="75" t="s">
        <v>800</v>
      </c>
      <c r="F904" s="72" t="s">
        <v>783</v>
      </c>
      <c r="G904" s="72" t="s">
        <v>527</v>
      </c>
      <c r="H904" s="76" t="s">
        <v>544</v>
      </c>
      <c r="I904" s="76" t="s">
        <v>97</v>
      </c>
      <c r="J904" s="77" t="s">
        <v>48</v>
      </c>
      <c r="K904" s="77" t="s">
        <v>1252</v>
      </c>
    </row>
    <row r="905" ht="15.75" customHeight="1">
      <c r="A905" s="72" t="s">
        <v>1768</v>
      </c>
      <c r="B905" s="73" t="s">
        <v>15</v>
      </c>
      <c r="C905" s="73" t="s">
        <v>1189</v>
      </c>
      <c r="D905" s="74" t="s">
        <v>17</v>
      </c>
      <c r="E905" s="75" t="s">
        <v>167</v>
      </c>
      <c r="F905" s="72" t="s">
        <v>978</v>
      </c>
      <c r="G905" s="72" t="s">
        <v>382</v>
      </c>
      <c r="H905" s="76" t="s">
        <v>104</v>
      </c>
      <c r="I905" s="76" t="s">
        <v>22</v>
      </c>
      <c r="J905" s="77" t="s">
        <v>89</v>
      </c>
      <c r="K905" s="77" t="s">
        <v>563</v>
      </c>
    </row>
    <row r="906" ht="15.75" customHeight="1">
      <c r="A906" s="72" t="s">
        <v>1769</v>
      </c>
      <c r="B906" s="73" t="s">
        <v>376</v>
      </c>
      <c r="C906" s="73">
        <v>7.25541243E8</v>
      </c>
      <c r="D906" s="74" t="s">
        <v>17</v>
      </c>
      <c r="E906" s="75" t="s">
        <v>85</v>
      </c>
      <c r="F906" s="72" t="s">
        <v>826</v>
      </c>
      <c r="G906" s="72" t="s">
        <v>1217</v>
      </c>
      <c r="H906" s="76" t="s">
        <v>142</v>
      </c>
      <c r="I906" s="76" t="s">
        <v>22</v>
      </c>
      <c r="J906" s="77" t="s">
        <v>23</v>
      </c>
      <c r="K906" s="77" t="s">
        <v>563</v>
      </c>
    </row>
    <row r="907" ht="15.75" customHeight="1">
      <c r="A907" s="72" t="s">
        <v>1770</v>
      </c>
      <c r="B907" s="73" t="s">
        <v>905</v>
      </c>
      <c r="C907" s="73">
        <v>7.01900577E8</v>
      </c>
      <c r="D907" s="74" t="s">
        <v>43</v>
      </c>
      <c r="E907" s="75" t="s">
        <v>800</v>
      </c>
      <c r="F907" s="72" t="s">
        <v>1010</v>
      </c>
      <c r="G907" s="72" t="s">
        <v>20</v>
      </c>
      <c r="H907" s="76" t="s">
        <v>34</v>
      </c>
      <c r="I907" s="76" t="s">
        <v>22</v>
      </c>
      <c r="J907" s="77" t="s">
        <v>23</v>
      </c>
      <c r="K907" s="77" t="s">
        <v>383</v>
      </c>
    </row>
    <row r="908" ht="15.75" customHeight="1">
      <c r="A908" s="72" t="s">
        <v>1771</v>
      </c>
      <c r="B908" s="73" t="s">
        <v>15</v>
      </c>
      <c r="C908" s="73" t="s">
        <v>1263</v>
      </c>
      <c r="D908" s="74" t="s">
        <v>43</v>
      </c>
      <c r="E908" s="75" t="s">
        <v>693</v>
      </c>
      <c r="F908" s="72" t="s">
        <v>1034</v>
      </c>
      <c r="G908" s="72" t="s">
        <v>20</v>
      </c>
      <c r="H908" s="76" t="s">
        <v>316</v>
      </c>
      <c r="I908" s="76" t="s">
        <v>130</v>
      </c>
      <c r="J908" s="77" t="s">
        <v>48</v>
      </c>
      <c r="K908" s="77" t="s">
        <v>24</v>
      </c>
    </row>
    <row r="909" ht="15.75" customHeight="1">
      <c r="A909" s="72" t="s">
        <v>1772</v>
      </c>
      <c r="B909" s="73" t="s">
        <v>905</v>
      </c>
      <c r="C909" s="73" t="s">
        <v>688</v>
      </c>
      <c r="D909" s="74" t="s">
        <v>43</v>
      </c>
      <c r="E909" s="75" t="s">
        <v>786</v>
      </c>
      <c r="F909" s="72" t="s">
        <v>1027</v>
      </c>
      <c r="G909" s="72" t="s">
        <v>1032</v>
      </c>
      <c r="H909" s="76" t="s">
        <v>200</v>
      </c>
      <c r="I909" s="76" t="s">
        <v>22</v>
      </c>
      <c r="J909" s="77" t="s">
        <v>23</v>
      </c>
      <c r="K909" s="77" t="s">
        <v>762</v>
      </c>
    </row>
    <row r="910" ht="15.75" customHeight="1">
      <c r="A910" s="72" t="s">
        <v>1773</v>
      </c>
      <c r="B910" s="73" t="s">
        <v>15</v>
      </c>
      <c r="C910" s="73" t="s">
        <v>245</v>
      </c>
      <c r="D910" s="74" t="s">
        <v>17</v>
      </c>
      <c r="E910" s="75" t="s">
        <v>1045</v>
      </c>
      <c r="F910" s="72" t="s">
        <v>965</v>
      </c>
      <c r="G910" s="72" t="s">
        <v>931</v>
      </c>
      <c r="H910" s="76" t="s">
        <v>276</v>
      </c>
      <c r="I910" s="76" t="s">
        <v>130</v>
      </c>
      <c r="J910" s="77" t="s">
        <v>23</v>
      </c>
      <c r="K910" s="77" t="s">
        <v>24</v>
      </c>
    </row>
    <row r="911" ht="15.75" customHeight="1">
      <c r="A911" s="72" t="s">
        <v>1774</v>
      </c>
      <c r="B911" s="73" t="s">
        <v>376</v>
      </c>
      <c r="C911" s="73" t="s">
        <v>657</v>
      </c>
      <c r="D911" s="74" t="s">
        <v>17</v>
      </c>
      <c r="E911" s="75" t="s">
        <v>532</v>
      </c>
      <c r="F911" s="72" t="s">
        <v>153</v>
      </c>
      <c r="G911" s="72" t="s">
        <v>226</v>
      </c>
      <c r="H911" s="76" t="s">
        <v>477</v>
      </c>
      <c r="I911" s="76" t="s">
        <v>105</v>
      </c>
      <c r="J911" s="77" t="s">
        <v>23</v>
      </c>
      <c r="K911" s="77" t="s">
        <v>1022</v>
      </c>
    </row>
    <row r="912" ht="15.75" customHeight="1">
      <c r="A912" s="72" t="s">
        <v>1775</v>
      </c>
      <c r="B912" s="73" t="s">
        <v>521</v>
      </c>
      <c r="C912" s="73" t="s">
        <v>514</v>
      </c>
      <c r="D912" s="74" t="s">
        <v>17</v>
      </c>
      <c r="E912" s="75" t="s">
        <v>1018</v>
      </c>
      <c r="F912" s="72" t="s">
        <v>653</v>
      </c>
      <c r="G912" s="72" t="s">
        <v>556</v>
      </c>
      <c r="H912" s="76" t="s">
        <v>359</v>
      </c>
      <c r="I912" s="76" t="s">
        <v>22</v>
      </c>
      <c r="J912" s="77" t="s">
        <v>48</v>
      </c>
      <c r="K912" s="77" t="s">
        <v>861</v>
      </c>
    </row>
    <row r="913" ht="15.75" customHeight="1">
      <c r="A913" s="72" t="s">
        <v>1776</v>
      </c>
      <c r="B913" s="73" t="s">
        <v>521</v>
      </c>
      <c r="C913" s="73">
        <v>7.23861538E8</v>
      </c>
      <c r="D913" s="74" t="s">
        <v>43</v>
      </c>
      <c r="E913" s="75" t="s">
        <v>313</v>
      </c>
      <c r="F913" s="72" t="s">
        <v>911</v>
      </c>
      <c r="G913" s="72" t="s">
        <v>615</v>
      </c>
      <c r="H913" s="76" t="s">
        <v>447</v>
      </c>
      <c r="I913" s="76" t="s">
        <v>97</v>
      </c>
      <c r="J913" s="77" t="s">
        <v>23</v>
      </c>
      <c r="K913" s="77" t="s">
        <v>49</v>
      </c>
    </row>
    <row r="914" ht="15.75" customHeight="1">
      <c r="A914" s="72" t="s">
        <v>1777</v>
      </c>
      <c r="B914" s="73" t="s">
        <v>905</v>
      </c>
      <c r="C914" s="73" t="s">
        <v>1049</v>
      </c>
      <c r="D914" s="74" t="s">
        <v>17</v>
      </c>
      <c r="E914" s="75" t="s">
        <v>187</v>
      </c>
      <c r="F914" s="72" t="s">
        <v>826</v>
      </c>
      <c r="G914" s="72" t="s">
        <v>654</v>
      </c>
      <c r="H914" s="76" t="s">
        <v>248</v>
      </c>
      <c r="I914" s="76" t="s">
        <v>739</v>
      </c>
      <c r="J914" s="77" t="s">
        <v>48</v>
      </c>
      <c r="K914" s="77" t="s">
        <v>49</v>
      </c>
    </row>
    <row r="915" ht="15.75" customHeight="1">
      <c r="A915" s="72" t="s">
        <v>1778</v>
      </c>
      <c r="B915" s="73" t="s">
        <v>1048</v>
      </c>
      <c r="C915" s="73">
        <v>7.8953851E8</v>
      </c>
      <c r="D915" s="74" t="s">
        <v>17</v>
      </c>
      <c r="E915" s="75" t="s">
        <v>1212</v>
      </c>
      <c r="F915" s="72" t="s">
        <v>802</v>
      </c>
      <c r="G915" s="72" t="s">
        <v>1336</v>
      </c>
      <c r="H915" s="76" t="s">
        <v>581</v>
      </c>
      <c r="I915" s="76" t="s">
        <v>22</v>
      </c>
      <c r="J915" s="77" t="s">
        <v>48</v>
      </c>
      <c r="K915" s="77" t="s">
        <v>24</v>
      </c>
    </row>
    <row r="916" ht="15.75" customHeight="1">
      <c r="A916" s="72" t="s">
        <v>1779</v>
      </c>
      <c r="B916" s="73" t="s">
        <v>905</v>
      </c>
      <c r="C916" s="73">
        <v>7.84147718E8</v>
      </c>
      <c r="D916" s="74" t="s">
        <v>43</v>
      </c>
      <c r="E916" s="75" t="s">
        <v>665</v>
      </c>
      <c r="F916" s="72" t="s">
        <v>209</v>
      </c>
      <c r="G916" s="72" t="s">
        <v>829</v>
      </c>
      <c r="H916" s="76" t="s">
        <v>535</v>
      </c>
      <c r="I916" s="76" t="s">
        <v>97</v>
      </c>
      <c r="J916" s="77" t="s">
        <v>23</v>
      </c>
      <c r="K916" s="77" t="s">
        <v>24</v>
      </c>
    </row>
    <row r="917" ht="15.75" customHeight="1">
      <c r="A917" s="72" t="s">
        <v>1780</v>
      </c>
      <c r="B917" s="73" t="s">
        <v>521</v>
      </c>
      <c r="C917" s="73" t="s">
        <v>1083</v>
      </c>
      <c r="D917" s="74" t="s">
        <v>17</v>
      </c>
      <c r="E917" s="75" t="s">
        <v>474</v>
      </c>
      <c r="F917" s="72" t="s">
        <v>314</v>
      </c>
      <c r="G917" s="72" t="s">
        <v>68</v>
      </c>
      <c r="H917" s="76" t="s">
        <v>541</v>
      </c>
      <c r="I917" s="76" t="s">
        <v>201</v>
      </c>
      <c r="J917" s="77" t="s">
        <v>81</v>
      </c>
      <c r="K917" s="77" t="s">
        <v>393</v>
      </c>
    </row>
    <row r="918" ht="15.75" customHeight="1">
      <c r="A918" s="72" t="s">
        <v>1781</v>
      </c>
      <c r="B918" s="73" t="s">
        <v>15</v>
      </c>
      <c r="C918" s="73" t="s">
        <v>1140</v>
      </c>
      <c r="D918" s="74" t="s">
        <v>17</v>
      </c>
      <c r="E918" s="75" t="s">
        <v>1212</v>
      </c>
      <c r="F918" s="72" t="s">
        <v>1266</v>
      </c>
      <c r="G918" s="72" t="s">
        <v>1221</v>
      </c>
      <c r="H918" s="76" t="s">
        <v>349</v>
      </c>
      <c r="I918" s="76" t="s">
        <v>113</v>
      </c>
      <c r="J918" s="77" t="s">
        <v>48</v>
      </c>
      <c r="K918" s="77" t="s">
        <v>1105</v>
      </c>
    </row>
    <row r="919" ht="15.75" customHeight="1">
      <c r="A919" s="72" t="s">
        <v>1782</v>
      </c>
      <c r="B919" s="73" t="s">
        <v>905</v>
      </c>
      <c r="C919" s="73">
        <v>7.5861674E8</v>
      </c>
      <c r="D919" s="74" t="s">
        <v>17</v>
      </c>
      <c r="E919" s="75" t="s">
        <v>515</v>
      </c>
      <c r="F919" s="72" t="s">
        <v>1190</v>
      </c>
      <c r="G919" s="72" t="s">
        <v>422</v>
      </c>
      <c r="H919" s="76" t="s">
        <v>433</v>
      </c>
      <c r="I919" s="76" t="s">
        <v>97</v>
      </c>
      <c r="J919" s="77" t="s">
        <v>23</v>
      </c>
      <c r="K919" s="77" t="s">
        <v>1052</v>
      </c>
    </row>
    <row r="920" ht="15.75" customHeight="1">
      <c r="A920" s="72" t="s">
        <v>1783</v>
      </c>
      <c r="B920" s="73" t="s">
        <v>15</v>
      </c>
      <c r="C920" s="73">
        <v>7.59192007E8</v>
      </c>
      <c r="D920" s="74" t="s">
        <v>17</v>
      </c>
      <c r="E920" s="75" t="s">
        <v>1212</v>
      </c>
      <c r="F920" s="72" t="s">
        <v>432</v>
      </c>
      <c r="G920" s="72" t="s">
        <v>699</v>
      </c>
      <c r="H920" s="76" t="s">
        <v>477</v>
      </c>
      <c r="I920" s="76" t="s">
        <v>130</v>
      </c>
      <c r="J920" s="77" t="s">
        <v>23</v>
      </c>
      <c r="K920" s="77" t="s">
        <v>861</v>
      </c>
    </row>
    <row r="921" ht="15.75" customHeight="1">
      <c r="A921" s="72" t="s">
        <v>1784</v>
      </c>
      <c r="B921" s="73" t="s">
        <v>376</v>
      </c>
      <c r="C921" s="73" t="s">
        <v>1224</v>
      </c>
      <c r="D921" s="74" t="s">
        <v>17</v>
      </c>
      <c r="E921" s="75" t="s">
        <v>608</v>
      </c>
      <c r="F921" s="72" t="s">
        <v>874</v>
      </c>
      <c r="G921" s="72" t="s">
        <v>556</v>
      </c>
      <c r="H921" s="76" t="s">
        <v>21</v>
      </c>
      <c r="I921" s="76" t="s">
        <v>97</v>
      </c>
      <c r="J921" s="77" t="s">
        <v>48</v>
      </c>
      <c r="K921" s="77" t="s">
        <v>1065</v>
      </c>
    </row>
    <row r="922" ht="15.75" customHeight="1">
      <c r="A922" s="72" t="s">
        <v>1785</v>
      </c>
      <c r="B922" s="73" t="s">
        <v>1048</v>
      </c>
      <c r="C922" s="73" t="s">
        <v>750</v>
      </c>
      <c r="D922" s="74" t="s">
        <v>17</v>
      </c>
      <c r="E922" s="75" t="s">
        <v>1093</v>
      </c>
      <c r="F922" s="72" t="s">
        <v>903</v>
      </c>
      <c r="G922" s="72" t="s">
        <v>439</v>
      </c>
      <c r="H922" s="76" t="s">
        <v>316</v>
      </c>
      <c r="I922" s="76" t="s">
        <v>113</v>
      </c>
      <c r="J922" s="77" t="s">
        <v>562</v>
      </c>
      <c r="K922" s="77" t="s">
        <v>570</v>
      </c>
    </row>
    <row r="923" ht="15.75" customHeight="1">
      <c r="A923" s="72" t="s">
        <v>1786</v>
      </c>
      <c r="B923" s="73" t="s">
        <v>521</v>
      </c>
      <c r="C923" s="73" t="s">
        <v>863</v>
      </c>
      <c r="D923" s="74" t="s">
        <v>17</v>
      </c>
      <c r="E923" s="75" t="s">
        <v>832</v>
      </c>
      <c r="F923" s="72" t="s">
        <v>903</v>
      </c>
      <c r="G923" s="72" t="s">
        <v>418</v>
      </c>
      <c r="H923" s="76" t="s">
        <v>163</v>
      </c>
      <c r="I923" s="76" t="s">
        <v>105</v>
      </c>
      <c r="J923" s="77" t="s">
        <v>48</v>
      </c>
      <c r="K923" s="77" t="s">
        <v>24</v>
      </c>
    </row>
    <row r="924" ht="15.75" customHeight="1">
      <c r="A924" s="72" t="s">
        <v>1787</v>
      </c>
      <c r="B924" s="73" t="s">
        <v>905</v>
      </c>
      <c r="C924" s="73">
        <v>7.66823287E8</v>
      </c>
      <c r="D924" s="74" t="s">
        <v>43</v>
      </c>
      <c r="E924" s="75" t="s">
        <v>208</v>
      </c>
      <c r="F924" s="72" t="s">
        <v>117</v>
      </c>
      <c r="G924" s="72" t="s">
        <v>1281</v>
      </c>
      <c r="H924" s="76" t="s">
        <v>349</v>
      </c>
      <c r="I924" s="76" t="s">
        <v>105</v>
      </c>
      <c r="J924" s="77" t="s">
        <v>23</v>
      </c>
      <c r="K924" s="77" t="s">
        <v>49</v>
      </c>
    </row>
    <row r="925" ht="15.75" customHeight="1">
      <c r="A925" s="72" t="s">
        <v>1788</v>
      </c>
      <c r="B925" s="73" t="s">
        <v>905</v>
      </c>
      <c r="C925" s="73" t="s">
        <v>26</v>
      </c>
      <c r="D925" s="74" t="s">
        <v>43</v>
      </c>
      <c r="E925" s="75" t="s">
        <v>893</v>
      </c>
      <c r="F925" s="72" t="s">
        <v>1186</v>
      </c>
      <c r="G925" s="72" t="s">
        <v>856</v>
      </c>
      <c r="H925" s="76" t="s">
        <v>40</v>
      </c>
      <c r="I925" s="76" t="s">
        <v>97</v>
      </c>
      <c r="J925" s="77" t="s">
        <v>48</v>
      </c>
      <c r="K925" s="77" t="s">
        <v>523</v>
      </c>
    </row>
    <row r="926" ht="15.75" customHeight="1">
      <c r="A926" s="72" t="s">
        <v>1789</v>
      </c>
      <c r="B926" s="73" t="s">
        <v>15</v>
      </c>
      <c r="C926" s="73" t="s">
        <v>913</v>
      </c>
      <c r="D926" s="74" t="s">
        <v>43</v>
      </c>
      <c r="E926" s="75" t="s">
        <v>737</v>
      </c>
      <c r="F926" s="72" t="s">
        <v>894</v>
      </c>
      <c r="G926" s="72" t="s">
        <v>1251</v>
      </c>
      <c r="H926" s="76" t="s">
        <v>104</v>
      </c>
      <c r="I926" s="76" t="s">
        <v>105</v>
      </c>
      <c r="J926" s="77" t="s">
        <v>23</v>
      </c>
      <c r="K926" s="77" t="s">
        <v>1065</v>
      </c>
    </row>
    <row r="927" ht="15.75" customHeight="1">
      <c r="A927" s="72" t="s">
        <v>1790</v>
      </c>
      <c r="B927" s="73" t="s">
        <v>1048</v>
      </c>
      <c r="C927" s="73" t="s">
        <v>203</v>
      </c>
      <c r="D927" s="74" t="s">
        <v>17</v>
      </c>
      <c r="E927" s="75" t="s">
        <v>274</v>
      </c>
      <c r="F927" s="72" t="s">
        <v>780</v>
      </c>
      <c r="G927" s="72" t="s">
        <v>615</v>
      </c>
      <c r="H927" s="76" t="s">
        <v>104</v>
      </c>
      <c r="I927" s="76" t="s">
        <v>105</v>
      </c>
      <c r="J927" s="77" t="s">
        <v>48</v>
      </c>
      <c r="K927" s="77" t="s">
        <v>528</v>
      </c>
    </row>
    <row r="928" ht="15.75" customHeight="1">
      <c r="A928" s="72" t="s">
        <v>1791</v>
      </c>
      <c r="B928" s="73" t="s">
        <v>15</v>
      </c>
      <c r="C928" s="73" t="s">
        <v>934</v>
      </c>
      <c r="D928" s="74" t="s">
        <v>17</v>
      </c>
      <c r="E928" s="75" t="s">
        <v>697</v>
      </c>
      <c r="F928" s="72" t="s">
        <v>650</v>
      </c>
      <c r="G928" s="72" t="s">
        <v>654</v>
      </c>
      <c r="H928" s="76" t="s">
        <v>69</v>
      </c>
      <c r="I928" s="76" t="s">
        <v>22</v>
      </c>
      <c r="J928" s="77" t="s">
        <v>23</v>
      </c>
      <c r="K928" s="77" t="s">
        <v>106</v>
      </c>
    </row>
    <row r="929" ht="15.75" customHeight="1">
      <c r="A929" s="72" t="s">
        <v>1792</v>
      </c>
      <c r="B929" s="73" t="s">
        <v>905</v>
      </c>
      <c r="C929" s="73" t="s">
        <v>920</v>
      </c>
      <c r="D929" s="74" t="s">
        <v>43</v>
      </c>
      <c r="E929" s="75" t="s">
        <v>715</v>
      </c>
      <c r="F929" s="72" t="s">
        <v>641</v>
      </c>
      <c r="G929" s="72" t="s">
        <v>418</v>
      </c>
      <c r="H929" s="76" t="s">
        <v>535</v>
      </c>
      <c r="I929" s="76" t="s">
        <v>105</v>
      </c>
      <c r="J929" s="77" t="s">
        <v>48</v>
      </c>
      <c r="K929" s="77" t="s">
        <v>945</v>
      </c>
    </row>
    <row r="930" ht="15.75" customHeight="1">
      <c r="A930" s="72" t="s">
        <v>1793</v>
      </c>
      <c r="B930" s="73" t="s">
        <v>15</v>
      </c>
      <c r="C930" s="73" t="s">
        <v>863</v>
      </c>
      <c r="D930" s="74" t="s">
        <v>17</v>
      </c>
      <c r="E930" s="75" t="s">
        <v>902</v>
      </c>
      <c r="F930" s="72" t="s">
        <v>205</v>
      </c>
      <c r="G930" s="72" t="s">
        <v>1052</v>
      </c>
      <c r="H930" s="76" t="s">
        <v>332</v>
      </c>
      <c r="I930" s="76" t="s">
        <v>130</v>
      </c>
      <c r="J930" s="77" t="s">
        <v>23</v>
      </c>
      <c r="K930" s="77" t="s">
        <v>907</v>
      </c>
    </row>
    <row r="931" ht="15.75" customHeight="1">
      <c r="A931" s="72" t="s">
        <v>1794</v>
      </c>
      <c r="B931" s="73" t="s">
        <v>15</v>
      </c>
      <c r="C931" s="73" t="s">
        <v>906</v>
      </c>
      <c r="D931" s="74" t="s">
        <v>43</v>
      </c>
      <c r="E931" s="75" t="s">
        <v>873</v>
      </c>
      <c r="F931" s="72" t="s">
        <v>770</v>
      </c>
      <c r="G931" s="72" t="s">
        <v>418</v>
      </c>
      <c r="H931" s="76" t="s">
        <v>1064</v>
      </c>
      <c r="I931" s="76" t="s">
        <v>47</v>
      </c>
      <c r="J931" s="77" t="s">
        <v>23</v>
      </c>
      <c r="K931" s="77" t="s">
        <v>24</v>
      </c>
    </row>
    <row r="932" ht="15.75" customHeight="1">
      <c r="A932" s="72" t="s">
        <v>1795</v>
      </c>
      <c r="B932" s="73" t="s">
        <v>1048</v>
      </c>
      <c r="C932" s="73" t="s">
        <v>295</v>
      </c>
      <c r="D932" s="74" t="s">
        <v>17</v>
      </c>
      <c r="E932" s="75" t="s">
        <v>27</v>
      </c>
      <c r="F932" s="72" t="s">
        <v>803</v>
      </c>
      <c r="G932" s="72" t="s">
        <v>344</v>
      </c>
      <c r="H932" s="76" t="s">
        <v>34</v>
      </c>
      <c r="I932" s="76" t="s">
        <v>201</v>
      </c>
      <c r="J932" s="77" t="s">
        <v>48</v>
      </c>
      <c r="K932" s="77" t="s">
        <v>1143</v>
      </c>
    </row>
    <row r="933" ht="15.75" customHeight="1">
      <c r="A933" s="72" t="s">
        <v>1796</v>
      </c>
      <c r="B933" s="73" t="s">
        <v>905</v>
      </c>
      <c r="C933" s="73">
        <v>7.82588396E8</v>
      </c>
      <c r="D933" s="74" t="s">
        <v>17</v>
      </c>
      <c r="E933" s="75" t="s">
        <v>832</v>
      </c>
      <c r="F933" s="72" t="s">
        <v>825</v>
      </c>
      <c r="G933" s="72" t="s">
        <v>418</v>
      </c>
      <c r="H933" s="76" t="s">
        <v>118</v>
      </c>
      <c r="I933" s="76" t="s">
        <v>105</v>
      </c>
      <c r="J933" s="77" t="s">
        <v>48</v>
      </c>
      <c r="K933" s="77" t="s">
        <v>923</v>
      </c>
    </row>
    <row r="934" ht="15.75" customHeight="1">
      <c r="A934" s="72" t="s">
        <v>1797</v>
      </c>
      <c r="B934" s="73" t="s">
        <v>905</v>
      </c>
      <c r="C934" s="73" t="s">
        <v>1061</v>
      </c>
      <c r="D934" s="74" t="s">
        <v>43</v>
      </c>
      <c r="E934" s="75" t="s">
        <v>1125</v>
      </c>
      <c r="F934" s="72" t="s">
        <v>1069</v>
      </c>
      <c r="G934" s="72" t="s">
        <v>226</v>
      </c>
      <c r="H934" s="76" t="s">
        <v>544</v>
      </c>
      <c r="I934" s="76" t="s">
        <v>201</v>
      </c>
      <c r="J934" s="77" t="s">
        <v>48</v>
      </c>
      <c r="K934" s="77" t="s">
        <v>24</v>
      </c>
    </row>
    <row r="935" ht="15.75" customHeight="1">
      <c r="A935" s="72" t="s">
        <v>1798</v>
      </c>
      <c r="B935" s="73" t="s">
        <v>905</v>
      </c>
      <c r="C935" s="73" t="s">
        <v>1007</v>
      </c>
      <c r="D935" s="74" t="s">
        <v>43</v>
      </c>
      <c r="E935" s="75" t="s">
        <v>187</v>
      </c>
      <c r="F935" s="72" t="s">
        <v>791</v>
      </c>
      <c r="G935" s="72" t="s">
        <v>1267</v>
      </c>
      <c r="H935" s="76" t="s">
        <v>21</v>
      </c>
      <c r="I935" s="76" t="s">
        <v>130</v>
      </c>
      <c r="J935" s="77" t="s">
        <v>48</v>
      </c>
      <c r="K935" s="77" t="s">
        <v>644</v>
      </c>
    </row>
    <row r="936" ht="15.75" customHeight="1">
      <c r="A936" s="72" t="s">
        <v>1799</v>
      </c>
      <c r="B936" s="73" t="s">
        <v>1048</v>
      </c>
      <c r="C936" s="73">
        <v>7.75294978E8</v>
      </c>
      <c r="D936" s="74" t="s">
        <v>17</v>
      </c>
      <c r="E936" s="75" t="s">
        <v>1072</v>
      </c>
      <c r="F936" s="72" t="s">
        <v>930</v>
      </c>
      <c r="G936" s="72" t="s">
        <v>1261</v>
      </c>
      <c r="H936" s="76" t="s">
        <v>255</v>
      </c>
      <c r="I936" s="76" t="s">
        <v>105</v>
      </c>
      <c r="J936" s="77" t="s">
        <v>562</v>
      </c>
      <c r="K936" s="77" t="s">
        <v>748</v>
      </c>
    </row>
    <row r="937" ht="15.75" customHeight="1">
      <c r="A937" s="72" t="s">
        <v>1800</v>
      </c>
      <c r="B937" s="73" t="s">
        <v>376</v>
      </c>
      <c r="C937" s="73" t="s">
        <v>1002</v>
      </c>
      <c r="D937" s="74" t="s">
        <v>43</v>
      </c>
      <c r="E937" s="75" t="s">
        <v>497</v>
      </c>
      <c r="F937" s="72" t="s">
        <v>1079</v>
      </c>
      <c r="G937" s="72" t="s">
        <v>981</v>
      </c>
      <c r="H937" s="76" t="s">
        <v>241</v>
      </c>
      <c r="I937" s="76" t="s">
        <v>22</v>
      </c>
      <c r="J937" s="77" t="s">
        <v>48</v>
      </c>
      <c r="K937" s="77" t="s">
        <v>1065</v>
      </c>
    </row>
    <row r="938" ht="15.75" customHeight="1">
      <c r="A938" s="72" t="s">
        <v>1801</v>
      </c>
      <c r="B938" s="73" t="s">
        <v>521</v>
      </c>
      <c r="C938" s="73" t="s">
        <v>79</v>
      </c>
      <c r="D938" s="74" t="s">
        <v>17</v>
      </c>
      <c r="E938" s="75" t="s">
        <v>159</v>
      </c>
      <c r="F938" s="72" t="s">
        <v>516</v>
      </c>
      <c r="G938" s="72" t="s">
        <v>1052</v>
      </c>
      <c r="H938" s="76" t="s">
        <v>293</v>
      </c>
      <c r="I938" s="76" t="s">
        <v>113</v>
      </c>
      <c r="J938" s="77" t="s">
        <v>48</v>
      </c>
      <c r="K938" s="77" t="s">
        <v>49</v>
      </c>
    </row>
    <row r="939" ht="15.75" customHeight="1">
      <c r="A939" s="72" t="s">
        <v>1802</v>
      </c>
      <c r="B939" s="73" t="s">
        <v>521</v>
      </c>
      <c r="C939" s="73">
        <v>7.30008228E8</v>
      </c>
      <c r="D939" s="74" t="s">
        <v>43</v>
      </c>
      <c r="E939" s="75" t="s">
        <v>772</v>
      </c>
      <c r="F939" s="72" t="s">
        <v>432</v>
      </c>
      <c r="G939" s="72" t="s">
        <v>418</v>
      </c>
      <c r="H939" s="76" t="s">
        <v>21</v>
      </c>
      <c r="I939" s="76" t="s">
        <v>130</v>
      </c>
      <c r="J939" s="77" t="s">
        <v>23</v>
      </c>
      <c r="K939" s="77" t="s">
        <v>106</v>
      </c>
    </row>
    <row r="940" ht="15.75" customHeight="1">
      <c r="A940" s="72" t="s">
        <v>1803</v>
      </c>
      <c r="B940" s="73" t="s">
        <v>376</v>
      </c>
      <c r="C940" s="73">
        <v>7.31452125E8</v>
      </c>
      <c r="D940" s="74" t="s">
        <v>43</v>
      </c>
      <c r="E940" s="75" t="s">
        <v>964</v>
      </c>
      <c r="F940" s="72" t="s">
        <v>483</v>
      </c>
      <c r="G940" s="72" t="s">
        <v>556</v>
      </c>
      <c r="H940" s="76" t="s">
        <v>248</v>
      </c>
      <c r="I940" s="76" t="s">
        <v>113</v>
      </c>
      <c r="J940" s="77" t="s">
        <v>48</v>
      </c>
      <c r="K940" s="77" t="s">
        <v>523</v>
      </c>
    </row>
    <row r="941" ht="15.75" customHeight="1">
      <c r="A941" s="72" t="s">
        <v>1804</v>
      </c>
      <c r="B941" s="73" t="s">
        <v>1336</v>
      </c>
      <c r="C941" s="73" t="s">
        <v>872</v>
      </c>
      <c r="D941" s="74" t="s">
        <v>43</v>
      </c>
      <c r="E941" s="75" t="s">
        <v>405</v>
      </c>
      <c r="F941" s="72" t="s">
        <v>1213</v>
      </c>
      <c r="G941" s="72" t="s">
        <v>834</v>
      </c>
      <c r="H941" s="76" t="s">
        <v>610</v>
      </c>
      <c r="I941" s="76" t="s">
        <v>97</v>
      </c>
      <c r="J941" s="77" t="s">
        <v>48</v>
      </c>
      <c r="K941" s="77" t="s">
        <v>542</v>
      </c>
    </row>
    <row r="942" ht="15.75" customHeight="1">
      <c r="A942" s="72" t="s">
        <v>1805</v>
      </c>
      <c r="B942" s="73" t="s">
        <v>521</v>
      </c>
      <c r="C942" s="73" t="s">
        <v>939</v>
      </c>
      <c r="D942" s="74" t="s">
        <v>17</v>
      </c>
      <c r="E942" s="75" t="s">
        <v>900</v>
      </c>
      <c r="F942" s="72" t="s">
        <v>831</v>
      </c>
      <c r="G942" s="72" t="s">
        <v>615</v>
      </c>
      <c r="H942" s="76" t="s">
        <v>535</v>
      </c>
      <c r="I942" s="76" t="s">
        <v>485</v>
      </c>
      <c r="J942" s="77" t="s">
        <v>48</v>
      </c>
      <c r="K942" s="77" t="s">
        <v>684</v>
      </c>
    </row>
    <row r="943" ht="15.75" customHeight="1">
      <c r="A943" s="72" t="s">
        <v>1806</v>
      </c>
      <c r="B943" s="73" t="s">
        <v>521</v>
      </c>
      <c r="C943" s="73" t="s">
        <v>612</v>
      </c>
      <c r="D943" s="74" t="s">
        <v>43</v>
      </c>
      <c r="E943" s="75" t="s">
        <v>693</v>
      </c>
      <c r="F943" s="72" t="s">
        <v>271</v>
      </c>
      <c r="G943" s="72" t="s">
        <v>418</v>
      </c>
      <c r="H943" s="76" t="s">
        <v>535</v>
      </c>
      <c r="I943" s="76" t="s">
        <v>22</v>
      </c>
      <c r="J943" s="77" t="s">
        <v>562</v>
      </c>
      <c r="K943" s="77" t="s">
        <v>24</v>
      </c>
    </row>
    <row r="944" ht="15.75" customHeight="1">
      <c r="A944" s="72"/>
      <c r="B944" s="73"/>
      <c r="C944" s="73"/>
      <c r="D944" s="74"/>
      <c r="E944" s="75"/>
      <c r="F944" s="72"/>
      <c r="G944" s="72"/>
      <c r="H944" s="76"/>
      <c r="I944" s="76"/>
      <c r="J944" s="77"/>
      <c r="K944" s="77"/>
    </row>
    <row r="945" ht="15.75" customHeight="1">
      <c r="A945" s="72"/>
      <c r="B945" s="73"/>
      <c r="C945" s="73"/>
      <c r="D945" s="74"/>
      <c r="E945" s="75"/>
      <c r="F945" s="72"/>
      <c r="G945" s="72"/>
      <c r="H945" s="76"/>
      <c r="I945" s="76"/>
      <c r="J945" s="77"/>
      <c r="K945" s="77"/>
    </row>
    <row r="946" ht="15.75" customHeight="1">
      <c r="A946" s="72"/>
      <c r="B946" s="73"/>
      <c r="C946" s="73"/>
      <c r="D946" s="74"/>
      <c r="E946" s="75"/>
      <c r="F946" s="72"/>
      <c r="G946" s="72"/>
      <c r="H946" s="76"/>
      <c r="I946" s="76"/>
      <c r="J946" s="77"/>
      <c r="K946" s="77"/>
    </row>
    <row r="947" ht="15.75" customHeight="1">
      <c r="A947" s="72"/>
      <c r="B947" s="73"/>
      <c r="C947" s="73"/>
      <c r="D947" s="74"/>
      <c r="E947" s="75"/>
      <c r="F947" s="72"/>
      <c r="G947" s="72"/>
      <c r="H947" s="76"/>
      <c r="I947" s="76"/>
      <c r="J947" s="77"/>
      <c r="K947" s="77"/>
    </row>
    <row r="948" ht="15.75" customHeight="1">
      <c r="A948" s="72"/>
      <c r="B948" s="73"/>
      <c r="C948" s="73"/>
      <c r="D948" s="74"/>
      <c r="E948" s="75"/>
      <c r="F948" s="72"/>
      <c r="G948" s="72"/>
      <c r="H948" s="76"/>
      <c r="I948" s="76"/>
      <c r="J948" s="77"/>
      <c r="K948" s="77"/>
    </row>
    <row r="949" ht="15.75" customHeight="1">
      <c r="A949" s="72"/>
      <c r="B949" s="73"/>
      <c r="C949" s="73"/>
      <c r="D949" s="74"/>
      <c r="E949" s="75"/>
      <c r="F949" s="72"/>
      <c r="G949" s="72"/>
      <c r="H949" s="76"/>
      <c r="I949" s="76"/>
      <c r="J949" s="77"/>
      <c r="K949" s="77"/>
    </row>
    <row r="950" ht="15.75" customHeight="1">
      <c r="A950" s="72"/>
      <c r="B950" s="73"/>
      <c r="C950" s="73"/>
      <c r="D950" s="74"/>
      <c r="E950" s="75"/>
      <c r="F950" s="72"/>
      <c r="G950" s="72"/>
      <c r="H950" s="76"/>
      <c r="I950" s="76"/>
      <c r="J950" s="77"/>
      <c r="K950" s="77"/>
    </row>
    <row r="951" ht="15.75" customHeight="1">
      <c r="A951" s="72"/>
      <c r="B951" s="73"/>
      <c r="C951" s="73"/>
      <c r="D951" s="74"/>
      <c r="E951" s="75"/>
      <c r="F951" s="72"/>
      <c r="G951" s="72"/>
      <c r="H951" s="76"/>
      <c r="I951" s="76"/>
      <c r="J951" s="77"/>
      <c r="K951" s="77"/>
    </row>
    <row r="952" ht="15.75" customHeight="1">
      <c r="A952" s="72"/>
      <c r="B952" s="73"/>
      <c r="C952" s="73"/>
      <c r="D952" s="74"/>
      <c r="E952" s="75"/>
      <c r="F952" s="72"/>
      <c r="G952" s="72"/>
      <c r="H952" s="76"/>
      <c r="I952" s="76"/>
      <c r="J952" s="77"/>
      <c r="K952" s="77"/>
    </row>
    <row r="953" ht="15.75" customHeight="1">
      <c r="A953" s="72"/>
      <c r="B953" s="73"/>
      <c r="C953" s="73"/>
      <c r="D953" s="74"/>
      <c r="E953" s="75"/>
      <c r="F953" s="72"/>
      <c r="G953" s="72"/>
      <c r="H953" s="76"/>
      <c r="I953" s="76"/>
      <c r="J953" s="77"/>
      <c r="K953" s="77"/>
    </row>
    <row r="954" ht="15.75" customHeight="1">
      <c r="A954" s="72"/>
      <c r="B954" s="73"/>
      <c r="C954" s="73"/>
      <c r="D954" s="74"/>
      <c r="E954" s="75"/>
      <c r="F954" s="72"/>
      <c r="G954" s="72"/>
      <c r="H954" s="76"/>
      <c r="I954" s="76"/>
      <c r="J954" s="77"/>
      <c r="K954" s="77"/>
    </row>
    <row r="955" ht="15.75" customHeight="1">
      <c r="A955" s="72"/>
      <c r="B955" s="73"/>
      <c r="C955" s="73"/>
      <c r="D955" s="74"/>
      <c r="E955" s="78"/>
      <c r="F955" s="79"/>
      <c r="G955" s="79"/>
      <c r="H955" s="80"/>
      <c r="I955" s="81"/>
      <c r="J955" s="77"/>
      <c r="K955" s="73"/>
    </row>
    <row r="956" ht="15.75" customHeight="1">
      <c r="A956" s="72"/>
      <c r="B956" s="73"/>
      <c r="C956" s="73"/>
      <c r="D956" s="74"/>
      <c r="E956" s="78"/>
      <c r="F956" s="79"/>
      <c r="G956" s="79"/>
      <c r="H956" s="80"/>
      <c r="I956" s="81"/>
      <c r="J956" s="77"/>
      <c r="K956" s="73"/>
    </row>
    <row r="957" ht="15.75" customHeight="1">
      <c r="A957" s="72"/>
      <c r="B957" s="73"/>
      <c r="C957" s="73"/>
      <c r="D957" s="74"/>
      <c r="E957" s="78"/>
      <c r="F957" s="79"/>
      <c r="G957" s="79"/>
      <c r="H957" s="80"/>
      <c r="I957" s="81"/>
      <c r="J957" s="77"/>
      <c r="K957" s="73"/>
    </row>
    <row r="958" ht="15.75" customHeight="1">
      <c r="A958" s="72"/>
      <c r="B958" s="73"/>
      <c r="C958" s="73"/>
      <c r="D958" s="74"/>
      <c r="E958" s="78"/>
      <c r="F958" s="79"/>
      <c r="G958" s="79"/>
      <c r="H958" s="80"/>
      <c r="I958" s="81"/>
      <c r="J958" s="77"/>
      <c r="K958" s="73"/>
    </row>
    <row r="959" ht="15.75" customHeight="1">
      <c r="A959" s="72"/>
      <c r="B959" s="73"/>
      <c r="C959" s="73"/>
      <c r="D959" s="74"/>
      <c r="E959" s="78"/>
      <c r="F959" s="79"/>
      <c r="G959" s="79"/>
      <c r="H959" s="80"/>
      <c r="I959" s="81"/>
      <c r="J959" s="77"/>
      <c r="K959" s="73"/>
    </row>
    <row r="960" ht="15.75" customHeight="1">
      <c r="A960" s="72"/>
      <c r="B960" s="73"/>
      <c r="C960" s="73"/>
      <c r="D960" s="74"/>
      <c r="E960" s="78"/>
      <c r="F960" s="79"/>
      <c r="G960" s="79"/>
      <c r="H960" s="80"/>
      <c r="I960" s="81"/>
      <c r="J960" s="77"/>
      <c r="K960" s="73"/>
    </row>
    <row r="961" ht="15.75" customHeight="1">
      <c r="A961" s="72"/>
      <c r="B961" s="73"/>
      <c r="C961" s="73"/>
      <c r="D961" s="74"/>
      <c r="E961" s="78"/>
      <c r="F961" s="79"/>
      <c r="G961" s="79"/>
      <c r="H961" s="80"/>
      <c r="I961" s="81"/>
      <c r="J961" s="77"/>
      <c r="K961" s="73"/>
    </row>
    <row r="962" ht="15.75" customHeight="1">
      <c r="A962" s="72"/>
      <c r="B962" s="73"/>
      <c r="C962" s="73"/>
      <c r="D962" s="74"/>
      <c r="E962" s="78"/>
      <c r="F962" s="79"/>
      <c r="G962" s="79"/>
      <c r="H962" s="80"/>
      <c r="I962" s="81"/>
      <c r="J962" s="77"/>
      <c r="K962" s="73"/>
    </row>
    <row r="963" ht="15.75" customHeight="1">
      <c r="A963" s="72"/>
      <c r="B963" s="73"/>
      <c r="C963" s="73"/>
      <c r="D963" s="74"/>
      <c r="E963" s="78"/>
      <c r="F963" s="79"/>
      <c r="G963" s="79"/>
      <c r="H963" s="80"/>
      <c r="I963" s="81"/>
      <c r="J963" s="77"/>
      <c r="K963" s="73"/>
    </row>
    <row r="964" ht="15.75" customHeight="1">
      <c r="A964" s="72"/>
      <c r="B964" s="73"/>
      <c r="C964" s="73"/>
      <c r="D964" s="74"/>
      <c r="E964" s="78"/>
      <c r="F964" s="79"/>
      <c r="G964" s="79"/>
      <c r="H964" s="80"/>
      <c r="I964" s="81"/>
      <c r="J964" s="77"/>
      <c r="K964" s="73"/>
    </row>
    <row r="965" ht="15.75" customHeight="1">
      <c r="A965" s="72"/>
      <c r="B965" s="73"/>
      <c r="C965" s="73"/>
      <c r="D965" s="74"/>
      <c r="E965" s="78"/>
      <c r="F965" s="79"/>
      <c r="G965" s="79"/>
      <c r="H965" s="80"/>
      <c r="I965" s="81"/>
      <c r="J965" s="77"/>
      <c r="K965" s="73"/>
    </row>
    <row r="966" ht="15.75" customHeight="1">
      <c r="A966" s="72"/>
      <c r="B966" s="73"/>
      <c r="C966" s="73"/>
      <c r="D966" s="74"/>
      <c r="E966" s="78"/>
      <c r="F966" s="79"/>
      <c r="G966" s="79"/>
      <c r="H966" s="80"/>
      <c r="I966" s="81"/>
      <c r="J966" s="77"/>
      <c r="K966" s="73"/>
    </row>
    <row r="967" ht="15.75" customHeight="1">
      <c r="A967" s="72"/>
      <c r="B967" s="73"/>
      <c r="C967" s="73"/>
      <c r="D967" s="74"/>
      <c r="E967" s="78"/>
      <c r="F967" s="79"/>
      <c r="G967" s="79"/>
      <c r="H967" s="80"/>
      <c r="I967" s="81"/>
      <c r="J967" s="77"/>
      <c r="K967" s="73"/>
    </row>
    <row r="968" ht="15.75" customHeight="1">
      <c r="A968" s="72"/>
      <c r="B968" s="73"/>
      <c r="C968" s="73"/>
      <c r="D968" s="74"/>
      <c r="E968" s="78"/>
      <c r="F968" s="79"/>
      <c r="G968" s="79"/>
      <c r="H968" s="80"/>
      <c r="I968" s="81"/>
      <c r="J968" s="77"/>
      <c r="K968" s="73"/>
    </row>
    <row r="969" ht="15.75" customHeight="1">
      <c r="A969" s="72"/>
      <c r="B969" s="73"/>
      <c r="C969" s="73"/>
      <c r="D969" s="74"/>
      <c r="E969" s="78"/>
      <c r="F969" s="79"/>
      <c r="G969" s="79"/>
      <c r="H969" s="80"/>
      <c r="I969" s="81"/>
      <c r="J969" s="77"/>
      <c r="K969" s="73"/>
    </row>
    <row r="970" ht="15.75" customHeight="1">
      <c r="A970" s="72"/>
      <c r="B970" s="73"/>
      <c r="C970" s="73"/>
      <c r="D970" s="74"/>
      <c r="E970" s="78"/>
      <c r="F970" s="79"/>
      <c r="G970" s="79"/>
      <c r="H970" s="80"/>
      <c r="I970" s="81"/>
      <c r="J970" s="77"/>
      <c r="K970" s="73"/>
    </row>
    <row r="971" ht="15.75" customHeight="1">
      <c r="A971" s="72"/>
      <c r="B971" s="73"/>
      <c r="C971" s="73"/>
      <c r="D971" s="74"/>
      <c r="E971" s="78"/>
      <c r="F971" s="79"/>
      <c r="G971" s="79"/>
      <c r="H971" s="80"/>
      <c r="I971" s="81"/>
      <c r="J971" s="77"/>
      <c r="K971" s="73"/>
    </row>
    <row r="972" ht="15.75" customHeight="1">
      <c r="A972" s="72"/>
      <c r="B972" s="73"/>
      <c r="C972" s="73"/>
      <c r="D972" s="74"/>
      <c r="E972" s="78"/>
      <c r="F972" s="79"/>
      <c r="G972" s="79"/>
      <c r="H972" s="80"/>
      <c r="I972" s="81"/>
      <c r="J972" s="77"/>
      <c r="K972" s="73"/>
    </row>
    <row r="973" ht="15.75" customHeight="1">
      <c r="A973" s="72"/>
      <c r="B973" s="73"/>
      <c r="C973" s="73"/>
      <c r="D973" s="74"/>
      <c r="E973" s="78"/>
      <c r="F973" s="79"/>
      <c r="G973" s="79"/>
      <c r="H973" s="80"/>
      <c r="I973" s="81"/>
      <c r="J973" s="77"/>
      <c r="K973" s="73"/>
    </row>
    <row r="974" ht="15.75" customHeight="1">
      <c r="A974" s="72"/>
      <c r="B974" s="73"/>
      <c r="C974" s="73"/>
      <c r="D974" s="74"/>
      <c r="E974" s="78"/>
      <c r="F974" s="79"/>
      <c r="G974" s="79"/>
      <c r="H974" s="80"/>
      <c r="I974" s="81"/>
      <c r="J974" s="77"/>
      <c r="K974" s="73"/>
    </row>
    <row r="975" ht="15.75" customHeight="1">
      <c r="A975" s="72"/>
      <c r="B975" s="73"/>
      <c r="C975" s="73"/>
      <c r="D975" s="74"/>
      <c r="E975" s="78"/>
      <c r="F975" s="79"/>
      <c r="G975" s="79"/>
      <c r="H975" s="80"/>
      <c r="I975" s="81"/>
      <c r="J975" s="77"/>
      <c r="K975" s="73"/>
    </row>
    <row r="976" ht="15.75" customHeight="1">
      <c r="A976" s="72"/>
      <c r="B976" s="73"/>
      <c r="C976" s="73"/>
      <c r="D976" s="74"/>
      <c r="E976" s="78"/>
      <c r="F976" s="79"/>
      <c r="G976" s="79"/>
      <c r="H976" s="80"/>
      <c r="I976" s="81"/>
      <c r="J976" s="77"/>
      <c r="K976" s="73"/>
    </row>
    <row r="977" ht="15.75" customHeight="1">
      <c r="A977" s="72"/>
      <c r="B977" s="73"/>
      <c r="C977" s="73"/>
      <c r="D977" s="74"/>
      <c r="E977" s="78"/>
      <c r="F977" s="79"/>
      <c r="G977" s="79"/>
      <c r="H977" s="80"/>
      <c r="I977" s="81"/>
      <c r="J977" s="77"/>
      <c r="K977" s="73"/>
    </row>
    <row r="978" ht="15.75" customHeight="1">
      <c r="A978" s="72"/>
      <c r="B978" s="73"/>
      <c r="C978" s="73"/>
      <c r="D978" s="74"/>
      <c r="E978" s="78"/>
      <c r="F978" s="79"/>
      <c r="G978" s="79"/>
      <c r="H978" s="80"/>
      <c r="I978" s="81"/>
      <c r="J978" s="77"/>
      <c r="K978" s="73"/>
    </row>
    <row r="979" ht="15.75" customHeight="1">
      <c r="A979" s="72"/>
      <c r="B979" s="73"/>
      <c r="C979" s="73"/>
      <c r="D979" s="74"/>
      <c r="E979" s="78"/>
      <c r="F979" s="79"/>
      <c r="G979" s="79"/>
      <c r="H979" s="80"/>
      <c r="I979" s="81"/>
      <c r="J979" s="77"/>
      <c r="K979" s="73"/>
    </row>
    <row r="980" ht="15.75" customHeight="1">
      <c r="A980" s="72"/>
      <c r="B980" s="73"/>
      <c r="C980" s="73"/>
      <c r="D980" s="74"/>
      <c r="E980" s="78"/>
      <c r="F980" s="79"/>
      <c r="G980" s="79"/>
      <c r="H980" s="80"/>
      <c r="I980" s="81"/>
      <c r="J980" s="77"/>
      <c r="K980" s="73"/>
    </row>
    <row r="981" ht="15.75" customHeight="1">
      <c r="A981" s="72"/>
      <c r="B981" s="73"/>
      <c r="C981" s="73"/>
      <c r="D981" s="74"/>
      <c r="E981" s="78"/>
      <c r="F981" s="79"/>
      <c r="G981" s="79"/>
      <c r="H981" s="80"/>
      <c r="I981" s="81"/>
      <c r="J981" s="77"/>
      <c r="K981" s="73"/>
    </row>
    <row r="982" ht="15.75" customHeight="1">
      <c r="A982" s="72"/>
      <c r="B982" s="73"/>
      <c r="C982" s="73"/>
      <c r="D982" s="74"/>
      <c r="E982" s="78"/>
      <c r="F982" s="79"/>
      <c r="G982" s="79"/>
      <c r="H982" s="80"/>
      <c r="I982" s="81"/>
      <c r="J982" s="77"/>
      <c r="K982" s="73"/>
    </row>
    <row r="983" ht="15.75" customHeight="1">
      <c r="A983" s="72"/>
      <c r="B983" s="73"/>
      <c r="C983" s="73"/>
      <c r="D983" s="74"/>
      <c r="E983" s="78"/>
      <c r="F983" s="79"/>
      <c r="G983" s="79"/>
      <c r="H983" s="80"/>
      <c r="I983" s="81"/>
      <c r="J983" s="77"/>
      <c r="K983" s="73"/>
    </row>
    <row r="984" ht="15.75" customHeight="1">
      <c r="A984" s="72"/>
      <c r="B984" s="73"/>
      <c r="C984" s="73"/>
      <c r="D984" s="74"/>
      <c r="E984" s="78"/>
      <c r="F984" s="79"/>
      <c r="G984" s="79"/>
      <c r="H984" s="80"/>
      <c r="I984" s="81"/>
      <c r="J984" s="77"/>
      <c r="K984" s="73"/>
    </row>
    <row r="985" ht="15.75" customHeight="1">
      <c r="A985" s="72"/>
      <c r="B985" s="73"/>
      <c r="C985" s="73"/>
      <c r="D985" s="74"/>
      <c r="E985" s="78"/>
      <c r="F985" s="79"/>
      <c r="G985" s="79"/>
      <c r="H985" s="80"/>
      <c r="I985" s="81"/>
      <c r="J985" s="77"/>
      <c r="K985" s="73"/>
    </row>
    <row r="986" ht="15.75" customHeight="1">
      <c r="A986" s="72"/>
      <c r="B986" s="73"/>
      <c r="C986" s="73"/>
      <c r="D986" s="74"/>
      <c r="E986" s="78"/>
      <c r="F986" s="79"/>
      <c r="G986" s="79"/>
      <c r="H986" s="80"/>
      <c r="I986" s="81"/>
      <c r="J986" s="77"/>
      <c r="K986" s="73"/>
    </row>
    <row r="987" ht="15.75" customHeight="1">
      <c r="A987" s="72"/>
      <c r="B987" s="73"/>
      <c r="C987" s="73"/>
      <c r="D987" s="74"/>
      <c r="E987" s="78"/>
      <c r="F987" s="79"/>
      <c r="G987" s="79"/>
      <c r="H987" s="80"/>
      <c r="I987" s="81"/>
      <c r="J987" s="77"/>
      <c r="K987" s="73"/>
    </row>
    <row r="988" ht="15.75" customHeight="1">
      <c r="A988" s="72"/>
      <c r="B988" s="73"/>
      <c r="C988" s="73"/>
      <c r="D988" s="74"/>
      <c r="E988" s="78"/>
      <c r="F988" s="79"/>
      <c r="G988" s="79"/>
      <c r="H988" s="80"/>
      <c r="I988" s="81"/>
      <c r="J988" s="77"/>
      <c r="K988" s="73"/>
    </row>
    <row r="989" ht="15.75" customHeight="1">
      <c r="A989" s="72"/>
      <c r="B989" s="73"/>
      <c r="C989" s="73"/>
      <c r="D989" s="74"/>
      <c r="E989" s="78"/>
      <c r="F989" s="79"/>
      <c r="G989" s="79"/>
      <c r="H989" s="80"/>
      <c r="I989" s="81"/>
      <c r="J989" s="77"/>
      <c r="K989" s="73"/>
    </row>
    <row r="990" ht="15.75" customHeight="1">
      <c r="A990" s="72"/>
      <c r="B990" s="73"/>
      <c r="C990" s="73"/>
      <c r="D990" s="74"/>
      <c r="E990" s="78"/>
      <c r="F990" s="79"/>
      <c r="G990" s="79"/>
      <c r="H990" s="80"/>
      <c r="I990" s="81"/>
      <c r="J990" s="77"/>
      <c r="K990" s="73"/>
    </row>
    <row r="991" ht="15.75" customHeight="1">
      <c r="A991" s="72"/>
      <c r="B991" s="73"/>
      <c r="C991" s="73"/>
      <c r="D991" s="74"/>
      <c r="E991" s="78"/>
      <c r="F991" s="79"/>
      <c r="G991" s="79"/>
      <c r="H991" s="80"/>
      <c r="I991" s="81"/>
      <c r="J991" s="77"/>
      <c r="K991" s="73"/>
    </row>
    <row r="992" ht="15.75" customHeight="1">
      <c r="A992" s="72"/>
      <c r="B992" s="73"/>
      <c r="C992" s="73"/>
      <c r="D992" s="74"/>
      <c r="E992" s="78"/>
      <c r="F992" s="79"/>
      <c r="G992" s="79"/>
      <c r="H992" s="80"/>
      <c r="I992" s="81"/>
      <c r="J992" s="77"/>
      <c r="K992" s="73"/>
    </row>
    <row r="993" ht="15.75" customHeight="1">
      <c r="A993" s="72"/>
      <c r="B993" s="73"/>
      <c r="C993" s="73"/>
      <c r="D993" s="74"/>
      <c r="E993" s="78"/>
      <c r="F993" s="79"/>
      <c r="G993" s="79"/>
      <c r="H993" s="80"/>
      <c r="I993" s="81"/>
      <c r="J993" s="77"/>
      <c r="K993" s="73"/>
    </row>
    <row r="994" ht="15.75" customHeight="1">
      <c r="A994" s="72"/>
      <c r="B994" s="73"/>
      <c r="C994" s="73"/>
      <c r="D994" s="74"/>
      <c r="E994" s="78"/>
      <c r="F994" s="79"/>
      <c r="G994" s="79"/>
      <c r="H994" s="80"/>
      <c r="I994" s="81"/>
      <c r="J994" s="77"/>
      <c r="K994" s="73"/>
    </row>
    <row r="995" ht="15.75" customHeight="1">
      <c r="A995" s="72"/>
      <c r="B995" s="73"/>
      <c r="C995" s="73"/>
      <c r="D995" s="74"/>
      <c r="E995" s="78"/>
      <c r="F995" s="79"/>
      <c r="G995" s="79"/>
      <c r="H995" s="80"/>
      <c r="I995" s="81"/>
      <c r="J995" s="77"/>
      <c r="K995" s="73"/>
    </row>
    <row r="996" ht="15.75" customHeight="1">
      <c r="A996" s="72"/>
      <c r="B996" s="73"/>
      <c r="C996" s="73"/>
      <c r="D996" s="74"/>
      <c r="E996" s="78"/>
      <c r="F996" s="79"/>
      <c r="G996" s="79"/>
      <c r="H996" s="80"/>
      <c r="I996" s="81"/>
      <c r="J996" s="77"/>
      <c r="K996" s="73"/>
    </row>
    <row r="997" ht="15.75" customHeight="1">
      <c r="A997" s="72"/>
      <c r="B997" s="73"/>
      <c r="C997" s="73"/>
      <c r="D997" s="74"/>
      <c r="E997" s="78"/>
      <c r="F997" s="79"/>
      <c r="G997" s="79"/>
      <c r="H997" s="80"/>
      <c r="I997" s="81"/>
      <c r="J997" s="77"/>
      <c r="K997" s="73"/>
    </row>
    <row r="998" ht="15.75" customHeight="1">
      <c r="A998" s="72"/>
      <c r="B998" s="73"/>
      <c r="C998" s="73"/>
      <c r="D998" s="74"/>
      <c r="E998" s="78"/>
      <c r="F998" s="79"/>
      <c r="G998" s="79"/>
      <c r="H998" s="80"/>
      <c r="I998" s="81"/>
      <c r="J998" s="77"/>
      <c r="K998" s="73"/>
    </row>
    <row r="999" ht="15.75" customHeight="1">
      <c r="A999" s="72"/>
      <c r="B999" s="73"/>
      <c r="C999" s="73"/>
      <c r="D999" s="74"/>
      <c r="E999" s="78"/>
      <c r="F999" s="79"/>
      <c r="G999" s="79"/>
      <c r="H999" s="80"/>
      <c r="I999" s="81"/>
      <c r="J999" s="77"/>
      <c r="K999" s="73"/>
    </row>
  </sheetData>
  <dataValidations>
    <dataValidation type="custom" allowBlank="1" showErrorMessage="1" sqref="C2:C999">
      <formula1>REGEXMATCH(TO_TEXT(C2), "^\d{9}$")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15" width="11.57"/>
  </cols>
  <sheetData>
    <row r="1">
      <c r="A1" s="82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>
      <c r="A2" s="82"/>
      <c r="B2" s="83" t="s">
        <v>1807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>
      <c r="A3" s="82"/>
      <c r="B3" s="85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>
      <c r="A4" s="82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>
      <c r="A5" s="82"/>
      <c r="B5" s="87"/>
      <c r="C5" s="88"/>
      <c r="D5" s="88"/>
      <c r="E5" s="89"/>
      <c r="F5" s="87"/>
      <c r="G5" s="88"/>
      <c r="H5" s="89"/>
      <c r="I5" s="87"/>
      <c r="J5" s="88"/>
      <c r="K5" s="88"/>
      <c r="L5" s="89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>
      <c r="A6" s="82"/>
      <c r="B6" s="90"/>
      <c r="C6" s="91"/>
      <c r="D6" s="91"/>
      <c r="E6" s="92"/>
      <c r="F6" s="90"/>
      <c r="G6" s="91"/>
      <c r="H6" s="92"/>
      <c r="I6" s="90"/>
      <c r="J6" s="91"/>
      <c r="K6" s="91"/>
      <c r="L6" s="9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>
      <c r="A7" s="82"/>
      <c r="B7" s="93"/>
      <c r="C7" s="94"/>
      <c r="D7" s="94"/>
      <c r="E7" s="95"/>
      <c r="F7" s="93"/>
      <c r="G7" s="94"/>
      <c r="H7" s="95"/>
      <c r="I7" s="93"/>
      <c r="J7" s="94"/>
      <c r="K7" s="94"/>
      <c r="L7" s="95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>
      <c r="A8" s="82"/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>
      <c r="A9" s="82"/>
      <c r="B9" s="96"/>
      <c r="C9" s="88"/>
      <c r="D9" s="88"/>
      <c r="E9" s="89"/>
      <c r="F9" s="96"/>
      <c r="G9" s="88"/>
      <c r="H9" s="88"/>
      <c r="I9" s="88"/>
      <c r="J9" s="88"/>
      <c r="K9" s="88"/>
      <c r="L9" s="89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>
      <c r="A10" s="82"/>
      <c r="B10" s="97"/>
      <c r="C10" s="98"/>
      <c r="D10" s="98"/>
      <c r="E10" s="99"/>
      <c r="F10" s="97"/>
      <c r="G10" s="98"/>
      <c r="H10" s="98"/>
      <c r="I10" s="98"/>
      <c r="J10" s="98"/>
      <c r="K10" s="98"/>
      <c r="L10" s="99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>
      <c r="A11" s="82"/>
      <c r="B11" s="97"/>
      <c r="C11" s="98"/>
      <c r="D11" s="98"/>
      <c r="E11" s="99"/>
      <c r="F11" s="97"/>
      <c r="G11" s="98"/>
      <c r="H11" s="98"/>
      <c r="I11" s="98"/>
      <c r="J11" s="98"/>
      <c r="K11" s="98"/>
      <c r="L11" s="99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>
      <c r="A12" s="82"/>
      <c r="B12" s="97"/>
      <c r="C12" s="98"/>
      <c r="D12" s="98"/>
      <c r="E12" s="99"/>
      <c r="F12" s="97"/>
      <c r="G12" s="98"/>
      <c r="H12" s="98"/>
      <c r="I12" s="98"/>
      <c r="J12" s="98"/>
      <c r="K12" s="98"/>
      <c r="L12" s="99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>
      <c r="A13" s="82"/>
      <c r="B13" s="97"/>
      <c r="C13" s="98"/>
      <c r="D13" s="98"/>
      <c r="E13" s="99"/>
      <c r="F13" s="97"/>
      <c r="G13" s="98"/>
      <c r="H13" s="98"/>
      <c r="I13" s="98"/>
      <c r="J13" s="98"/>
      <c r="K13" s="98"/>
      <c r="L13" s="99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>
      <c r="A14" s="82"/>
      <c r="B14" s="97"/>
      <c r="C14" s="98"/>
      <c r="D14" s="98"/>
      <c r="E14" s="99"/>
      <c r="F14" s="97"/>
      <c r="G14" s="98"/>
      <c r="H14" s="98"/>
      <c r="I14" s="98"/>
      <c r="J14" s="98"/>
      <c r="K14" s="98"/>
      <c r="L14" s="99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>
      <c r="A15" s="82"/>
      <c r="B15" s="97"/>
      <c r="C15" s="98"/>
      <c r="D15" s="98"/>
      <c r="E15" s="99"/>
      <c r="F15" s="97"/>
      <c r="G15" s="98"/>
      <c r="H15" s="98"/>
      <c r="I15" s="98"/>
      <c r="J15" s="98"/>
      <c r="K15" s="98"/>
      <c r="L15" s="99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>
      <c r="A16" s="82"/>
      <c r="B16" s="97"/>
      <c r="C16" s="98"/>
      <c r="D16" s="98"/>
      <c r="E16" s="99"/>
      <c r="F16" s="97"/>
      <c r="G16" s="98"/>
      <c r="H16" s="98"/>
      <c r="I16" s="98"/>
      <c r="J16" s="98"/>
      <c r="K16" s="98"/>
      <c r="L16" s="99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>
      <c r="A17" s="82"/>
      <c r="B17" s="97"/>
      <c r="C17" s="98"/>
      <c r="D17" s="98"/>
      <c r="E17" s="99"/>
      <c r="F17" s="97"/>
      <c r="G17" s="98"/>
      <c r="H17" s="98"/>
      <c r="I17" s="98"/>
      <c r="J17" s="98"/>
      <c r="K17" s="98"/>
      <c r="L17" s="99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>
      <c r="A18" s="82"/>
      <c r="B18" s="97"/>
      <c r="C18" s="98"/>
      <c r="D18" s="98"/>
      <c r="E18" s="99"/>
      <c r="F18" s="97"/>
      <c r="G18" s="98"/>
      <c r="H18" s="98"/>
      <c r="I18" s="98"/>
      <c r="J18" s="98"/>
      <c r="K18" s="98"/>
      <c r="L18" s="99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>
      <c r="A19" s="82"/>
      <c r="B19" s="97"/>
      <c r="C19" s="98"/>
      <c r="D19" s="98"/>
      <c r="E19" s="99"/>
      <c r="F19" s="97"/>
      <c r="G19" s="98"/>
      <c r="H19" s="98"/>
      <c r="I19" s="98"/>
      <c r="J19" s="98"/>
      <c r="K19" s="98"/>
      <c r="L19" s="99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>
      <c r="A20" s="82"/>
      <c r="B20" s="97"/>
      <c r="C20" s="98"/>
      <c r="D20" s="98"/>
      <c r="E20" s="99"/>
      <c r="F20" s="97"/>
      <c r="G20" s="98"/>
      <c r="H20" s="98"/>
      <c r="I20" s="98"/>
      <c r="J20" s="98"/>
      <c r="K20" s="98"/>
      <c r="L20" s="99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>
      <c r="A21" s="82"/>
      <c r="B21" s="97"/>
      <c r="C21" s="98"/>
      <c r="D21" s="98"/>
      <c r="E21" s="99"/>
      <c r="F21" s="97"/>
      <c r="G21" s="98"/>
      <c r="H21" s="98"/>
      <c r="I21" s="98"/>
      <c r="J21" s="98"/>
      <c r="K21" s="98"/>
      <c r="L21" s="99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>
      <c r="A22" s="82"/>
      <c r="B22" s="97"/>
      <c r="C22" s="98"/>
      <c r="D22" s="98"/>
      <c r="E22" s="99"/>
      <c r="F22" s="97"/>
      <c r="G22" s="98"/>
      <c r="H22" s="98"/>
      <c r="I22" s="98"/>
      <c r="J22" s="98"/>
      <c r="K22" s="98"/>
      <c r="L22" s="99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>
      <c r="A23" s="82"/>
      <c r="B23" s="97"/>
      <c r="C23" s="98"/>
      <c r="D23" s="98"/>
      <c r="E23" s="99"/>
      <c r="F23" s="97"/>
      <c r="G23" s="98"/>
      <c r="H23" s="98"/>
      <c r="I23" s="98"/>
      <c r="J23" s="98"/>
      <c r="K23" s="98"/>
      <c r="L23" s="99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>
      <c r="A24" s="82"/>
      <c r="B24" s="100"/>
      <c r="C24" s="101"/>
      <c r="D24" s="101"/>
      <c r="E24" s="102"/>
      <c r="F24" s="100"/>
      <c r="G24" s="101"/>
      <c r="H24" s="101"/>
      <c r="I24" s="101"/>
      <c r="J24" s="101"/>
      <c r="K24" s="101"/>
      <c r="L24" s="10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>
      <c r="A25" s="82"/>
      <c r="B25" s="96"/>
      <c r="C25" s="88"/>
      <c r="D25" s="88"/>
      <c r="E25" s="89"/>
      <c r="F25" s="96"/>
      <c r="G25" s="88"/>
      <c r="H25" s="88"/>
      <c r="I25" s="88"/>
      <c r="J25" s="88"/>
      <c r="K25" s="88"/>
      <c r="L25" s="89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>
      <c r="A26" s="82"/>
      <c r="B26" s="97"/>
      <c r="C26" s="98"/>
      <c r="D26" s="98"/>
      <c r="E26" s="99"/>
      <c r="F26" s="97"/>
      <c r="G26" s="98"/>
      <c r="H26" s="98"/>
      <c r="I26" s="98"/>
      <c r="J26" s="98"/>
      <c r="K26" s="98"/>
      <c r="L26" s="99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>
      <c r="A27" s="82"/>
      <c r="B27" s="97"/>
      <c r="C27" s="98"/>
      <c r="D27" s="98"/>
      <c r="E27" s="99"/>
      <c r="F27" s="97"/>
      <c r="G27" s="98"/>
      <c r="H27" s="98"/>
      <c r="I27" s="98"/>
      <c r="J27" s="98"/>
      <c r="K27" s="98"/>
      <c r="L27" s="99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>
      <c r="A28" s="82"/>
      <c r="B28" s="97"/>
      <c r="C28" s="98"/>
      <c r="D28" s="98"/>
      <c r="E28" s="99"/>
      <c r="F28" s="97"/>
      <c r="G28" s="98"/>
      <c r="H28" s="98"/>
      <c r="I28" s="98"/>
      <c r="J28" s="98"/>
      <c r="K28" s="98"/>
      <c r="L28" s="99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>
      <c r="A29" s="82"/>
      <c r="B29" s="97"/>
      <c r="C29" s="98"/>
      <c r="D29" s="98"/>
      <c r="E29" s="99"/>
      <c r="F29" s="97"/>
      <c r="G29" s="98"/>
      <c r="H29" s="98"/>
      <c r="I29" s="98"/>
      <c r="J29" s="98"/>
      <c r="K29" s="98"/>
      <c r="L29" s="99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>
      <c r="A30" s="82"/>
      <c r="B30" s="97"/>
      <c r="C30" s="98"/>
      <c r="D30" s="98"/>
      <c r="E30" s="99"/>
      <c r="F30" s="97"/>
      <c r="G30" s="98"/>
      <c r="H30" s="98"/>
      <c r="I30" s="98"/>
      <c r="J30" s="98"/>
      <c r="K30" s="98"/>
      <c r="L30" s="99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>
      <c r="A31" s="82"/>
      <c r="B31" s="97"/>
      <c r="C31" s="98"/>
      <c r="D31" s="98"/>
      <c r="E31" s="99"/>
      <c r="F31" s="97"/>
      <c r="G31" s="98"/>
      <c r="H31" s="98"/>
      <c r="I31" s="98"/>
      <c r="J31" s="98"/>
      <c r="K31" s="98"/>
      <c r="L31" s="99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>
      <c r="A32" s="82"/>
      <c r="B32" s="97"/>
      <c r="C32" s="98"/>
      <c r="D32" s="98"/>
      <c r="E32" s="99"/>
      <c r="F32" s="97"/>
      <c r="G32" s="98"/>
      <c r="H32" s="98"/>
      <c r="I32" s="98"/>
      <c r="J32" s="98"/>
      <c r="K32" s="98"/>
      <c r="L32" s="99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>
      <c r="A33" s="82"/>
      <c r="B33" s="97"/>
      <c r="C33" s="98"/>
      <c r="D33" s="98"/>
      <c r="E33" s="99"/>
      <c r="F33" s="97"/>
      <c r="G33" s="98"/>
      <c r="H33" s="98"/>
      <c r="I33" s="98"/>
      <c r="J33" s="98"/>
      <c r="K33" s="98"/>
      <c r="L33" s="99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>
      <c r="A34" s="82"/>
      <c r="B34" s="97"/>
      <c r="C34" s="98"/>
      <c r="D34" s="98"/>
      <c r="E34" s="99"/>
      <c r="F34" s="97"/>
      <c r="G34" s="98"/>
      <c r="H34" s="98"/>
      <c r="I34" s="98"/>
      <c r="J34" s="98"/>
      <c r="K34" s="98"/>
      <c r="L34" s="99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>
      <c r="A35" s="82"/>
      <c r="B35" s="97"/>
      <c r="C35" s="98"/>
      <c r="D35" s="98"/>
      <c r="E35" s="99"/>
      <c r="F35" s="97"/>
      <c r="G35" s="98"/>
      <c r="H35" s="98"/>
      <c r="I35" s="98"/>
      <c r="J35" s="98"/>
      <c r="K35" s="98"/>
      <c r="L35" s="99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>
      <c r="A36" s="82"/>
      <c r="B36" s="97"/>
      <c r="C36" s="98"/>
      <c r="D36" s="98"/>
      <c r="E36" s="99"/>
      <c r="F36" s="97"/>
      <c r="G36" s="98"/>
      <c r="H36" s="98"/>
      <c r="I36" s="98"/>
      <c r="J36" s="98"/>
      <c r="K36" s="98"/>
      <c r="L36" s="99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>
      <c r="A37" s="82"/>
      <c r="B37" s="97"/>
      <c r="C37" s="98"/>
      <c r="D37" s="98"/>
      <c r="E37" s="99"/>
      <c r="F37" s="97"/>
      <c r="G37" s="98"/>
      <c r="H37" s="98"/>
      <c r="I37" s="98"/>
      <c r="J37" s="98"/>
      <c r="K37" s="98"/>
      <c r="L37" s="99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>
      <c r="A38" s="82"/>
      <c r="B38" s="97"/>
      <c r="C38" s="98"/>
      <c r="D38" s="98"/>
      <c r="E38" s="99"/>
      <c r="F38" s="97"/>
      <c r="G38" s="98"/>
      <c r="H38" s="98"/>
      <c r="I38" s="98"/>
      <c r="J38" s="98"/>
      <c r="K38" s="98"/>
      <c r="L38" s="99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>
      <c r="A39" s="82"/>
      <c r="B39" s="97"/>
      <c r="C39" s="98"/>
      <c r="D39" s="98"/>
      <c r="E39" s="99"/>
      <c r="F39" s="97"/>
      <c r="G39" s="98"/>
      <c r="H39" s="98"/>
      <c r="I39" s="98"/>
      <c r="J39" s="98"/>
      <c r="K39" s="98"/>
      <c r="L39" s="99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>
      <c r="A40" s="82"/>
      <c r="B40" s="100"/>
      <c r="C40" s="101"/>
      <c r="D40" s="101"/>
      <c r="E40" s="102"/>
      <c r="F40" s="100"/>
      <c r="G40" s="101"/>
      <c r="H40" s="101"/>
      <c r="I40" s="101"/>
      <c r="J40" s="101"/>
      <c r="K40" s="101"/>
      <c r="L40" s="10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>
      <c r="A42" s="82"/>
      <c r="B42" s="103" t="s">
        <v>1808</v>
      </c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>
      <c r="A43" s="82"/>
      <c r="B43" s="105" t="str">
        <f>IFERROR(__xludf.DUMMYFUNCTION("QUERY(Sheet1!A1:K1000, ""SELECT * WHERE A IS NOT NULL"", 1)"),"Id")</f>
        <v>Id</v>
      </c>
      <c r="C43" s="105" t="str">
        <f>IFERROR(__xludf.DUMMYFUNCTION("""COMPUTED_VALUE"""),"Operator")</f>
        <v>Operator</v>
      </c>
      <c r="D43" s="105" t="str">
        <f>IFERROR(__xludf.DUMMYFUNCTION("""COMPUTED_VALUE"""),"Client No")</f>
        <v>Client No</v>
      </c>
      <c r="E43" s="105" t="str">
        <f>IFERROR(__xludf.DUMMYFUNCTION("""COMPUTED_VALUE"""),"Client Y / N")</f>
        <v>Client Y / N</v>
      </c>
      <c r="F43" s="105" t="str">
        <f>IFERROR(__xludf.DUMMYFUNCTION("""COMPUTED_VALUE"""),"Customer / Client Name")</f>
        <v>Customer / Client Name</v>
      </c>
      <c r="G43" s="105" t="str">
        <f>IFERROR(__xludf.DUMMYFUNCTION("""COMPUTED_VALUE"""),"Waybill")</f>
        <v>Waybill</v>
      </c>
      <c r="H43" s="105" t="str">
        <f>IFERROR(__xludf.DUMMYFUNCTION("""COMPUTED_VALUE"""),"Complaint / Inquiry")</f>
        <v>Complaint / Inquiry</v>
      </c>
      <c r="I43" s="105" t="str">
        <f>IFERROR(__xludf.DUMMYFUNCTION("""COMPUTED_VALUE"""),"Branch")</f>
        <v>Branch</v>
      </c>
      <c r="J43" s="105" t="str">
        <f>IFERROR(__xludf.DUMMYFUNCTION("""COMPUTED_VALUE"""),"Status")</f>
        <v>Status</v>
      </c>
      <c r="K43" s="105" t="str">
        <f>IFERROR(__xludf.DUMMYFUNCTION("""COMPUTED_VALUE"""),"Department")</f>
        <v>Department</v>
      </c>
      <c r="L43" s="105" t="str">
        <f>IFERROR(__xludf.DUMMYFUNCTION("""COMPUTED_VALUE"""),"Solution")</f>
        <v>Solution</v>
      </c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>
      <c r="A44" s="82"/>
      <c r="B44" s="98" t="str">
        <f>IFERROR(__xludf.DUMMYFUNCTION("""COMPUTED_VALUE"""),"1")</f>
        <v>1</v>
      </c>
      <c r="C44" s="98" t="str">
        <f>IFERROR(__xludf.DUMMYFUNCTION("""COMPUTED_VALUE"""),"Mandari")</f>
        <v>Mandari</v>
      </c>
      <c r="D44" s="98" t="str">
        <f>IFERROR(__xludf.DUMMYFUNCTION("""COMPUTED_VALUE"""),"775942384")</f>
        <v>775942384</v>
      </c>
      <c r="E44" s="98" t="str">
        <f>IFERROR(__xludf.DUMMYFUNCTION("""COMPUTED_VALUE"""),"N")</f>
        <v>N</v>
      </c>
      <c r="F44" s="98" t="str">
        <f>IFERROR(__xludf.DUMMYFUNCTION("""COMPUTED_VALUE"""),"Megha 1 Palace (Pvt) Ltd")</f>
        <v>Megha 1 Palace (Pvt) Ltd</v>
      </c>
      <c r="G44" s="98" t="str">
        <f>IFERROR(__xludf.DUMMYFUNCTION("""COMPUTED_VALUE"""),"A4248931")</f>
        <v>A4248931</v>
      </c>
      <c r="H44" s="98" t="str">
        <f>IFERROR(__xludf.DUMMYFUNCTION("""COMPUTED_VALUE"""),"Arrange To Deliver Today / Top Urgant")</f>
        <v>Arrange To Deliver Today / Top Urgant</v>
      </c>
      <c r="I44" s="98" t="str">
        <f>IFERROR(__xludf.DUMMYFUNCTION("""COMPUTED_VALUE"""),"Thalawathugoda")</f>
        <v>Thalawathugoda</v>
      </c>
      <c r="J44" s="98" t="str">
        <f>IFERROR(__xludf.DUMMYFUNCTION("""COMPUTED_VALUE"""),"Returned To Branch Rescheduled")</f>
        <v>Returned To Branch Rescheduled</v>
      </c>
      <c r="K44" s="98" t="str">
        <f>IFERROR(__xludf.DUMMYFUNCTION("""COMPUTED_VALUE"""),"Branch Operations")</f>
        <v>Branch Operations</v>
      </c>
      <c r="L44" s="98" t="str">
        <f>IFERROR(__xludf.DUMMYFUNCTION("""COMPUTED_VALUE"""),"Informed Branch")</f>
        <v>Informed Branch</v>
      </c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>
      <c r="A45" s="82"/>
      <c r="B45" s="106" t="str">
        <f>IFERROR(__xludf.DUMMYFUNCTION("""COMPUTED_VALUE"""),"2")</f>
        <v>2</v>
      </c>
      <c r="C45" s="106" t="str">
        <f>IFERROR(__xludf.DUMMYFUNCTION("""COMPUTED_VALUE"""),"Mandari")</f>
        <v>Mandari</v>
      </c>
      <c r="D45" s="106" t="str">
        <f>IFERROR(__xludf.DUMMYFUNCTION("""COMPUTED_VALUE"""),"764300731")</f>
        <v>764300731</v>
      </c>
      <c r="E45" s="106" t="str">
        <f>IFERROR(__xludf.DUMMYFUNCTION("""COMPUTED_VALUE"""),"N")</f>
        <v>N</v>
      </c>
      <c r="F45" s="107" t="str">
        <f>IFERROR(__xludf.DUMMYFUNCTION("""COMPUTED_VALUE"""),"Plusmart.Lk")</f>
        <v>Plusmart.Lk</v>
      </c>
      <c r="G45" s="106" t="str">
        <f>IFERROR(__xludf.DUMMYFUNCTION("""COMPUTED_VALUE"""),"BE039645")</f>
        <v>BE039645</v>
      </c>
      <c r="H45" s="106" t="str">
        <f>IFERROR(__xludf.DUMMYFUNCTION("""COMPUTED_VALUE"""),"Arrange To Deliver Today / Top Urgant")</f>
        <v>Arrange To Deliver Today / Top Urgant</v>
      </c>
      <c r="I45" s="106" t="str">
        <f>IFERROR(__xludf.DUMMYFUNCTION("""COMPUTED_VALUE"""),"Thalawathugoda")</f>
        <v>Thalawathugoda</v>
      </c>
      <c r="J45" s="106" t="str">
        <f>IFERROR(__xludf.DUMMYFUNCTION("""COMPUTED_VALUE"""),"Re-Delivery")</f>
        <v>Re-Delivery</v>
      </c>
      <c r="K45" s="106" t="str">
        <f>IFERROR(__xludf.DUMMYFUNCTION("""COMPUTED_VALUE"""),"Branch Operations")</f>
        <v>Branch Operations</v>
      </c>
      <c r="L45" s="106" t="str">
        <f>IFERROR(__xludf.DUMMYFUNCTION("""COMPUTED_VALUE"""),"Informed Branch")</f>
        <v>Informed Branch</v>
      </c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>
      <c r="A46" s="82"/>
      <c r="B46" s="98" t="str">
        <f>IFERROR(__xludf.DUMMYFUNCTION("""COMPUTED_VALUE"""),"3")</f>
        <v>3</v>
      </c>
      <c r="C46" s="98" t="str">
        <f>IFERROR(__xludf.DUMMYFUNCTION("""COMPUTED_VALUE"""),"Mandari")</f>
        <v>Mandari</v>
      </c>
      <c r="D46" s="98" t="str">
        <f>IFERROR(__xludf.DUMMYFUNCTION("""COMPUTED_VALUE"""),"760053626")</f>
        <v>760053626</v>
      </c>
      <c r="E46" s="98" t="str">
        <f>IFERROR(__xludf.DUMMYFUNCTION("""COMPUTED_VALUE"""),"N")</f>
        <v>N</v>
      </c>
      <c r="F46" s="98" t="str">
        <f>IFERROR(__xludf.DUMMYFUNCTION("""COMPUTED_VALUE"""),"Ceylon Store")</f>
        <v>Ceylon Store</v>
      </c>
      <c r="G46" s="98" t="str">
        <f>IFERROR(__xludf.DUMMYFUNCTION("""COMPUTED_VALUE"""),"BE086979")</f>
        <v>BE086979</v>
      </c>
      <c r="H46" s="98" t="str">
        <f>IFERROR(__xludf.DUMMYFUNCTION("""COMPUTED_VALUE"""),"Arrange To Deliver Today / Top Urgant")</f>
        <v>Arrange To Deliver Today / Top Urgant</v>
      </c>
      <c r="I46" s="98" t="str">
        <f>IFERROR(__xludf.DUMMYFUNCTION("""COMPUTED_VALUE"""),"Colombo Metro")</f>
        <v>Colombo Metro</v>
      </c>
      <c r="J46" s="98" t="str">
        <f>IFERROR(__xludf.DUMMYFUNCTION("""COMPUTED_VALUE"""),"Returned To Branch Rescheduled")</f>
        <v>Returned To Branch Rescheduled</v>
      </c>
      <c r="K46" s="98" t="str">
        <f>IFERROR(__xludf.DUMMYFUNCTION("""COMPUTED_VALUE"""),"Branch Operations")</f>
        <v>Branch Operations</v>
      </c>
      <c r="L46" s="98" t="str">
        <f>IFERROR(__xludf.DUMMYFUNCTION("""COMPUTED_VALUE"""),"Informed Branch / Informed Mr Faizer")</f>
        <v>Informed Branch / Informed Mr Faizer</v>
      </c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>
      <c r="A47" s="82"/>
      <c r="B47" s="106" t="str">
        <f>IFERROR(__xludf.DUMMYFUNCTION("""COMPUTED_VALUE"""),"4")</f>
        <v>4</v>
      </c>
      <c r="C47" s="106" t="str">
        <f>IFERROR(__xludf.DUMMYFUNCTION("""COMPUTED_VALUE"""),"Mandari")</f>
        <v>Mandari</v>
      </c>
      <c r="D47" s="106" t="str">
        <f>IFERROR(__xludf.DUMMYFUNCTION("""COMPUTED_VALUE"""),"765810932")</f>
        <v>765810932</v>
      </c>
      <c r="E47" s="106" t="str">
        <f>IFERROR(__xludf.DUMMYFUNCTION("""COMPUTED_VALUE"""),"N")</f>
        <v>N</v>
      </c>
      <c r="F47" s="106" t="str">
        <f>IFERROR(__xludf.DUMMYFUNCTION("""COMPUTED_VALUE"""),"Ceylon Ayura")</f>
        <v>Ceylon Ayura</v>
      </c>
      <c r="G47" s="106" t="str">
        <f>IFERROR(__xludf.DUMMYFUNCTION("""COMPUTED_VALUE"""),"BE081169")</f>
        <v>BE081169</v>
      </c>
      <c r="H47" s="106" t="str">
        <f>IFERROR(__xludf.DUMMYFUNCTION("""COMPUTED_VALUE"""),"Arrange To Deliver Today / Top Urgant")</f>
        <v>Arrange To Deliver Today / Top Urgant</v>
      </c>
      <c r="I47" s="106" t="str">
        <f>IFERROR(__xludf.DUMMYFUNCTION("""COMPUTED_VALUE"""),"Baddagama")</f>
        <v>Baddagama</v>
      </c>
      <c r="J47" s="106" t="str">
        <f>IFERROR(__xludf.DUMMYFUNCTION("""COMPUTED_VALUE"""),"Returned To Branch Rescheduled")</f>
        <v>Returned To Branch Rescheduled</v>
      </c>
      <c r="K47" s="106" t="str">
        <f>IFERROR(__xludf.DUMMYFUNCTION("""COMPUTED_VALUE"""),"Branch Operations")</f>
        <v>Branch Operations</v>
      </c>
      <c r="L47" s="106" t="str">
        <f>IFERROR(__xludf.DUMMYFUNCTION("""COMPUTED_VALUE"""),"Informed Branch")</f>
        <v>Informed Branch</v>
      </c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>
      <c r="A48" s="82"/>
      <c r="B48" s="98" t="str">
        <f>IFERROR(__xludf.DUMMYFUNCTION("""COMPUTED_VALUE"""),"5")</f>
        <v>5</v>
      </c>
      <c r="C48" s="98" t="str">
        <f>IFERROR(__xludf.DUMMYFUNCTION("""COMPUTED_VALUE"""),"Mandari")</f>
        <v>Mandari</v>
      </c>
      <c r="D48" s="98" t="str">
        <f>IFERROR(__xludf.DUMMYFUNCTION("""COMPUTED_VALUE"""),"755379990")</f>
        <v>755379990</v>
      </c>
      <c r="E48" s="98" t="str">
        <f>IFERROR(__xludf.DUMMYFUNCTION("""COMPUTED_VALUE"""),"Y")</f>
        <v>Y</v>
      </c>
      <c r="F48" s="98" t="str">
        <f>IFERROR(__xludf.DUMMYFUNCTION("""COMPUTED_VALUE"""),"Dark Grace.Lk")</f>
        <v>Dark Grace.Lk</v>
      </c>
      <c r="G48" s="98" t="str">
        <f>IFERROR(__xludf.DUMMYFUNCTION("""COMPUTED_VALUE"""),"A4387801")</f>
        <v>A4387801</v>
      </c>
      <c r="H48" s="98" t="str">
        <f>IFERROR(__xludf.DUMMYFUNCTION("""COMPUTED_VALUE"""),"Return Package")</f>
        <v>Return Package</v>
      </c>
      <c r="I48" s="98" t="str">
        <f>IFERROR(__xludf.DUMMYFUNCTION("""COMPUTED_VALUE"""),"Baddagama")</f>
        <v>Baddagama</v>
      </c>
      <c r="J48" s="98" t="str">
        <f>IFERROR(__xludf.DUMMYFUNCTION("""COMPUTED_VALUE"""),"Returned To Client")</f>
        <v>Returned To Client</v>
      </c>
      <c r="K48" s="98" t="str">
        <f>IFERROR(__xludf.DUMMYFUNCTION("""COMPUTED_VALUE"""),"Customer Care")</f>
        <v>Customer Care</v>
      </c>
      <c r="L48" s="98" t="str">
        <f>IFERROR(__xludf.DUMMYFUNCTION("""COMPUTED_VALUE"""),"Done")</f>
        <v>Done</v>
      </c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>
      <c r="A49" s="82"/>
      <c r="B49" s="106" t="str">
        <f>IFERROR(__xludf.DUMMYFUNCTION("""COMPUTED_VALUE"""),"6")</f>
        <v>6</v>
      </c>
      <c r="C49" s="106" t="str">
        <f>IFERROR(__xludf.DUMMYFUNCTION("""COMPUTED_VALUE"""),"Mandari")</f>
        <v>Mandari</v>
      </c>
      <c r="D49" s="106" t="str">
        <f>IFERROR(__xludf.DUMMYFUNCTION("""COMPUTED_VALUE"""),"773490515")</f>
        <v>773490515</v>
      </c>
      <c r="E49" s="106" t="str">
        <f>IFERROR(__xludf.DUMMYFUNCTION("""COMPUTED_VALUE"""),"N")</f>
        <v>N</v>
      </c>
      <c r="F49" s="107" t="str">
        <f>IFERROR(__xludf.DUMMYFUNCTION("""COMPUTED_VALUE"""),"Basues.Lk")</f>
        <v>Basues.Lk</v>
      </c>
      <c r="G49" s="106" t="str">
        <f>IFERROR(__xludf.DUMMYFUNCTION("""COMPUTED_VALUE"""),"A3029315")</f>
        <v>A3029315</v>
      </c>
      <c r="H49" s="106" t="str">
        <f>IFERROR(__xludf.DUMMYFUNCTION("""COMPUTED_VALUE"""),"Arrange To Deliver Today / Top Urgant")</f>
        <v>Arrange To Deliver Today / Top Urgant</v>
      </c>
      <c r="I49" s="106" t="str">
        <f>IFERROR(__xludf.DUMMYFUNCTION("""COMPUTED_VALUE"""),"Horana")</f>
        <v>Horana</v>
      </c>
      <c r="J49" s="106" t="str">
        <f>IFERROR(__xludf.DUMMYFUNCTION("""COMPUTED_VALUE"""),"Returned To Branch Rescheduled")</f>
        <v>Returned To Branch Rescheduled</v>
      </c>
      <c r="K49" s="106" t="str">
        <f>IFERROR(__xludf.DUMMYFUNCTION("""COMPUTED_VALUE"""),"Branch Operations")</f>
        <v>Branch Operations</v>
      </c>
      <c r="L49" s="106" t="str">
        <f>IFERROR(__xludf.DUMMYFUNCTION("""COMPUTED_VALUE"""),"Informed Branch")</f>
        <v>Informed Branch</v>
      </c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>
      <c r="A50" s="82"/>
      <c r="B50" s="98" t="str">
        <f>IFERROR(__xludf.DUMMYFUNCTION("""COMPUTED_VALUE"""),"7")</f>
        <v>7</v>
      </c>
      <c r="C50" s="98" t="str">
        <f>IFERROR(__xludf.DUMMYFUNCTION("""COMPUTED_VALUE"""),"Mandari")</f>
        <v>Mandari</v>
      </c>
      <c r="D50" s="98" t="str">
        <f>IFERROR(__xludf.DUMMYFUNCTION("""COMPUTED_VALUE"""),"783611906")</f>
        <v>783611906</v>
      </c>
      <c r="E50" s="98" t="str">
        <f>IFERROR(__xludf.DUMMYFUNCTION("""COMPUTED_VALUE"""),"N")</f>
        <v>N</v>
      </c>
      <c r="F50" s="98" t="str">
        <f>IFERROR(__xludf.DUMMYFUNCTION("""COMPUTED_VALUE"""),"Etre Blanc")</f>
        <v>Etre Blanc</v>
      </c>
      <c r="G50" s="98" t="str">
        <f>IFERROR(__xludf.DUMMYFUNCTION("""COMPUTED_VALUE"""),"BA771156")</f>
        <v>BA771156</v>
      </c>
      <c r="H50" s="98" t="str">
        <f>IFERROR(__xludf.DUMMYFUNCTION("""COMPUTED_VALUE"""),"Arrange To Deliver Today / Top Urgant")</f>
        <v>Arrange To Deliver Today / Top Urgant</v>
      </c>
      <c r="I50" s="98" t="str">
        <f>IFERROR(__xludf.DUMMYFUNCTION("""COMPUTED_VALUE"""),"Pilimathlawa")</f>
        <v>Pilimathlawa</v>
      </c>
      <c r="J50" s="98" t="str">
        <f>IFERROR(__xludf.DUMMYFUNCTION("""COMPUTED_VALUE"""),"Returned To Branch Rescheduled")</f>
        <v>Returned To Branch Rescheduled</v>
      </c>
      <c r="K50" s="98" t="str">
        <f>IFERROR(__xludf.DUMMYFUNCTION("""COMPUTED_VALUE"""),"Branch Operations")</f>
        <v>Branch Operations</v>
      </c>
      <c r="L50" s="98" t="str">
        <f>IFERROR(__xludf.DUMMYFUNCTION("""COMPUTED_VALUE"""),"Informed Branch")</f>
        <v>Informed Branch</v>
      </c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>
      <c r="A51" s="82"/>
      <c r="B51" s="106" t="str">
        <f>IFERROR(__xludf.DUMMYFUNCTION("""COMPUTED_VALUE"""),"8")</f>
        <v>8</v>
      </c>
      <c r="C51" s="106" t="str">
        <f>IFERROR(__xludf.DUMMYFUNCTION("""COMPUTED_VALUE"""),"Mandari")</f>
        <v>Mandari</v>
      </c>
      <c r="D51" s="106" t="str">
        <f>IFERROR(__xludf.DUMMYFUNCTION("""COMPUTED_VALUE"""),"774840108")</f>
        <v>774840108</v>
      </c>
      <c r="E51" s="106" t="str">
        <f>IFERROR(__xludf.DUMMYFUNCTION("""COMPUTED_VALUE"""),"N")</f>
        <v>N</v>
      </c>
      <c r="F51" s="106" t="str">
        <f>IFERROR(__xludf.DUMMYFUNCTION("""COMPUTED_VALUE"""),"Firstry'S Mart")</f>
        <v>Firstry'S Mart</v>
      </c>
      <c r="G51" s="106" t="str">
        <f>IFERROR(__xludf.DUMMYFUNCTION("""COMPUTED_VALUE"""),"A3231841")</f>
        <v>A3231841</v>
      </c>
      <c r="H51" s="106" t="str">
        <f>IFERROR(__xludf.DUMMYFUNCTION("""COMPUTED_VALUE"""),"Arrange To Deliver Today / Top Urgant")</f>
        <v>Arrange To Deliver Today / Top Urgant</v>
      </c>
      <c r="I51" s="106" t="str">
        <f>IFERROR(__xludf.DUMMYFUNCTION("""COMPUTED_VALUE"""),"Colombo Metro")</f>
        <v>Colombo Metro</v>
      </c>
      <c r="J51" s="106" t="str">
        <f>IFERROR(__xludf.DUMMYFUNCTION("""COMPUTED_VALUE"""),"Returned To Branch Rescheduled")</f>
        <v>Returned To Branch Rescheduled</v>
      </c>
      <c r="K51" s="106" t="str">
        <f>IFERROR(__xludf.DUMMYFUNCTION("""COMPUTED_VALUE"""),"Branch Operations")</f>
        <v>Branch Operations</v>
      </c>
      <c r="L51" s="106" t="str">
        <f>IFERROR(__xludf.DUMMYFUNCTION("""COMPUTED_VALUE"""),"Informed Branch")</f>
        <v>Informed Branch</v>
      </c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>
      <c r="A52" s="82"/>
      <c r="B52" s="98" t="str">
        <f>IFERROR(__xludf.DUMMYFUNCTION("""COMPUTED_VALUE"""),"9")</f>
        <v>9</v>
      </c>
      <c r="C52" s="98" t="str">
        <f>IFERROR(__xludf.DUMMYFUNCTION("""COMPUTED_VALUE"""),"Mandari")</f>
        <v>Mandari</v>
      </c>
      <c r="D52" s="98" t="str">
        <f>IFERROR(__xludf.DUMMYFUNCTION("""COMPUTED_VALUE"""),"777610615")</f>
        <v>777610615</v>
      </c>
      <c r="E52" s="98" t="str">
        <f>IFERROR(__xludf.DUMMYFUNCTION("""COMPUTED_VALUE"""),"N")</f>
        <v>N</v>
      </c>
      <c r="F52" s="108" t="str">
        <f>IFERROR(__xludf.DUMMYFUNCTION("""COMPUTED_VALUE"""),"Subito.Lk")</f>
        <v>Subito.Lk</v>
      </c>
      <c r="G52" s="98" t="str">
        <f>IFERROR(__xludf.DUMMYFUNCTION("""COMPUTED_VALUE"""),"BE077969")</f>
        <v>BE077969</v>
      </c>
      <c r="H52" s="98" t="str">
        <f>IFERROR(__xludf.DUMMYFUNCTION("""COMPUTED_VALUE"""),"Check &amp; Call Back")</f>
        <v>Check &amp; Call Back</v>
      </c>
      <c r="I52" s="98" t="str">
        <f>IFERROR(__xludf.DUMMYFUNCTION("""COMPUTED_VALUE"""),"Wennappuwa")</f>
        <v>Wennappuwa</v>
      </c>
      <c r="J52" s="98" t="str">
        <f>IFERROR(__xludf.DUMMYFUNCTION("""COMPUTED_VALUE"""),"Returned To Branch Rescheduled")</f>
        <v>Returned To Branch Rescheduled</v>
      </c>
      <c r="K52" s="98" t="str">
        <f>IFERROR(__xludf.DUMMYFUNCTION("""COMPUTED_VALUE"""),"Branch Operations")</f>
        <v>Branch Operations</v>
      </c>
      <c r="L52" s="98" t="str">
        <f>IFERROR(__xludf.DUMMYFUNCTION("""COMPUTED_VALUE"""),"Done")</f>
        <v>Done</v>
      </c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>
      <c r="A53" s="82"/>
      <c r="B53" s="106" t="str">
        <f>IFERROR(__xludf.DUMMYFUNCTION("""COMPUTED_VALUE"""),"10")</f>
        <v>10</v>
      </c>
      <c r="C53" s="106" t="str">
        <f>IFERROR(__xludf.DUMMYFUNCTION("""COMPUTED_VALUE"""),"Mandari")</f>
        <v>Mandari</v>
      </c>
      <c r="D53" s="106" t="str">
        <f>IFERROR(__xludf.DUMMYFUNCTION("""COMPUTED_VALUE"""),"781567200")</f>
        <v>781567200</v>
      </c>
      <c r="E53" s="106" t="str">
        <f>IFERROR(__xludf.DUMMYFUNCTION("""COMPUTED_VALUE"""),"N")</f>
        <v>N</v>
      </c>
      <c r="F53" s="107" t="str">
        <f>IFERROR(__xludf.DUMMYFUNCTION("""COMPUTED_VALUE"""),"Subito.Lk")</f>
        <v>Subito.Lk</v>
      </c>
      <c r="G53" s="106" t="str">
        <f>IFERROR(__xludf.DUMMYFUNCTION("""COMPUTED_VALUE"""),"BE077969")</f>
        <v>BE077969</v>
      </c>
      <c r="H53" s="106" t="str">
        <f>IFERROR(__xludf.DUMMYFUNCTION("""COMPUTED_VALUE"""),"Asked Some Details")</f>
        <v>Asked Some Details</v>
      </c>
      <c r="I53" s="106" t="str">
        <f>IFERROR(__xludf.DUMMYFUNCTION("""COMPUTED_VALUE"""),"Wennappuwa")</f>
        <v>Wennappuwa</v>
      </c>
      <c r="J53" s="106" t="str">
        <f>IFERROR(__xludf.DUMMYFUNCTION("""COMPUTED_VALUE"""),"Returned To Branch Rescheduled")</f>
        <v>Returned To Branch Rescheduled</v>
      </c>
      <c r="K53" s="106" t="str">
        <f>IFERROR(__xludf.DUMMYFUNCTION("""COMPUTED_VALUE"""),"Customer Care")</f>
        <v>Customer Care</v>
      </c>
      <c r="L53" s="106" t="str">
        <f>IFERROR(__xludf.DUMMYFUNCTION("""COMPUTED_VALUE"""),"Done")</f>
        <v>Done</v>
      </c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>
      <c r="A54" s="82"/>
      <c r="B54" s="98" t="str">
        <f>IFERROR(__xludf.DUMMYFUNCTION("""COMPUTED_VALUE"""),"11")</f>
        <v>11</v>
      </c>
      <c r="C54" s="98" t="str">
        <f>IFERROR(__xludf.DUMMYFUNCTION("""COMPUTED_VALUE"""),"Mandari")</f>
        <v>Mandari</v>
      </c>
      <c r="D54" s="98" t="str">
        <f>IFERROR(__xludf.DUMMYFUNCTION("""COMPUTED_VALUE"""),"762184570")</f>
        <v>762184570</v>
      </c>
      <c r="E54" s="98" t="str">
        <f>IFERROR(__xludf.DUMMYFUNCTION("""COMPUTED_VALUE"""),"N")</f>
        <v>N</v>
      </c>
      <c r="F54" s="98" t="str">
        <f>IFERROR(__xludf.DUMMYFUNCTION("""COMPUTED_VALUE"""),"Bhashi Products")</f>
        <v>Bhashi Products</v>
      </c>
      <c r="G54" s="98" t="str">
        <f>IFERROR(__xludf.DUMMYFUNCTION("""COMPUTED_VALUE"""),"BE094811")</f>
        <v>BE094811</v>
      </c>
      <c r="H54" s="98" t="str">
        <f>IFERROR(__xludf.DUMMYFUNCTION("""COMPUTED_VALUE"""),"Arrange To Deliver Today / Top Urgant")</f>
        <v>Arrange To Deliver Today / Top Urgant</v>
      </c>
      <c r="I54" s="98" t="str">
        <f>IFERROR(__xludf.DUMMYFUNCTION("""COMPUTED_VALUE"""),"Ratnapura")</f>
        <v>Ratnapura</v>
      </c>
      <c r="J54" s="98" t="str">
        <f>IFERROR(__xludf.DUMMYFUNCTION("""COMPUTED_VALUE"""),"Returned To Branch Rescheduled")</f>
        <v>Returned To Branch Rescheduled</v>
      </c>
      <c r="K54" s="98" t="str">
        <f>IFERROR(__xludf.DUMMYFUNCTION("""COMPUTED_VALUE"""),"Branch Operations")</f>
        <v>Branch Operations</v>
      </c>
      <c r="L54" s="98" t="str">
        <f>IFERROR(__xludf.DUMMYFUNCTION("""COMPUTED_VALUE"""),"Informed Branch")</f>
        <v>Informed Branch</v>
      </c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>
      <c r="A55" s="82"/>
      <c r="B55" s="106" t="str">
        <f>IFERROR(__xludf.DUMMYFUNCTION("""COMPUTED_VALUE"""),"12")</f>
        <v>12</v>
      </c>
      <c r="C55" s="106" t="str">
        <f>IFERROR(__xludf.DUMMYFUNCTION("""COMPUTED_VALUE"""),"Mandari")</f>
        <v>Mandari</v>
      </c>
      <c r="D55" s="106" t="str">
        <f>IFERROR(__xludf.DUMMYFUNCTION("""COMPUTED_VALUE"""),"767785517")</f>
        <v>767785517</v>
      </c>
      <c r="E55" s="106" t="str">
        <f>IFERROR(__xludf.DUMMYFUNCTION("""COMPUTED_VALUE"""),"N")</f>
        <v>N</v>
      </c>
      <c r="F55" s="106" t="str">
        <f>IFERROR(__xludf.DUMMYFUNCTION("""COMPUTED_VALUE"""),"Bhashi Products")</f>
        <v>Bhashi Products</v>
      </c>
      <c r="G55" s="106" t="str">
        <f>IFERROR(__xludf.DUMMYFUNCTION("""COMPUTED_VALUE"""),"BE094811")</f>
        <v>BE094811</v>
      </c>
      <c r="H55" s="106" t="str">
        <f>IFERROR(__xludf.DUMMYFUNCTION("""COMPUTED_VALUE"""),"New Register")</f>
        <v>New Register</v>
      </c>
      <c r="I55" s="106" t="str">
        <f>IFERROR(__xludf.DUMMYFUNCTION("""COMPUTED_VALUE"""),"Ratnapura")</f>
        <v>Ratnapura</v>
      </c>
      <c r="J55" s="106" t="str">
        <f>IFERROR(__xludf.DUMMYFUNCTION("""COMPUTED_VALUE"""),"Returned To Branch Rescheduled")</f>
        <v>Returned To Branch Rescheduled</v>
      </c>
      <c r="K55" s="106" t="str">
        <f>IFERROR(__xludf.DUMMYFUNCTION("""COMPUTED_VALUE"""),"Sales")</f>
        <v>Sales</v>
      </c>
      <c r="L55" s="106" t="str">
        <f>IFERROR(__xludf.DUMMYFUNCTION("""COMPUTED_VALUE"""),"Transfer Call")</f>
        <v>Transfer Call</v>
      </c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>
      <c r="A56" s="82"/>
      <c r="B56" s="98" t="str">
        <f>IFERROR(__xludf.DUMMYFUNCTION("""COMPUTED_VALUE"""),"13")</f>
        <v>13</v>
      </c>
      <c r="C56" s="98" t="str">
        <f>IFERROR(__xludf.DUMMYFUNCTION("""COMPUTED_VALUE"""),"Mandari")</f>
        <v>Mandari</v>
      </c>
      <c r="D56" s="98" t="str">
        <f>IFERROR(__xludf.DUMMYFUNCTION("""COMPUTED_VALUE"""),"777314702")</f>
        <v>777314702</v>
      </c>
      <c r="E56" s="98" t="str">
        <f>IFERROR(__xludf.DUMMYFUNCTION("""COMPUTED_VALUE"""),"N")</f>
        <v>N</v>
      </c>
      <c r="F56" s="98" t="str">
        <f>IFERROR(__xludf.DUMMYFUNCTION("""COMPUTED_VALUE"""),"Veerasundara")</f>
        <v>Veerasundara</v>
      </c>
      <c r="G56" s="98" t="str">
        <f>IFERROR(__xludf.DUMMYFUNCTION("""COMPUTED_VALUE"""),"WD257569")</f>
        <v>WD257569</v>
      </c>
      <c r="H56" s="98" t="str">
        <f>IFERROR(__xludf.DUMMYFUNCTION("""COMPUTED_VALUE"""),"Arrange To Deliver Today / Top Urgant")</f>
        <v>Arrange To Deliver Today / Top Urgant</v>
      </c>
      <c r="I56" s="98" t="str">
        <f>IFERROR(__xludf.DUMMYFUNCTION("""COMPUTED_VALUE"""),"Monaragala")</f>
        <v>Monaragala</v>
      </c>
      <c r="J56" s="98" t="str">
        <f>IFERROR(__xludf.DUMMYFUNCTION("""COMPUTED_VALUE"""),"Dispatched By Ho")</f>
        <v>Dispatched By Ho</v>
      </c>
      <c r="K56" s="98" t="str">
        <f>IFERROR(__xludf.DUMMYFUNCTION("""COMPUTED_VALUE"""),"Domestic")</f>
        <v>Domestic</v>
      </c>
      <c r="L56" s="98" t="str">
        <f>IFERROR(__xludf.DUMMYFUNCTION("""COMPUTED_VALUE"""),"Informed Domestic Department")</f>
        <v>Informed Domestic Department</v>
      </c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>
      <c r="A57" s="82"/>
      <c r="B57" s="106" t="str">
        <f>IFERROR(__xludf.DUMMYFUNCTION("""COMPUTED_VALUE"""),"14")</f>
        <v>14</v>
      </c>
      <c r="C57" s="106" t="str">
        <f>IFERROR(__xludf.DUMMYFUNCTION("""COMPUTED_VALUE"""),"Mandari")</f>
        <v>Mandari</v>
      </c>
      <c r="D57" s="106" t="str">
        <f>IFERROR(__xludf.DUMMYFUNCTION("""COMPUTED_VALUE"""),"714630455")</f>
        <v>714630455</v>
      </c>
      <c r="E57" s="106" t="str">
        <f>IFERROR(__xludf.DUMMYFUNCTION("""COMPUTED_VALUE"""),"Y")</f>
        <v>Y</v>
      </c>
      <c r="F57" s="106" t="str">
        <f>IFERROR(__xludf.DUMMYFUNCTION("""COMPUTED_VALUE"""),"Jenny Fashion")</f>
        <v>Jenny Fashion</v>
      </c>
      <c r="G57" s="106" t="str">
        <f>IFERROR(__xludf.DUMMYFUNCTION("""COMPUTED_VALUE"""),"90596745")</f>
        <v>90596745</v>
      </c>
      <c r="H57" s="106" t="str">
        <f>IFERROR(__xludf.DUMMYFUNCTION("""COMPUTED_VALUE"""),"Re Delivery - 7/1")</f>
        <v>Re Delivery - 7/1</v>
      </c>
      <c r="I57" s="106" t="str">
        <f>IFERROR(__xludf.DUMMYFUNCTION("""COMPUTED_VALUE"""),"Avissawella")</f>
        <v>Avissawella</v>
      </c>
      <c r="J57" s="106" t="str">
        <f>IFERROR(__xludf.DUMMYFUNCTION("""COMPUTED_VALUE"""),"Returned To Branch Failed To Deliver")</f>
        <v>Returned To Branch Failed To Deliver</v>
      </c>
      <c r="K57" s="106" t="str">
        <f>IFERROR(__xludf.DUMMYFUNCTION("""COMPUTED_VALUE"""),"Branch Operations")</f>
        <v>Branch Operations</v>
      </c>
      <c r="L57" s="106" t="str">
        <f>IFERROR(__xludf.DUMMYFUNCTION("""COMPUTED_VALUE"""),"Not Responding")</f>
        <v>Not Responding</v>
      </c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>
      <c r="A58" s="82"/>
      <c r="B58" s="98" t="str">
        <f>IFERROR(__xludf.DUMMYFUNCTION("""COMPUTED_VALUE"""),"15")</f>
        <v>15</v>
      </c>
      <c r="C58" s="98" t="str">
        <f>IFERROR(__xludf.DUMMYFUNCTION("""COMPUTED_VALUE"""),"Mandari")</f>
        <v>Mandari</v>
      </c>
      <c r="D58" s="98" t="str">
        <f>IFERROR(__xludf.DUMMYFUNCTION("""COMPUTED_VALUE"""),"779806123")</f>
        <v>779806123</v>
      </c>
      <c r="E58" s="98" t="str">
        <f>IFERROR(__xludf.DUMMYFUNCTION("""COMPUTED_VALUE"""),"N")</f>
        <v>N</v>
      </c>
      <c r="F58" s="108" t="str">
        <f>IFERROR(__xludf.DUMMYFUNCTION("""COMPUTED_VALUE"""),"Tropical.Lk")</f>
        <v>Tropical.Lk</v>
      </c>
      <c r="G58" s="98" t="str">
        <f>IFERROR(__xludf.DUMMYFUNCTION("""COMPUTED_VALUE"""),"BE098016")</f>
        <v>BE098016</v>
      </c>
      <c r="H58" s="98" t="str">
        <f>IFERROR(__xludf.DUMMYFUNCTION("""COMPUTED_VALUE"""),"Customer Want Return This Package")</f>
        <v>Customer Want Return This Package</v>
      </c>
      <c r="I58" s="98" t="str">
        <f>IFERROR(__xludf.DUMMYFUNCTION("""COMPUTED_VALUE"""),"Rajagiriya")</f>
        <v>Rajagiriya</v>
      </c>
      <c r="J58" s="98" t="str">
        <f>IFERROR(__xludf.DUMMYFUNCTION("""COMPUTED_VALUE"""),"Delivered")</f>
        <v>Delivered</v>
      </c>
      <c r="K58" s="98" t="str">
        <f>IFERROR(__xludf.DUMMYFUNCTION("""COMPUTED_VALUE"""),"Branch Operations")</f>
        <v>Branch Operations</v>
      </c>
      <c r="L58" s="98" t="str">
        <f>IFERROR(__xludf.DUMMYFUNCTION("""COMPUTED_VALUE"""),"Informed Deepika Genzo")</f>
        <v>Informed Deepika Genzo</v>
      </c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>
      <c r="A59" s="82"/>
      <c r="B59" s="106" t="str">
        <f>IFERROR(__xludf.DUMMYFUNCTION("""COMPUTED_VALUE"""),"16")</f>
        <v>16</v>
      </c>
      <c r="C59" s="106" t="str">
        <f>IFERROR(__xludf.DUMMYFUNCTION("""COMPUTED_VALUE"""),"Mandari")</f>
        <v>Mandari</v>
      </c>
      <c r="D59" s="106" t="str">
        <f>IFERROR(__xludf.DUMMYFUNCTION("""COMPUTED_VALUE"""),"719890478")</f>
        <v>719890478</v>
      </c>
      <c r="E59" s="106" t="str">
        <f>IFERROR(__xludf.DUMMYFUNCTION("""COMPUTED_VALUE"""),"N")</f>
        <v>N</v>
      </c>
      <c r="F59" s="107" t="str">
        <f>IFERROR(__xludf.DUMMYFUNCTION("""COMPUTED_VALUE"""),"Cherri.Lk")</f>
        <v>Cherri.Lk</v>
      </c>
      <c r="G59" s="106" t="str">
        <f>IFERROR(__xludf.DUMMYFUNCTION("""COMPUTED_VALUE"""),"A4525771 ")</f>
        <v>A4525771 </v>
      </c>
      <c r="H59" s="106" t="str">
        <f>IFERROR(__xludf.DUMMYFUNCTION("""COMPUTED_VALUE"""),"Arrange The Package")</f>
        <v>Arrange The Package</v>
      </c>
      <c r="I59" s="106" t="str">
        <f>IFERROR(__xludf.DUMMYFUNCTION("""COMPUTED_VALUE"""),"Puttalam")</f>
        <v>Puttalam</v>
      </c>
      <c r="J59" s="106" t="str">
        <f>IFERROR(__xludf.DUMMYFUNCTION("""COMPUTED_VALUE"""),"Dispatched To Destination")</f>
        <v>Dispatched To Destination</v>
      </c>
      <c r="K59" s="106" t="str">
        <f>IFERROR(__xludf.DUMMYFUNCTION("""COMPUTED_VALUE"""),"Branch Operations")</f>
        <v>Branch Operations</v>
      </c>
      <c r="L59" s="106" t="str">
        <f>IFERROR(__xludf.DUMMYFUNCTION("""COMPUTED_VALUE"""),"Informed Branch")</f>
        <v>Informed Branch</v>
      </c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>
      <c r="A60" s="82"/>
      <c r="B60" s="98" t="str">
        <f>IFERROR(__xludf.DUMMYFUNCTION("""COMPUTED_VALUE"""),"17")</f>
        <v>17</v>
      </c>
      <c r="C60" s="98" t="str">
        <f>IFERROR(__xludf.DUMMYFUNCTION("""COMPUTED_VALUE"""),"Mandari")</f>
        <v>Mandari</v>
      </c>
      <c r="D60" s="98" t="str">
        <f>IFERROR(__xludf.DUMMYFUNCTION("""COMPUTED_VALUE"""),"710513897")</f>
        <v>710513897</v>
      </c>
      <c r="E60" s="98" t="str">
        <f>IFERROR(__xludf.DUMMYFUNCTION("""COMPUTED_VALUE"""),"N")</f>
        <v>N</v>
      </c>
      <c r="F60" s="98" t="str">
        <f>IFERROR(__xludf.DUMMYFUNCTION("""COMPUTED_VALUE"""),"Craft Helper")</f>
        <v>Craft Helper</v>
      </c>
      <c r="G60" s="98" t="str">
        <f>IFERROR(__xludf.DUMMYFUNCTION("""COMPUTED_VALUE"""),"A4621005")</f>
        <v>A4621005</v>
      </c>
      <c r="H60" s="98" t="str">
        <f>IFERROR(__xludf.DUMMYFUNCTION("""COMPUTED_VALUE"""),"Arrange To Deliver Today / Top Urgant")</f>
        <v>Arrange To Deliver Today / Top Urgant</v>
      </c>
      <c r="I60" s="98" t="str">
        <f>IFERROR(__xludf.DUMMYFUNCTION("""COMPUTED_VALUE"""),"Kaduwela")</f>
        <v>Kaduwela</v>
      </c>
      <c r="J60" s="98" t="str">
        <f>IFERROR(__xludf.DUMMYFUNCTION("""COMPUTED_VALUE"""),"Returned To Branch Rescheduled")</f>
        <v>Returned To Branch Rescheduled</v>
      </c>
      <c r="K60" s="98" t="str">
        <f>IFERROR(__xludf.DUMMYFUNCTION("""COMPUTED_VALUE"""),"Branch Operations")</f>
        <v>Branch Operations</v>
      </c>
      <c r="L60" s="98" t="str">
        <f>IFERROR(__xludf.DUMMYFUNCTION("""COMPUTED_VALUE"""),"Informed Branch")</f>
        <v>Informed Branch</v>
      </c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>
      <c r="A61" s="82"/>
      <c r="B61" s="106" t="str">
        <f>IFERROR(__xludf.DUMMYFUNCTION("""COMPUTED_VALUE"""),"18")</f>
        <v>18</v>
      </c>
      <c r="C61" s="106" t="str">
        <f>IFERROR(__xludf.DUMMYFUNCTION("""COMPUTED_VALUE"""),"Mandari")</f>
        <v>Mandari</v>
      </c>
      <c r="D61" s="106" t="str">
        <f>IFERROR(__xludf.DUMMYFUNCTION("""COMPUTED_VALUE"""),"760534977")</f>
        <v>760534977</v>
      </c>
      <c r="E61" s="106" t="str">
        <f>IFERROR(__xludf.DUMMYFUNCTION("""COMPUTED_VALUE"""),"N")</f>
        <v>N</v>
      </c>
      <c r="F61" s="106" t="str">
        <f>IFERROR(__xludf.DUMMYFUNCTION("""COMPUTED_VALUE"""),"Kio Holdings")</f>
        <v>Kio Holdings</v>
      </c>
      <c r="G61" s="106" t="str">
        <f>IFERROR(__xludf.DUMMYFUNCTION("""COMPUTED_VALUE"""),"BE090386")</f>
        <v>BE090386</v>
      </c>
      <c r="H61" s="106" t="str">
        <f>IFERROR(__xludf.DUMMYFUNCTION("""COMPUTED_VALUE"""),"Customer Want Return This Package")</f>
        <v>Customer Want Return This Package</v>
      </c>
      <c r="I61" s="106" t="str">
        <f>IFERROR(__xludf.DUMMYFUNCTION("""COMPUTED_VALUE"""),"Gampaha")</f>
        <v>Gampaha</v>
      </c>
      <c r="J61" s="106" t="str">
        <f>IFERROR(__xludf.DUMMYFUNCTION("""COMPUTED_VALUE"""),"Delivered")</f>
        <v>Delivered</v>
      </c>
      <c r="K61" s="106" t="str">
        <f>IFERROR(__xludf.DUMMYFUNCTION("""COMPUTED_VALUE"""),"Branch Operations")</f>
        <v>Branch Operations</v>
      </c>
      <c r="L61" s="106" t="str">
        <f>IFERROR(__xludf.DUMMYFUNCTION("""COMPUTED_VALUE"""),"Informed Deepika Genzo")</f>
        <v>Informed Deepika Genzo</v>
      </c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>
      <c r="A62" s="82"/>
      <c r="B62" s="98" t="str">
        <f>IFERROR(__xludf.DUMMYFUNCTION("""COMPUTED_VALUE"""),"19")</f>
        <v>19</v>
      </c>
      <c r="C62" s="98" t="str">
        <f>IFERROR(__xludf.DUMMYFUNCTION("""COMPUTED_VALUE"""),"Mandari")</f>
        <v>Mandari</v>
      </c>
      <c r="D62" s="98" t="str">
        <f>IFERROR(__xludf.DUMMYFUNCTION("""COMPUTED_VALUE"""),"112622082")</f>
        <v>112622082</v>
      </c>
      <c r="E62" s="98" t="str">
        <f>IFERROR(__xludf.DUMMYFUNCTION("""COMPUTED_VALUE"""),"N")</f>
        <v>N</v>
      </c>
      <c r="F62" s="98" t="str">
        <f>IFERROR(__xludf.DUMMYFUNCTION("""COMPUTED_VALUE"""),"702")</f>
        <v>702</v>
      </c>
      <c r="G62" s="98" t="str">
        <f>IFERROR(__xludf.DUMMYFUNCTION("""COMPUTED_VALUE"""),"BA773640 ")</f>
        <v>BA773640 </v>
      </c>
      <c r="H62" s="98" t="str">
        <f>IFERROR(__xludf.DUMMYFUNCTION("""COMPUTED_VALUE"""),"Arrange To Deliver Tomorrow / Top Urgant")</f>
        <v>Arrange To Deliver Tomorrow / Top Urgant</v>
      </c>
      <c r="I62" s="98" t="str">
        <f>IFERROR(__xludf.DUMMYFUNCTION("""COMPUTED_VALUE"""),"Ratmalana")</f>
        <v>Ratmalana</v>
      </c>
      <c r="J62" s="98" t="str">
        <f>IFERROR(__xludf.DUMMYFUNCTION("""COMPUTED_VALUE"""),"Received At Destination")</f>
        <v>Received At Destination</v>
      </c>
      <c r="K62" s="98" t="str">
        <f>IFERROR(__xludf.DUMMYFUNCTION("""COMPUTED_VALUE"""),"Branch Operations")</f>
        <v>Branch Operations</v>
      </c>
      <c r="L62" s="98" t="str">
        <f>IFERROR(__xludf.DUMMYFUNCTION("""COMPUTED_VALUE"""),"Informed Branch")</f>
        <v>Informed Branch</v>
      </c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>
      <c r="A63" s="82"/>
      <c r="B63" s="106" t="str">
        <f>IFERROR(__xludf.DUMMYFUNCTION("""COMPUTED_VALUE"""),"20")</f>
        <v>20</v>
      </c>
      <c r="C63" s="106" t="str">
        <f>IFERROR(__xludf.DUMMYFUNCTION("""COMPUTED_VALUE"""),"Mandari")</f>
        <v>Mandari</v>
      </c>
      <c r="D63" s="106" t="str">
        <f>IFERROR(__xludf.DUMMYFUNCTION("""COMPUTED_VALUE"""),"767766102")</f>
        <v>767766102</v>
      </c>
      <c r="E63" s="106" t="str">
        <f>IFERROR(__xludf.DUMMYFUNCTION("""COMPUTED_VALUE"""),"N")</f>
        <v>N</v>
      </c>
      <c r="F63" s="107" t="str">
        <f>IFERROR(__xludf.DUMMYFUNCTION("""COMPUTED_VALUE"""),"Plusmart.Lk")</f>
        <v>Plusmart.Lk</v>
      </c>
      <c r="G63" s="106" t="str">
        <f>IFERROR(__xludf.DUMMYFUNCTION("""COMPUTED_VALUE"""),"BE082307")</f>
        <v>BE082307</v>
      </c>
      <c r="H63" s="106" t="str">
        <f>IFERROR(__xludf.DUMMYFUNCTION("""COMPUTED_VALUE"""),"Customer Want Return This Package")</f>
        <v>Customer Want Return This Package</v>
      </c>
      <c r="I63" s="106" t="str">
        <f>IFERROR(__xludf.DUMMYFUNCTION("""COMPUTED_VALUE"""),"Gampaha")</f>
        <v>Gampaha</v>
      </c>
      <c r="J63" s="106" t="str">
        <f>IFERROR(__xludf.DUMMYFUNCTION("""COMPUTED_VALUE"""),"Delivered")</f>
        <v>Delivered</v>
      </c>
      <c r="K63" s="106" t="str">
        <f>IFERROR(__xludf.DUMMYFUNCTION("""COMPUTED_VALUE"""),"Branch Operations")</f>
        <v>Branch Operations</v>
      </c>
      <c r="L63" s="106" t="str">
        <f>IFERROR(__xludf.DUMMYFUNCTION("""COMPUTED_VALUE"""),"Informed Deepika Genzo")</f>
        <v>Informed Deepika Genzo</v>
      </c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>
      <c r="A64" s="82"/>
      <c r="B64" s="98" t="str">
        <f>IFERROR(__xludf.DUMMYFUNCTION("""COMPUTED_VALUE"""),"21")</f>
        <v>21</v>
      </c>
      <c r="C64" s="98" t="str">
        <f>IFERROR(__xludf.DUMMYFUNCTION("""COMPUTED_VALUE"""),"Mandari")</f>
        <v>Mandari</v>
      </c>
      <c r="D64" s="98" t="str">
        <f>IFERROR(__xludf.DUMMYFUNCTION("""COMPUTED_VALUE"""),"769061669")</f>
        <v>769061669</v>
      </c>
      <c r="E64" s="98" t="str">
        <f>IFERROR(__xludf.DUMMYFUNCTION("""COMPUTED_VALUE"""),"Y")</f>
        <v>Y</v>
      </c>
      <c r="F64" s="98" t="str">
        <f>IFERROR(__xludf.DUMMYFUNCTION("""COMPUTED_VALUE"""),"Lh Calligraphy")</f>
        <v>Lh Calligraphy</v>
      </c>
      <c r="G64" s="98" t="str">
        <f>IFERROR(__xludf.DUMMYFUNCTION("""COMPUTED_VALUE"""),"A3845095")</f>
        <v>A3845095</v>
      </c>
      <c r="H64" s="98" t="str">
        <f>IFERROR(__xludf.DUMMYFUNCTION("""COMPUTED_VALUE"""),"Re Delivery - 7/1")</f>
        <v>Re Delivery - 7/1</v>
      </c>
      <c r="I64" s="98" t="str">
        <f>IFERROR(__xludf.DUMMYFUNCTION("""COMPUTED_VALUE"""),"Ratmalana")</f>
        <v>Ratmalana</v>
      </c>
      <c r="J64" s="98" t="str">
        <f>IFERROR(__xludf.DUMMYFUNCTION("""COMPUTED_VALUE"""),"Returned To Branch Failed To Deliver")</f>
        <v>Returned To Branch Failed To Deliver</v>
      </c>
      <c r="K64" s="98" t="str">
        <f>IFERROR(__xludf.DUMMYFUNCTION("""COMPUTED_VALUE"""),"Branch Operations")</f>
        <v>Branch Operations</v>
      </c>
      <c r="L64" s="98" t="str">
        <f>IFERROR(__xludf.DUMMYFUNCTION("""COMPUTED_VALUE"""),"Informed Branch")</f>
        <v>Informed Branch</v>
      </c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>
      <c r="A65" s="82"/>
      <c r="B65" s="106" t="str">
        <f>IFERROR(__xludf.DUMMYFUNCTION("""COMPUTED_VALUE"""),"22")</f>
        <v>22</v>
      </c>
      <c r="C65" s="106" t="str">
        <f>IFERROR(__xludf.DUMMYFUNCTION("""COMPUTED_VALUE"""),"Mandari")</f>
        <v>Mandari</v>
      </c>
      <c r="D65" s="106" t="str">
        <f>IFERROR(__xludf.DUMMYFUNCTION("""COMPUTED_VALUE"""),"705248186")</f>
        <v>705248186</v>
      </c>
      <c r="E65" s="106" t="str">
        <f>IFERROR(__xludf.DUMMYFUNCTION("""COMPUTED_VALUE"""),"N")</f>
        <v>N</v>
      </c>
      <c r="F65" s="106" t="str">
        <f>IFERROR(__xludf.DUMMYFUNCTION("""COMPUTED_VALUE"""),"Florenza Blooms")</f>
        <v>Florenza Blooms</v>
      </c>
      <c r="G65" s="106" t="str">
        <f>IFERROR(__xludf.DUMMYFUNCTION("""COMPUTED_VALUE"""),"A4706450")</f>
        <v>A4706450</v>
      </c>
      <c r="H65" s="106" t="str">
        <f>IFERROR(__xludf.DUMMYFUNCTION("""COMPUTED_VALUE"""),"Arrange The Package")</f>
        <v>Arrange The Package</v>
      </c>
      <c r="I65" s="106" t="str">
        <f>IFERROR(__xludf.DUMMYFUNCTION("""COMPUTED_VALUE"""),"Mahiyanganaya")</f>
        <v>Mahiyanganaya</v>
      </c>
      <c r="J65" s="106" t="str">
        <f>IFERROR(__xludf.DUMMYFUNCTION("""COMPUTED_VALUE"""),"Dispatched To Destination")</f>
        <v>Dispatched To Destination</v>
      </c>
      <c r="K65" s="106" t="str">
        <f>IFERROR(__xludf.DUMMYFUNCTION("""COMPUTED_VALUE"""),"Branch Operations")</f>
        <v>Branch Operations</v>
      </c>
      <c r="L65" s="106" t="str">
        <f>IFERROR(__xludf.DUMMYFUNCTION("""COMPUTED_VALUE"""),"Informed Branch")</f>
        <v>Informed Branch</v>
      </c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>
      <c r="A66" s="82"/>
      <c r="B66" s="98" t="str">
        <f>IFERROR(__xludf.DUMMYFUNCTION("""COMPUTED_VALUE"""),"23")</f>
        <v>23</v>
      </c>
      <c r="C66" s="98" t="str">
        <f>IFERROR(__xludf.DUMMYFUNCTION("""COMPUTED_VALUE"""),"Mandari")</f>
        <v>Mandari</v>
      </c>
      <c r="D66" s="98" t="str">
        <f>IFERROR(__xludf.DUMMYFUNCTION("""COMPUTED_VALUE"""),"764470818")</f>
        <v>764470818</v>
      </c>
      <c r="E66" s="98" t="str">
        <f>IFERROR(__xludf.DUMMYFUNCTION("""COMPUTED_VALUE"""),"N")</f>
        <v>N</v>
      </c>
      <c r="F66" s="98" t="str">
        <f>IFERROR(__xludf.DUMMYFUNCTION("""COMPUTED_VALUE"""),"Florenza Blooms")</f>
        <v>Florenza Blooms</v>
      </c>
      <c r="G66" s="98" t="str">
        <f>IFERROR(__xludf.DUMMYFUNCTION("""COMPUTED_VALUE"""),"A4706450")</f>
        <v>A4706450</v>
      </c>
      <c r="H66" s="98" t="str">
        <f>IFERROR(__xludf.DUMMYFUNCTION("""COMPUTED_VALUE"""),"Answerd &amp; Cut The Line")</f>
        <v>Answerd &amp; Cut The Line</v>
      </c>
      <c r="I66" s="98" t="str">
        <f>IFERROR(__xludf.DUMMYFUNCTION("""COMPUTED_VALUE"""),"Mahiyanganaya")</f>
        <v>Mahiyanganaya</v>
      </c>
      <c r="J66" s="98" t="str">
        <f>IFERROR(__xludf.DUMMYFUNCTION("""COMPUTED_VALUE"""),"Dispatched To Destination")</f>
        <v>Dispatched To Destination</v>
      </c>
      <c r="K66" s="98" t="str">
        <f>IFERROR(__xludf.DUMMYFUNCTION("""COMPUTED_VALUE"""),"Customer Care")</f>
        <v>Customer Care</v>
      </c>
      <c r="L66" s="98" t="str">
        <f>IFERROR(__xludf.DUMMYFUNCTION("""COMPUTED_VALUE"""),"Disconnect")</f>
        <v>Disconnect</v>
      </c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>
      <c r="A67" s="82"/>
      <c r="B67" s="106" t="str">
        <f>IFERROR(__xludf.DUMMYFUNCTION("""COMPUTED_VALUE"""),"24")</f>
        <v>24</v>
      </c>
      <c r="C67" s="106" t="str">
        <f>IFERROR(__xludf.DUMMYFUNCTION("""COMPUTED_VALUE"""),"Mandari")</f>
        <v>Mandari</v>
      </c>
      <c r="D67" s="106" t="str">
        <f>IFERROR(__xludf.DUMMYFUNCTION("""COMPUTED_VALUE"""),"761419742")</f>
        <v>761419742</v>
      </c>
      <c r="E67" s="106" t="str">
        <f>IFERROR(__xludf.DUMMYFUNCTION("""COMPUTED_VALUE"""),"N")</f>
        <v>N</v>
      </c>
      <c r="F67" s="106" t="str">
        <f>IFERROR(__xludf.DUMMYFUNCTION("""COMPUTED_VALUE"""),"Florenza Blooms")</f>
        <v>Florenza Blooms</v>
      </c>
      <c r="G67" s="106" t="str">
        <f>IFERROR(__xludf.DUMMYFUNCTION("""COMPUTED_VALUE"""),"A4706450")</f>
        <v>A4706450</v>
      </c>
      <c r="H67" s="106" t="str">
        <f>IFERROR(__xludf.DUMMYFUNCTION("""COMPUTED_VALUE"""),"Asked Some Details")</f>
        <v>Asked Some Details</v>
      </c>
      <c r="I67" s="106" t="str">
        <f>IFERROR(__xludf.DUMMYFUNCTION("""COMPUTED_VALUE"""),"Mahiyanganaya")</f>
        <v>Mahiyanganaya</v>
      </c>
      <c r="J67" s="106" t="str">
        <f>IFERROR(__xludf.DUMMYFUNCTION("""COMPUTED_VALUE"""),"Dispatched To Destination")</f>
        <v>Dispatched To Destination</v>
      </c>
      <c r="K67" s="106" t="str">
        <f>IFERROR(__xludf.DUMMYFUNCTION("""COMPUTED_VALUE"""),"Customer Care")</f>
        <v>Customer Care</v>
      </c>
      <c r="L67" s="106" t="str">
        <f>IFERROR(__xludf.DUMMYFUNCTION("""COMPUTED_VALUE"""),"Done")</f>
        <v>Done</v>
      </c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>
      <c r="A68" s="82"/>
      <c r="B68" s="98" t="str">
        <f>IFERROR(__xludf.DUMMYFUNCTION("""COMPUTED_VALUE"""),"25")</f>
        <v>25</v>
      </c>
      <c r="C68" s="98" t="str">
        <f>IFERROR(__xludf.DUMMYFUNCTION("""COMPUTED_VALUE"""),"Mandari")</f>
        <v>Mandari</v>
      </c>
      <c r="D68" s="98" t="str">
        <f>IFERROR(__xludf.DUMMYFUNCTION("""COMPUTED_VALUE"""),"760053626")</f>
        <v>760053626</v>
      </c>
      <c r="E68" s="98" t="str">
        <f>IFERROR(__xludf.DUMMYFUNCTION("""COMPUTED_VALUE"""),"N")</f>
        <v>N</v>
      </c>
      <c r="F68" s="98" t="str">
        <f>IFERROR(__xludf.DUMMYFUNCTION("""COMPUTED_VALUE"""),"Ceylon Store")</f>
        <v>Ceylon Store</v>
      </c>
      <c r="G68" s="98" t="str">
        <f>IFERROR(__xludf.DUMMYFUNCTION("""COMPUTED_VALUE"""),"BE086979")</f>
        <v>BE086979</v>
      </c>
      <c r="H68" s="98" t="str">
        <f>IFERROR(__xludf.DUMMYFUNCTION("""COMPUTED_VALUE"""),"Arrange To Deliver Today / Top Urgant")</f>
        <v>Arrange To Deliver Today / Top Urgant</v>
      </c>
      <c r="I68" s="98" t="str">
        <f>IFERROR(__xludf.DUMMYFUNCTION("""COMPUTED_VALUE"""),"Colombo Metro")</f>
        <v>Colombo Metro</v>
      </c>
      <c r="J68" s="98" t="str">
        <f>IFERROR(__xludf.DUMMYFUNCTION("""COMPUTED_VALUE"""),"Returned To Branch Rescheduled")</f>
        <v>Returned To Branch Rescheduled</v>
      </c>
      <c r="K68" s="98" t="str">
        <f>IFERROR(__xludf.DUMMYFUNCTION("""COMPUTED_VALUE"""),"Branch Operations")</f>
        <v>Branch Operations</v>
      </c>
      <c r="L68" s="98" t="str">
        <f>IFERROR(__xludf.DUMMYFUNCTION("""COMPUTED_VALUE"""),"Informed Branch")</f>
        <v>Informed Branch</v>
      </c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>
      <c r="A69" s="82"/>
      <c r="B69" s="106" t="str">
        <f>IFERROR(__xludf.DUMMYFUNCTION("""COMPUTED_VALUE"""),"26")</f>
        <v>26</v>
      </c>
      <c r="C69" s="106" t="str">
        <f>IFERROR(__xludf.DUMMYFUNCTION("""COMPUTED_VALUE"""),"Mandari")</f>
        <v>Mandari</v>
      </c>
      <c r="D69" s="106" t="str">
        <f>IFERROR(__xludf.DUMMYFUNCTION("""COMPUTED_VALUE"""),"754346379")</f>
        <v>754346379</v>
      </c>
      <c r="E69" s="106" t="str">
        <f>IFERROR(__xludf.DUMMYFUNCTION("""COMPUTED_VALUE"""),"Y")</f>
        <v>Y</v>
      </c>
      <c r="F69" s="106" t="str">
        <f>IFERROR(__xludf.DUMMYFUNCTION("""COMPUTED_VALUE"""),"Uvi Cosmetics By Iresha")</f>
        <v>Uvi Cosmetics By Iresha</v>
      </c>
      <c r="G69" s="106" t="str">
        <f>IFERROR(__xludf.DUMMYFUNCTION("""COMPUTED_VALUE"""),"A4202033")</f>
        <v>A4202033</v>
      </c>
      <c r="H69" s="106" t="str">
        <f>IFERROR(__xludf.DUMMYFUNCTION("""COMPUTED_VALUE"""),"Arrange The Package")</f>
        <v>Arrange The Package</v>
      </c>
      <c r="I69" s="106" t="str">
        <f>IFERROR(__xludf.DUMMYFUNCTION("""COMPUTED_VALUE"""),"Trincomalee")</f>
        <v>Trincomalee</v>
      </c>
      <c r="J69" s="106" t="str">
        <f>IFERROR(__xludf.DUMMYFUNCTION("""COMPUTED_VALUE"""),"Dispatched To Destination")</f>
        <v>Dispatched To Destination</v>
      </c>
      <c r="K69" s="106" t="str">
        <f>IFERROR(__xludf.DUMMYFUNCTION("""COMPUTED_VALUE"""),"Branch Operations")</f>
        <v>Branch Operations</v>
      </c>
      <c r="L69" s="106" t="str">
        <f>IFERROR(__xludf.DUMMYFUNCTION("""COMPUTED_VALUE"""),"Informed Branch")</f>
        <v>Informed Branch</v>
      </c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>
      <c r="A70" s="82"/>
      <c r="B70" s="98" t="str">
        <f>IFERROR(__xludf.DUMMYFUNCTION("""COMPUTED_VALUE"""),"27")</f>
        <v>27</v>
      </c>
      <c r="C70" s="98" t="str">
        <f>IFERROR(__xludf.DUMMYFUNCTION("""COMPUTED_VALUE"""),"Mandari")</f>
        <v>Mandari</v>
      </c>
      <c r="D70" s="98" t="str">
        <f>IFERROR(__xludf.DUMMYFUNCTION("""COMPUTED_VALUE"""),"755572364")</f>
        <v>755572364</v>
      </c>
      <c r="E70" s="98" t="str">
        <f>IFERROR(__xludf.DUMMYFUNCTION("""COMPUTED_VALUE"""),"N")</f>
        <v>N</v>
      </c>
      <c r="F70" s="98" t="str">
        <f>IFERROR(__xludf.DUMMYFUNCTION("""COMPUTED_VALUE"""),"Uvi Cosmetics By Iresha")</f>
        <v>Uvi Cosmetics By Iresha</v>
      </c>
      <c r="G70" s="98" t="str">
        <f>IFERROR(__xludf.DUMMYFUNCTION("""COMPUTED_VALUE"""),"A4202033")</f>
        <v>A4202033</v>
      </c>
      <c r="H70" s="98" t="str">
        <f>IFERROR(__xludf.DUMMYFUNCTION("""COMPUTED_VALUE"""),"Asked Some Details")</f>
        <v>Asked Some Details</v>
      </c>
      <c r="I70" s="98" t="str">
        <f>IFERROR(__xludf.DUMMYFUNCTION("""COMPUTED_VALUE"""),"Trincomalee")</f>
        <v>Trincomalee</v>
      </c>
      <c r="J70" s="98" t="str">
        <f>IFERROR(__xludf.DUMMYFUNCTION("""COMPUTED_VALUE"""),"Dispatched To Destination")</f>
        <v>Dispatched To Destination</v>
      </c>
      <c r="K70" s="98" t="str">
        <f>IFERROR(__xludf.DUMMYFUNCTION("""COMPUTED_VALUE"""),"Customer Care")</f>
        <v>Customer Care</v>
      </c>
      <c r="L70" s="98" t="str">
        <f>IFERROR(__xludf.DUMMYFUNCTION("""COMPUTED_VALUE"""),"Done")</f>
        <v>Done</v>
      </c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>
      <c r="A71" s="82"/>
      <c r="B71" s="106" t="str">
        <f>IFERROR(__xludf.DUMMYFUNCTION("""COMPUTED_VALUE"""),"28")</f>
        <v>28</v>
      </c>
      <c r="C71" s="106" t="str">
        <f>IFERROR(__xludf.DUMMYFUNCTION("""COMPUTED_VALUE"""),"Mandari")</f>
        <v>Mandari</v>
      </c>
      <c r="D71" s="106" t="str">
        <f>IFERROR(__xludf.DUMMYFUNCTION("""COMPUTED_VALUE"""),"702672294")</f>
        <v>702672294</v>
      </c>
      <c r="E71" s="106" t="str">
        <f>IFERROR(__xludf.DUMMYFUNCTION("""COMPUTED_VALUE"""),"Y")</f>
        <v>Y</v>
      </c>
      <c r="F71" s="106" t="str">
        <f>IFERROR(__xludf.DUMMYFUNCTION("""COMPUTED_VALUE"""),"Dream Skin")</f>
        <v>Dream Skin</v>
      </c>
      <c r="G71" s="106" t="str">
        <f>IFERROR(__xludf.DUMMYFUNCTION("""COMPUTED_VALUE"""),"A4601856")</f>
        <v>A4601856</v>
      </c>
      <c r="H71" s="106" t="str">
        <f>IFERROR(__xludf.DUMMYFUNCTION("""COMPUTED_VALUE"""),"0756388317 - Re Delivery - 7/1")</f>
        <v>0756388317 - Re Delivery - 7/1</v>
      </c>
      <c r="I71" s="106" t="str">
        <f>IFERROR(__xludf.DUMMYFUNCTION("""COMPUTED_VALUE"""),"Kegalle")</f>
        <v>Kegalle</v>
      </c>
      <c r="J71" s="106" t="str">
        <f>IFERROR(__xludf.DUMMYFUNCTION("""COMPUTED_VALUE"""),"Piliyandala")</f>
        <v>Piliyandala</v>
      </c>
      <c r="K71" s="106" t="str">
        <f>IFERROR(__xludf.DUMMYFUNCTION("""COMPUTED_VALUE"""),"Branch Operations")</f>
        <v>Branch Operations</v>
      </c>
      <c r="L71" s="106" t="str">
        <f>IFERROR(__xludf.DUMMYFUNCTION("""COMPUTED_VALUE"""),"Number Busy")</f>
        <v>Number Busy</v>
      </c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>
      <c r="A72" s="82"/>
      <c r="B72" s="98" t="str">
        <f>IFERROR(__xludf.DUMMYFUNCTION("""COMPUTED_VALUE"""),"29")</f>
        <v>29</v>
      </c>
      <c r="C72" s="98" t="str">
        <f>IFERROR(__xludf.DUMMYFUNCTION("""COMPUTED_VALUE"""),"Mandari")</f>
        <v>Mandari</v>
      </c>
      <c r="D72" s="98" t="str">
        <f>IFERROR(__xludf.DUMMYFUNCTION("""COMPUTED_VALUE"""),"767996043")</f>
        <v>767996043</v>
      </c>
      <c r="E72" s="98" t="str">
        <f>IFERROR(__xludf.DUMMYFUNCTION("""COMPUTED_VALUE"""),"N")</f>
        <v>N</v>
      </c>
      <c r="F72" s="98" t="str">
        <f>IFERROR(__xludf.DUMMYFUNCTION("""COMPUTED_VALUE"""),"Aurex Core")</f>
        <v>Aurex Core</v>
      </c>
      <c r="G72" s="98" t="str">
        <f>IFERROR(__xludf.DUMMYFUNCTION("""COMPUTED_VALUE"""),"BE090458")</f>
        <v>BE090458</v>
      </c>
      <c r="H72" s="98" t="str">
        <f>IFERROR(__xludf.DUMMYFUNCTION("""COMPUTED_VALUE"""),"Customer Want Return This Package")</f>
        <v>Customer Want Return This Package</v>
      </c>
      <c r="I72" s="98" t="str">
        <f>IFERROR(__xludf.DUMMYFUNCTION("""COMPUTED_VALUE"""),"Piliyandala")</f>
        <v>Piliyandala</v>
      </c>
      <c r="J72" s="98" t="str">
        <f>IFERROR(__xludf.DUMMYFUNCTION("""COMPUTED_VALUE"""),"Delivered")</f>
        <v>Delivered</v>
      </c>
      <c r="K72" s="98" t="str">
        <f>IFERROR(__xludf.DUMMYFUNCTION("""COMPUTED_VALUE"""),"Customer Care")</f>
        <v>Customer Care</v>
      </c>
      <c r="L72" s="98" t="str">
        <f>IFERROR(__xludf.DUMMYFUNCTION("""COMPUTED_VALUE"""),"Informed Cline")</f>
        <v>Informed Cline</v>
      </c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>
      <c r="A73" s="82"/>
      <c r="B73" s="106" t="str">
        <f>IFERROR(__xludf.DUMMYFUNCTION("""COMPUTED_VALUE"""),"30")</f>
        <v>30</v>
      </c>
      <c r="C73" s="106" t="str">
        <f>IFERROR(__xludf.DUMMYFUNCTION("""COMPUTED_VALUE"""),"Mandari")</f>
        <v>Mandari</v>
      </c>
      <c r="D73" s="106" t="str">
        <f>IFERROR(__xludf.DUMMYFUNCTION("""COMPUTED_VALUE"""),"724344762")</f>
        <v>724344762</v>
      </c>
      <c r="E73" s="106" t="str">
        <f>IFERROR(__xludf.DUMMYFUNCTION("""COMPUTED_VALUE"""),"N")</f>
        <v>N</v>
      </c>
      <c r="F73" s="106" t="str">
        <f>IFERROR(__xludf.DUMMYFUNCTION("""COMPUTED_VALUE"""),"Aurex Core")</f>
        <v>Aurex Core</v>
      </c>
      <c r="G73" s="106" t="str">
        <f>IFERROR(__xludf.DUMMYFUNCTION("""COMPUTED_VALUE"""),"BE090458")</f>
        <v>BE090458</v>
      </c>
      <c r="H73" s="106" t="str">
        <f>IFERROR(__xludf.DUMMYFUNCTION("""COMPUTED_VALUE"""),"Asked Some Details")</f>
        <v>Asked Some Details</v>
      </c>
      <c r="I73" s="106"/>
      <c r="J73" s="106" t="str">
        <f>IFERROR(__xludf.DUMMYFUNCTION("""COMPUTED_VALUE"""),"Delivered")</f>
        <v>Delivered</v>
      </c>
      <c r="K73" s="106" t="str">
        <f>IFERROR(__xludf.DUMMYFUNCTION("""COMPUTED_VALUE"""),"Customer Care")</f>
        <v>Customer Care</v>
      </c>
      <c r="L73" s="106" t="str">
        <f>IFERROR(__xludf.DUMMYFUNCTION("""COMPUTED_VALUE"""),"Done")</f>
        <v>Done</v>
      </c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>
      <c r="A74" s="82"/>
      <c r="B74" s="98" t="str">
        <f>IFERROR(__xludf.DUMMYFUNCTION("""COMPUTED_VALUE"""),"31")</f>
        <v>31</v>
      </c>
      <c r="C74" s="98" t="str">
        <f>IFERROR(__xludf.DUMMYFUNCTION("""COMPUTED_VALUE"""),"Mandari")</f>
        <v>Mandari</v>
      </c>
      <c r="D74" s="98" t="str">
        <f>IFERROR(__xludf.DUMMYFUNCTION("""COMPUTED_VALUE"""),"114412000")</f>
        <v>114412000</v>
      </c>
      <c r="E74" s="98" t="str">
        <f>IFERROR(__xludf.DUMMYFUNCTION("""COMPUTED_VALUE"""),"N")</f>
        <v>N</v>
      </c>
      <c r="F74" s="98" t="str">
        <f>IFERROR(__xludf.DUMMYFUNCTION("""COMPUTED_VALUE"""),"Uhome")</f>
        <v>Uhome</v>
      </c>
      <c r="G74" s="98" t="str">
        <f>IFERROR(__xludf.DUMMYFUNCTION("""COMPUTED_VALUE"""),"BA769778")</f>
        <v>BA769778</v>
      </c>
      <c r="H74" s="98" t="str">
        <f>IFERROR(__xludf.DUMMYFUNCTION("""COMPUTED_VALUE"""),"Arrange To Deliver Today / Top Urgant")</f>
        <v>Arrange To Deliver Today / Top Urgant</v>
      </c>
      <c r="I74" s="98" t="str">
        <f>IFERROR(__xludf.DUMMYFUNCTION("""COMPUTED_VALUE"""),"Piliyandala")</f>
        <v>Piliyandala</v>
      </c>
      <c r="J74" s="98" t="str">
        <f>IFERROR(__xludf.DUMMYFUNCTION("""COMPUTED_VALUE"""),"Returned To Branch Rescheduled")</f>
        <v>Returned To Branch Rescheduled</v>
      </c>
      <c r="K74" s="98" t="str">
        <f>IFERROR(__xludf.DUMMYFUNCTION("""COMPUTED_VALUE"""),"Branch Operations")</f>
        <v>Branch Operations</v>
      </c>
      <c r="L74" s="98" t="str">
        <f>IFERROR(__xludf.DUMMYFUNCTION("""COMPUTED_VALUE"""),"Informed Branch")</f>
        <v>Informed Branch</v>
      </c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>
      <c r="A75" s="82"/>
      <c r="B75" s="106" t="str">
        <f>IFERROR(__xludf.DUMMYFUNCTION("""COMPUTED_VALUE"""),"32")</f>
        <v>32</v>
      </c>
      <c r="C75" s="106" t="str">
        <f>IFERROR(__xludf.DUMMYFUNCTION("""COMPUTED_VALUE"""),"Mandari")</f>
        <v>Mandari</v>
      </c>
      <c r="D75" s="106" t="str">
        <f>IFERROR(__xludf.DUMMYFUNCTION("""COMPUTED_VALUE"""),"779820678")</f>
        <v>779820678</v>
      </c>
      <c r="E75" s="106" t="str">
        <f>IFERROR(__xludf.DUMMYFUNCTION("""COMPUTED_VALUE"""),"N")</f>
        <v>N</v>
      </c>
      <c r="F75" s="106" t="str">
        <f>IFERROR(__xludf.DUMMYFUNCTION("""COMPUTED_VALUE"""),"L Bandara")</f>
        <v>L Bandara</v>
      </c>
      <c r="G75" s="106" t="str">
        <f>IFERROR(__xludf.DUMMYFUNCTION("""COMPUTED_VALUE"""),"WD058645")</f>
        <v>WD058645</v>
      </c>
      <c r="H75" s="106" t="str">
        <f>IFERROR(__xludf.DUMMYFUNCTION("""COMPUTED_VALUE"""),"Arrange To Deliver Today / Top Urgant")</f>
        <v>Arrange To Deliver Today / Top Urgant</v>
      </c>
      <c r="I75" s="106" t="str">
        <f>IFERROR(__xludf.DUMMYFUNCTION("""COMPUTED_VALUE"""),"Imaduwa")</f>
        <v>Imaduwa</v>
      </c>
      <c r="J75" s="106" t="str">
        <f>IFERROR(__xludf.DUMMYFUNCTION("""COMPUTED_VALUE"""),"Dispatched By Ho")</f>
        <v>Dispatched By Ho</v>
      </c>
      <c r="K75" s="106" t="str">
        <f>IFERROR(__xludf.DUMMYFUNCTION("""COMPUTED_VALUE"""),"Domestic")</f>
        <v>Domestic</v>
      </c>
      <c r="L75" s="106" t="str">
        <f>IFERROR(__xludf.DUMMYFUNCTION("""COMPUTED_VALUE"""),"Informed Domestic Department")</f>
        <v>Informed Domestic Department</v>
      </c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>
      <c r="A76" s="82"/>
      <c r="B76" s="98" t="str">
        <f>IFERROR(__xludf.DUMMYFUNCTION("""COMPUTED_VALUE"""),"33")</f>
        <v>33</v>
      </c>
      <c r="C76" s="98" t="str">
        <f>IFERROR(__xludf.DUMMYFUNCTION("""COMPUTED_VALUE"""),"Mandari")</f>
        <v>Mandari</v>
      </c>
      <c r="D76" s="98" t="str">
        <f>IFERROR(__xludf.DUMMYFUNCTION("""COMPUTED_VALUE"""),"772447877")</f>
        <v>772447877</v>
      </c>
      <c r="E76" s="98" t="str">
        <f>IFERROR(__xludf.DUMMYFUNCTION("""COMPUTED_VALUE"""),"Y")</f>
        <v>Y</v>
      </c>
      <c r="F76" s="98" t="str">
        <f>IFERROR(__xludf.DUMMYFUNCTION("""COMPUTED_VALUE"""),"Carter Skin Care")</f>
        <v>Carter Skin Care</v>
      </c>
      <c r="G76" s="98" t="str">
        <f>IFERROR(__xludf.DUMMYFUNCTION("""COMPUTED_VALUE"""),"BA779577")</f>
        <v>BA779577</v>
      </c>
      <c r="H76" s="98" t="str">
        <f>IFERROR(__xludf.DUMMYFUNCTION("""COMPUTED_VALUE"""),"Arrange To Deliver Today / Top Urgant")</f>
        <v>Arrange To Deliver Today / Top Urgant</v>
      </c>
      <c r="I76" s="98" t="str">
        <f>IFERROR(__xludf.DUMMYFUNCTION("""COMPUTED_VALUE"""),"Piliyandala")</f>
        <v>Piliyandala</v>
      </c>
      <c r="J76" s="98" t="str">
        <f>IFERROR(__xludf.DUMMYFUNCTION("""COMPUTED_VALUE"""),"Received At Destination")</f>
        <v>Received At Destination</v>
      </c>
      <c r="K76" s="98" t="str">
        <f>IFERROR(__xludf.DUMMYFUNCTION("""COMPUTED_VALUE"""),"Branch Operations")</f>
        <v>Branch Operations</v>
      </c>
      <c r="L76" s="98" t="str">
        <f>IFERROR(__xludf.DUMMYFUNCTION("""COMPUTED_VALUE"""),"Informed Branch")</f>
        <v>Informed Branch</v>
      </c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>
      <c r="A77" s="82"/>
      <c r="B77" s="106" t="str">
        <f>IFERROR(__xludf.DUMMYFUNCTION("""COMPUTED_VALUE"""),"34")</f>
        <v>34</v>
      </c>
      <c r="C77" s="106" t="str">
        <f>IFERROR(__xludf.DUMMYFUNCTION("""COMPUTED_VALUE"""),"Mandari")</f>
        <v>Mandari</v>
      </c>
      <c r="D77" s="106" t="str">
        <f>IFERROR(__xludf.DUMMYFUNCTION("""COMPUTED_VALUE"""),"776224505")</f>
        <v>776224505</v>
      </c>
      <c r="E77" s="106" t="str">
        <f>IFERROR(__xludf.DUMMYFUNCTION("""COMPUTED_VALUE"""),"N")</f>
        <v>N</v>
      </c>
      <c r="F77" s="106" t="str">
        <f>IFERROR(__xludf.DUMMYFUNCTION("""COMPUTED_VALUE"""),"Azac Hub")</f>
        <v>Azac Hub</v>
      </c>
      <c r="G77" s="106" t="str">
        <f>IFERROR(__xludf.DUMMYFUNCTION("""COMPUTED_VALUE"""),"A4051542")</f>
        <v>A4051542</v>
      </c>
      <c r="H77" s="106" t="str">
        <f>IFERROR(__xludf.DUMMYFUNCTION("""COMPUTED_VALUE"""),"Customer Collect At Branch")</f>
        <v>Customer Collect At Branch</v>
      </c>
      <c r="I77" s="106" t="str">
        <f>IFERROR(__xludf.DUMMYFUNCTION("""COMPUTED_VALUE"""),"Chilaw")</f>
        <v>Chilaw</v>
      </c>
      <c r="J77" s="106" t="str">
        <f>IFERROR(__xludf.DUMMYFUNCTION("""COMPUTED_VALUE"""),"Received At Destination")</f>
        <v>Received At Destination</v>
      </c>
      <c r="K77" s="106" t="str">
        <f>IFERROR(__xludf.DUMMYFUNCTION("""COMPUTED_VALUE"""),"Branch Operations")</f>
        <v>Branch Operations</v>
      </c>
      <c r="L77" s="106" t="str">
        <f>IFERROR(__xludf.DUMMYFUNCTION("""COMPUTED_VALUE"""),"Informed Branch")</f>
        <v>Informed Branch</v>
      </c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>
      <c r="A78" s="82"/>
      <c r="B78" s="98" t="str">
        <f>IFERROR(__xludf.DUMMYFUNCTION("""COMPUTED_VALUE"""),"35")</f>
        <v>35</v>
      </c>
      <c r="C78" s="98" t="str">
        <f>IFERROR(__xludf.DUMMYFUNCTION("""COMPUTED_VALUE"""),"Mandari")</f>
        <v>Mandari</v>
      </c>
      <c r="D78" s="98" t="str">
        <f>IFERROR(__xludf.DUMMYFUNCTION("""COMPUTED_VALUE"""),"750941179")</f>
        <v>750941179</v>
      </c>
      <c r="E78" s="98" t="str">
        <f>IFERROR(__xludf.DUMMYFUNCTION("""COMPUTED_VALUE"""),"N")</f>
        <v>N</v>
      </c>
      <c r="F78" s="108" t="str">
        <f>IFERROR(__xludf.DUMMYFUNCTION("""COMPUTED_VALUE"""),"Shopymore.Lk")</f>
        <v>Shopymore.Lk</v>
      </c>
      <c r="G78" s="98" t="str">
        <f>IFERROR(__xludf.DUMMYFUNCTION("""COMPUTED_VALUE"""),"BE108332")</f>
        <v>BE108332</v>
      </c>
      <c r="H78" s="98" t="str">
        <f>IFERROR(__xludf.DUMMYFUNCTION("""COMPUTED_VALUE"""),"Customer Want Return This Package")</f>
        <v>Customer Want Return This Package</v>
      </c>
      <c r="I78" s="98" t="str">
        <f>IFERROR(__xludf.DUMMYFUNCTION("""COMPUTED_VALUE"""),"Trincomalee")</f>
        <v>Trincomalee</v>
      </c>
      <c r="J78" s="98" t="str">
        <f>IFERROR(__xludf.DUMMYFUNCTION("""COMPUTED_VALUE"""),"Delivered")</f>
        <v>Delivered</v>
      </c>
      <c r="K78" s="98" t="str">
        <f>IFERROR(__xludf.DUMMYFUNCTION("""COMPUTED_VALUE"""),"Branch Operations")</f>
        <v>Branch Operations</v>
      </c>
      <c r="L78" s="98" t="str">
        <f>IFERROR(__xludf.DUMMYFUNCTION("""COMPUTED_VALUE"""),"Informed Deepika Genzo")</f>
        <v>Informed Deepika Genzo</v>
      </c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>
      <c r="A79" s="82"/>
      <c r="B79" s="106" t="str">
        <f>IFERROR(__xludf.DUMMYFUNCTION("""COMPUTED_VALUE"""),"36")</f>
        <v>36</v>
      </c>
      <c r="C79" s="106" t="str">
        <f>IFERROR(__xludf.DUMMYFUNCTION("""COMPUTED_VALUE"""),"Mandari")</f>
        <v>Mandari</v>
      </c>
      <c r="D79" s="106" t="str">
        <f>IFERROR(__xludf.DUMMYFUNCTION("""COMPUTED_VALUE"""),"707777289")</f>
        <v>707777289</v>
      </c>
      <c r="E79" s="106" t="str">
        <f>IFERROR(__xludf.DUMMYFUNCTION("""COMPUTED_VALUE"""),"Y")</f>
        <v>Y</v>
      </c>
      <c r="F79" s="106" t="str">
        <f>IFERROR(__xludf.DUMMYFUNCTION("""COMPUTED_VALUE"""),"Dlw Computers Pvt (Ltd)")</f>
        <v>Dlw Computers Pvt (Ltd)</v>
      </c>
      <c r="G79" s="106" t="str">
        <f>IFERROR(__xludf.DUMMYFUNCTION("""COMPUTED_VALUE"""),"A4553107")</f>
        <v>A4553107</v>
      </c>
      <c r="H79" s="106" t="str">
        <f>IFERROR(__xludf.DUMMYFUNCTION("""COMPUTED_VALUE"""),"Cod Issuse")</f>
        <v>Cod Issuse</v>
      </c>
      <c r="I79" s="106" t="str">
        <f>IFERROR(__xludf.DUMMYFUNCTION("""COMPUTED_VALUE"""),"Kalutara")</f>
        <v>Kalutara</v>
      </c>
      <c r="J79" s="106" t="str">
        <f>IFERROR(__xludf.DUMMYFUNCTION("""COMPUTED_VALUE"""),"Out For Delivery")</f>
        <v>Out For Delivery</v>
      </c>
      <c r="K79" s="106" t="str">
        <f>IFERROR(__xludf.DUMMYFUNCTION("""COMPUTED_VALUE"""),"Customer Care")</f>
        <v>Customer Care</v>
      </c>
      <c r="L79" s="106" t="str">
        <f>IFERROR(__xludf.DUMMYFUNCTION("""COMPUTED_VALUE"""),"Done")</f>
        <v>Done</v>
      </c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>
      <c r="A80" s="82"/>
      <c r="B80" s="98" t="str">
        <f>IFERROR(__xludf.DUMMYFUNCTION("""COMPUTED_VALUE"""),"37")</f>
        <v>37</v>
      </c>
      <c r="C80" s="98" t="str">
        <f>IFERROR(__xludf.DUMMYFUNCTION("""COMPUTED_VALUE"""),"Mandari")</f>
        <v>Mandari</v>
      </c>
      <c r="D80" s="98" t="str">
        <f>IFERROR(__xludf.DUMMYFUNCTION("""COMPUTED_VALUE"""),"757715579")</f>
        <v>757715579</v>
      </c>
      <c r="E80" s="98" t="str">
        <f>IFERROR(__xludf.DUMMYFUNCTION("""COMPUTED_VALUE"""),"N")</f>
        <v>N</v>
      </c>
      <c r="F80" s="98" t="str">
        <f>IFERROR(__xludf.DUMMYFUNCTION("""COMPUTED_VALUE"""),"Swasthi")</f>
        <v>Swasthi</v>
      </c>
      <c r="G80" s="98" t="str">
        <f>IFERROR(__xludf.DUMMYFUNCTION("""COMPUTED_VALUE"""),"A3821395")</f>
        <v>A3821395</v>
      </c>
      <c r="H80" s="98" t="str">
        <f>IFERROR(__xludf.DUMMYFUNCTION("""COMPUTED_VALUE"""),"Arrange To Deliver Today / Top Urgant")</f>
        <v>Arrange To Deliver Today / Top Urgant</v>
      </c>
      <c r="I80" s="98" t="str">
        <f>IFERROR(__xludf.DUMMYFUNCTION("""COMPUTED_VALUE"""),"Thalawathugoda")</f>
        <v>Thalawathugoda</v>
      </c>
      <c r="J80" s="98" t="str">
        <f>IFERROR(__xludf.DUMMYFUNCTION("""COMPUTED_VALUE"""),"Received At Destination")</f>
        <v>Received At Destination</v>
      </c>
      <c r="K80" s="98" t="str">
        <f>IFERROR(__xludf.DUMMYFUNCTION("""COMPUTED_VALUE"""),"Branch Operations")</f>
        <v>Branch Operations</v>
      </c>
      <c r="L80" s="98" t="str">
        <f>IFERROR(__xludf.DUMMYFUNCTION("""COMPUTED_VALUE"""),"Informed Branch")</f>
        <v>Informed Branch</v>
      </c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>
      <c r="A81" s="82"/>
      <c r="B81" s="106" t="str">
        <f>IFERROR(__xludf.DUMMYFUNCTION("""COMPUTED_VALUE"""),"38")</f>
        <v>38</v>
      </c>
      <c r="C81" s="106" t="str">
        <f>IFERROR(__xludf.DUMMYFUNCTION("""COMPUTED_VALUE"""),"Mandari")</f>
        <v>Mandari</v>
      </c>
      <c r="D81" s="106" t="str">
        <f>IFERROR(__xludf.DUMMYFUNCTION("""COMPUTED_VALUE"""),"751195546")</f>
        <v>751195546</v>
      </c>
      <c r="E81" s="106" t="str">
        <f>IFERROR(__xludf.DUMMYFUNCTION("""COMPUTED_VALUE"""),"Y")</f>
        <v>Y</v>
      </c>
      <c r="F81" s="106" t="str">
        <f>IFERROR(__xludf.DUMMYFUNCTION("""COMPUTED_VALUE"""),"Lansa Express")</f>
        <v>Lansa Express</v>
      </c>
      <c r="G81" s="106" t="str">
        <f>IFERROR(__xludf.DUMMYFUNCTION("""COMPUTED_VALUE"""),"BE100080")</f>
        <v>BE100080</v>
      </c>
      <c r="H81" s="106" t="str">
        <f>IFERROR(__xludf.DUMMYFUNCTION("""COMPUTED_VALUE"""),"Re Delivery - 7/1")</f>
        <v>Re Delivery - 7/1</v>
      </c>
      <c r="I81" s="106" t="str">
        <f>IFERROR(__xludf.DUMMYFUNCTION("""COMPUTED_VALUE"""),"Embilipitiya")</f>
        <v>Embilipitiya</v>
      </c>
      <c r="J81" s="106" t="str">
        <f>IFERROR(__xludf.DUMMYFUNCTION("""COMPUTED_VALUE"""),"Returned To Branch Failed To Deliver")</f>
        <v>Returned To Branch Failed To Deliver</v>
      </c>
      <c r="K81" s="106" t="str">
        <f>IFERROR(__xludf.DUMMYFUNCTION("""COMPUTED_VALUE"""),"Branch Operations")</f>
        <v>Branch Operations</v>
      </c>
      <c r="L81" s="106" t="str">
        <f>IFERROR(__xludf.DUMMYFUNCTION("""COMPUTED_VALUE"""),"Customer No Answer")</f>
        <v>Customer No Answer</v>
      </c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>
      <c r="A82" s="82"/>
      <c r="B82" s="98" t="str">
        <f>IFERROR(__xludf.DUMMYFUNCTION("""COMPUTED_VALUE"""),"39")</f>
        <v>39</v>
      </c>
      <c r="C82" s="98" t="str">
        <f>IFERROR(__xludf.DUMMYFUNCTION("""COMPUTED_VALUE"""),"Mandari")</f>
        <v>Mandari</v>
      </c>
      <c r="D82" s="98" t="str">
        <f>IFERROR(__xludf.DUMMYFUNCTION("""COMPUTED_VALUE"""),"765792009")</f>
        <v>765792009</v>
      </c>
      <c r="E82" s="98" t="str">
        <f>IFERROR(__xludf.DUMMYFUNCTION("""COMPUTED_VALUE"""),"N")</f>
        <v>N</v>
      </c>
      <c r="F82" s="98" t="str">
        <f>IFERROR(__xludf.DUMMYFUNCTION("""COMPUTED_VALUE"""),"Rooby Marketing")</f>
        <v>Rooby Marketing</v>
      </c>
      <c r="G82" s="98" t="str">
        <f>IFERROR(__xludf.DUMMYFUNCTION("""COMPUTED_VALUE"""),"BE025902")</f>
        <v>BE025902</v>
      </c>
      <c r="H82" s="98" t="str">
        <f>IFERROR(__xludf.DUMMYFUNCTION("""COMPUTED_VALUE"""),"Customer Want Return This Package")</f>
        <v>Customer Want Return This Package</v>
      </c>
      <c r="I82" s="98" t="str">
        <f>IFERROR(__xludf.DUMMYFUNCTION("""COMPUTED_VALUE"""),"Colombo Metro")</f>
        <v>Colombo Metro</v>
      </c>
      <c r="J82" s="98" t="str">
        <f>IFERROR(__xludf.DUMMYFUNCTION("""COMPUTED_VALUE"""),"Delivered")</f>
        <v>Delivered</v>
      </c>
      <c r="K82" s="98" t="str">
        <f>IFERROR(__xludf.DUMMYFUNCTION("""COMPUTED_VALUE"""),"Customer Care")</f>
        <v>Customer Care</v>
      </c>
      <c r="L82" s="98" t="str">
        <f>IFERROR(__xludf.DUMMYFUNCTION("""COMPUTED_VALUE"""),"Informed Cline")</f>
        <v>Informed Cline</v>
      </c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>
      <c r="A83" s="82"/>
      <c r="B83" s="106" t="str">
        <f>IFERROR(__xludf.DUMMYFUNCTION("""COMPUTED_VALUE"""),"40")</f>
        <v>40</v>
      </c>
      <c r="C83" s="106" t="str">
        <f>IFERROR(__xludf.DUMMYFUNCTION("""COMPUTED_VALUE"""),"Mandari")</f>
        <v>Mandari</v>
      </c>
      <c r="D83" s="106" t="str">
        <f>IFERROR(__xludf.DUMMYFUNCTION("""COMPUTED_VALUE"""),"716928816")</f>
        <v>716928816</v>
      </c>
      <c r="E83" s="106" t="str">
        <f>IFERROR(__xludf.DUMMYFUNCTION("""COMPUTED_VALUE"""),"Y")</f>
        <v>Y</v>
      </c>
      <c r="F83" s="106" t="str">
        <f>IFERROR(__xludf.DUMMYFUNCTION("""COMPUTED_VALUE"""),"Rooby Marketing")</f>
        <v>Rooby Marketing</v>
      </c>
      <c r="G83" s="106" t="str">
        <f>IFERROR(__xludf.DUMMYFUNCTION("""COMPUTED_VALUE"""),"BE025902")</f>
        <v>BE025902</v>
      </c>
      <c r="H83" s="106" t="str">
        <f>IFERROR(__xludf.DUMMYFUNCTION("""COMPUTED_VALUE"""),"Sales Department")</f>
        <v>Sales Department</v>
      </c>
      <c r="I83" s="106" t="str">
        <f>IFERROR(__xludf.DUMMYFUNCTION("""COMPUTED_VALUE"""),"Colombo Metro")</f>
        <v>Colombo Metro</v>
      </c>
      <c r="J83" s="106" t="str">
        <f>IFERROR(__xludf.DUMMYFUNCTION("""COMPUTED_VALUE"""),"Delivered")</f>
        <v>Delivered</v>
      </c>
      <c r="K83" s="106" t="str">
        <f>IFERROR(__xludf.DUMMYFUNCTION("""COMPUTED_VALUE"""),"Sales")</f>
        <v>Sales</v>
      </c>
      <c r="L83" s="106" t="str">
        <f>IFERROR(__xludf.DUMMYFUNCTION("""COMPUTED_VALUE"""),"Transfer Call")</f>
        <v>Transfer Call</v>
      </c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>
      <c r="A84" s="82"/>
      <c r="B84" s="98" t="str">
        <f>IFERROR(__xludf.DUMMYFUNCTION("""COMPUTED_VALUE"""),"41")</f>
        <v>41</v>
      </c>
      <c r="C84" s="98" t="str">
        <f>IFERROR(__xludf.DUMMYFUNCTION("""COMPUTED_VALUE"""),"Mandari")</f>
        <v>Mandari</v>
      </c>
      <c r="D84" s="98" t="str">
        <f>IFERROR(__xludf.DUMMYFUNCTION("""COMPUTED_VALUE"""),"742249207")</f>
        <v>742249207</v>
      </c>
      <c r="E84" s="98" t="str">
        <f>IFERROR(__xludf.DUMMYFUNCTION("""COMPUTED_VALUE"""),"N")</f>
        <v>N</v>
      </c>
      <c r="F84" s="98" t="str">
        <f>IFERROR(__xludf.DUMMYFUNCTION("""COMPUTED_VALUE"""),"Rooby Marketing")</f>
        <v>Rooby Marketing</v>
      </c>
      <c r="G84" s="98" t="str">
        <f>IFERROR(__xludf.DUMMYFUNCTION("""COMPUTED_VALUE"""),"WD3331521")</f>
        <v>WD3331521</v>
      </c>
      <c r="H84" s="98" t="str">
        <f>IFERROR(__xludf.DUMMYFUNCTION("""COMPUTED_VALUE"""),"Not In System")</f>
        <v>Not In System</v>
      </c>
      <c r="I84" s="98" t="str">
        <f>IFERROR(__xludf.DUMMYFUNCTION("""COMPUTED_VALUE"""),"Colombo Metro")</f>
        <v>Colombo Metro</v>
      </c>
      <c r="J84" s="98" t="str">
        <f>IFERROR(__xludf.DUMMYFUNCTION("""COMPUTED_VALUE"""),"Delivered")</f>
        <v>Delivered</v>
      </c>
      <c r="K84" s="98" t="str">
        <f>IFERROR(__xludf.DUMMYFUNCTION("""COMPUTED_VALUE"""),"Domestic")</f>
        <v>Domestic</v>
      </c>
      <c r="L84" s="98" t="str">
        <f>IFERROR(__xludf.DUMMYFUNCTION("""COMPUTED_VALUE"""),"Informed Domestic Department")</f>
        <v>Informed Domestic Department</v>
      </c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>
      <c r="A85" s="82"/>
      <c r="B85" s="106" t="str">
        <f>IFERROR(__xludf.DUMMYFUNCTION("""COMPUTED_VALUE"""),"42")</f>
        <v>42</v>
      </c>
      <c r="C85" s="106" t="str">
        <f>IFERROR(__xludf.DUMMYFUNCTION("""COMPUTED_VALUE"""),"Mandari")</f>
        <v>Mandari</v>
      </c>
      <c r="D85" s="106" t="str">
        <f>IFERROR(__xludf.DUMMYFUNCTION("""COMPUTED_VALUE"""),"352265997")</f>
        <v>352265997</v>
      </c>
      <c r="E85" s="106" t="str">
        <f>IFERROR(__xludf.DUMMYFUNCTION("""COMPUTED_VALUE"""),"N")</f>
        <v>N</v>
      </c>
      <c r="F85" s="106" t="str">
        <f>IFERROR(__xludf.DUMMYFUNCTION("""COMPUTED_VALUE"""),"Aurex Core")</f>
        <v>Aurex Core</v>
      </c>
      <c r="G85" s="106" t="str">
        <f>IFERROR(__xludf.DUMMYFUNCTION("""COMPUTED_VALUE"""),"BE090447")</f>
        <v>BE090447</v>
      </c>
      <c r="H85" s="106" t="str">
        <f>IFERROR(__xludf.DUMMYFUNCTION("""COMPUTED_VALUE"""),"Arrange To Deliver Today")</f>
        <v>Arrange To Deliver Today</v>
      </c>
      <c r="I85" s="106" t="str">
        <f>IFERROR(__xludf.DUMMYFUNCTION("""COMPUTED_VALUE"""),"Kegalle")</f>
        <v>Kegalle</v>
      </c>
      <c r="J85" s="106" t="str">
        <f>IFERROR(__xludf.DUMMYFUNCTION("""COMPUTED_VALUE"""),"Out For Delivery")</f>
        <v>Out For Delivery</v>
      </c>
      <c r="K85" s="106" t="str">
        <f>IFERROR(__xludf.DUMMYFUNCTION("""COMPUTED_VALUE"""),"Branch Operations")</f>
        <v>Branch Operations</v>
      </c>
      <c r="L85" s="106" t="str">
        <f>IFERROR(__xludf.DUMMYFUNCTION("""COMPUTED_VALUE"""),"Informed Branch")</f>
        <v>Informed Branch</v>
      </c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>
      <c r="A86" s="82"/>
      <c r="B86" s="98" t="str">
        <f>IFERROR(__xludf.DUMMYFUNCTION("""COMPUTED_VALUE"""),"43")</f>
        <v>43</v>
      </c>
      <c r="C86" s="98" t="str">
        <f>IFERROR(__xludf.DUMMYFUNCTION("""COMPUTED_VALUE"""),"Mandari")</f>
        <v>Mandari</v>
      </c>
      <c r="D86" s="98" t="str">
        <f>IFERROR(__xludf.DUMMYFUNCTION("""COMPUTED_VALUE"""),"782354351")</f>
        <v>782354351</v>
      </c>
      <c r="E86" s="98" t="str">
        <f>IFERROR(__xludf.DUMMYFUNCTION("""COMPUTED_VALUE"""),"N")</f>
        <v>N</v>
      </c>
      <c r="F86" s="98" t="str">
        <f>IFERROR(__xludf.DUMMYFUNCTION("""COMPUTED_VALUE"""),"Aurex Core")</f>
        <v>Aurex Core</v>
      </c>
      <c r="G86" s="98" t="str">
        <f>IFERROR(__xludf.DUMMYFUNCTION("""COMPUTED_VALUE"""),"BE090447")</f>
        <v>BE090447</v>
      </c>
      <c r="H86" s="98" t="str">
        <f>IFERROR(__xludf.DUMMYFUNCTION("""COMPUTED_VALUE"""),"Monaragala Branch No")</f>
        <v>Monaragala Branch No</v>
      </c>
      <c r="I86" s="98" t="str">
        <f>IFERROR(__xludf.DUMMYFUNCTION("""COMPUTED_VALUE"""),"Kegalle")</f>
        <v>Kegalle</v>
      </c>
      <c r="J86" s="98" t="str">
        <f>IFERROR(__xludf.DUMMYFUNCTION("""COMPUTED_VALUE"""),"Out For Delivery")</f>
        <v>Out For Delivery</v>
      </c>
      <c r="K86" s="98" t="str">
        <f>IFERROR(__xludf.DUMMYFUNCTION("""COMPUTED_VALUE"""),"Customer Care")</f>
        <v>Customer Care</v>
      </c>
      <c r="L86" s="98" t="str">
        <f>IFERROR(__xludf.DUMMYFUNCTION("""COMPUTED_VALUE"""),"Given No")</f>
        <v>Given No</v>
      </c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>
      <c r="A87" s="82"/>
      <c r="B87" s="106" t="str">
        <f>IFERROR(__xludf.DUMMYFUNCTION("""COMPUTED_VALUE"""),"44")</f>
        <v>44</v>
      </c>
      <c r="C87" s="106" t="str">
        <f>IFERROR(__xludf.DUMMYFUNCTION("""COMPUTED_VALUE"""),"Mandari")</f>
        <v>Mandari</v>
      </c>
      <c r="D87" s="106" t="str">
        <f>IFERROR(__xludf.DUMMYFUNCTION("""COMPUTED_VALUE"""),"719991233")</f>
        <v>719991233</v>
      </c>
      <c r="E87" s="106" t="str">
        <f>IFERROR(__xludf.DUMMYFUNCTION("""COMPUTED_VALUE"""),"N")</f>
        <v>N</v>
      </c>
      <c r="F87" s="106" t="str">
        <f>IFERROR(__xludf.DUMMYFUNCTION("""COMPUTED_VALUE"""),"Dolly'Fashion")</f>
        <v>Dolly'Fashion</v>
      </c>
      <c r="G87" s="106" t="str">
        <f>IFERROR(__xludf.DUMMYFUNCTION("""COMPUTED_VALUE"""),"BA766431")</f>
        <v>BA766431</v>
      </c>
      <c r="H87" s="106" t="str">
        <f>IFERROR(__xludf.DUMMYFUNCTION("""COMPUTED_VALUE"""),"Arrange To Deliver Tomorrow / Top Urgant")</f>
        <v>Arrange To Deliver Tomorrow / Top Urgant</v>
      </c>
      <c r="I87" s="106" t="str">
        <f>IFERROR(__xludf.DUMMYFUNCTION("""COMPUTED_VALUE"""),"Rajagiriya")</f>
        <v>Rajagiriya</v>
      </c>
      <c r="J87" s="106" t="str">
        <f>IFERROR(__xludf.DUMMYFUNCTION("""COMPUTED_VALUE"""),"Re-Delivery")</f>
        <v>Re-Delivery</v>
      </c>
      <c r="K87" s="106" t="str">
        <f>IFERROR(__xludf.DUMMYFUNCTION("""COMPUTED_VALUE"""),"Branch Operations")</f>
        <v>Branch Operations</v>
      </c>
      <c r="L87" s="106" t="str">
        <f>IFERROR(__xludf.DUMMYFUNCTION("""COMPUTED_VALUE"""),"Informed Branch")</f>
        <v>Informed Branch</v>
      </c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>
      <c r="A88" s="82"/>
      <c r="B88" s="98" t="str">
        <f>IFERROR(__xludf.DUMMYFUNCTION("""COMPUTED_VALUE"""),"45")</f>
        <v>45</v>
      </c>
      <c r="C88" s="98" t="str">
        <f>IFERROR(__xludf.DUMMYFUNCTION("""COMPUTED_VALUE"""),"Mandari")</f>
        <v>Mandari</v>
      </c>
      <c r="D88" s="98" t="str">
        <f>IFERROR(__xludf.DUMMYFUNCTION("""COMPUTED_VALUE"""),"778799854")</f>
        <v>778799854</v>
      </c>
      <c r="E88" s="98" t="str">
        <f>IFERROR(__xludf.DUMMYFUNCTION("""COMPUTED_VALUE"""),"N")</f>
        <v>N</v>
      </c>
      <c r="F88" s="98" t="str">
        <f>IFERROR(__xludf.DUMMYFUNCTION("""COMPUTED_VALUE"""),"Dolly'Fashion")</f>
        <v>Dolly'Fashion</v>
      </c>
      <c r="G88" s="98" t="str">
        <f>IFERROR(__xludf.DUMMYFUNCTION("""COMPUTED_VALUE"""),"BA766431")</f>
        <v>BA766431</v>
      </c>
      <c r="H88" s="98" t="str">
        <f>IFERROR(__xludf.DUMMYFUNCTION("""COMPUTED_VALUE"""),"Answerd &amp; Cut The Line")</f>
        <v>Answerd &amp; Cut The Line</v>
      </c>
      <c r="I88" s="98" t="str">
        <f>IFERROR(__xludf.DUMMYFUNCTION("""COMPUTED_VALUE"""),"Rajagiriya")</f>
        <v>Rajagiriya</v>
      </c>
      <c r="J88" s="98" t="str">
        <f>IFERROR(__xludf.DUMMYFUNCTION("""COMPUTED_VALUE"""),"Re-Delivery")</f>
        <v>Re-Delivery</v>
      </c>
      <c r="K88" s="98" t="str">
        <f>IFERROR(__xludf.DUMMYFUNCTION("""COMPUTED_VALUE"""),"Customer Care")</f>
        <v>Customer Care</v>
      </c>
      <c r="L88" s="98" t="str">
        <f>IFERROR(__xludf.DUMMYFUNCTION("""COMPUTED_VALUE"""),"Disconnect")</f>
        <v>Disconnect</v>
      </c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>
      <c r="A89" s="82"/>
      <c r="B89" s="106" t="str">
        <f>IFERROR(__xludf.DUMMYFUNCTION("""COMPUTED_VALUE"""),"46")</f>
        <v>46</v>
      </c>
      <c r="C89" s="106" t="str">
        <f>IFERROR(__xludf.DUMMYFUNCTION("""COMPUTED_VALUE"""),"Mandari")</f>
        <v>Mandari</v>
      </c>
      <c r="D89" s="106" t="str">
        <f>IFERROR(__xludf.DUMMYFUNCTION("""COMPUTED_VALUE"""),"756335640")</f>
        <v>756335640</v>
      </c>
      <c r="E89" s="106" t="str">
        <f>IFERROR(__xludf.DUMMYFUNCTION("""COMPUTED_VALUE"""),"N")</f>
        <v>N</v>
      </c>
      <c r="F89" s="106" t="str">
        <f>IFERROR(__xludf.DUMMYFUNCTION("""COMPUTED_VALUE"""),"The Axon")</f>
        <v>The Axon</v>
      </c>
      <c r="G89" s="106" t="str">
        <f>IFERROR(__xludf.DUMMYFUNCTION("""COMPUTED_VALUE"""),"BD935969")</f>
        <v>BD935969</v>
      </c>
      <c r="H89" s="106" t="str">
        <f>IFERROR(__xludf.DUMMYFUNCTION("""COMPUTED_VALUE"""),"Customer Want Return This Package")</f>
        <v>Customer Want Return This Package</v>
      </c>
      <c r="I89" s="106" t="str">
        <f>IFERROR(__xludf.DUMMYFUNCTION("""COMPUTED_VALUE"""),"Nuwara Eliya")</f>
        <v>Nuwara Eliya</v>
      </c>
      <c r="J89" s="106" t="str">
        <f>IFERROR(__xludf.DUMMYFUNCTION("""COMPUTED_VALUE"""),"Delivered")</f>
        <v>Delivered</v>
      </c>
      <c r="K89" s="106" t="str">
        <f>IFERROR(__xludf.DUMMYFUNCTION("""COMPUTED_VALUE"""),"Branch Operations")</f>
        <v>Branch Operations</v>
      </c>
      <c r="L89" s="106" t="str">
        <f>IFERROR(__xludf.DUMMYFUNCTION("""COMPUTED_VALUE"""),"Informed Deepika Genzo")</f>
        <v>Informed Deepika Genzo</v>
      </c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>
      <c r="A90" s="82"/>
      <c r="B90" s="98" t="str">
        <f>IFERROR(__xludf.DUMMYFUNCTION("""COMPUTED_VALUE"""),"47")</f>
        <v>47</v>
      </c>
      <c r="C90" s="98" t="str">
        <f>IFERROR(__xludf.DUMMYFUNCTION("""COMPUTED_VALUE"""),"Mandari")</f>
        <v>Mandari</v>
      </c>
      <c r="D90" s="98" t="str">
        <f>IFERROR(__xludf.DUMMYFUNCTION("""COMPUTED_VALUE"""),"716612485")</f>
        <v>716612485</v>
      </c>
      <c r="E90" s="98" t="str">
        <f>IFERROR(__xludf.DUMMYFUNCTION("""COMPUTED_VALUE"""),"Y")</f>
        <v>Y</v>
      </c>
      <c r="F90" s="98" t="str">
        <f>IFERROR(__xludf.DUMMYFUNCTION("""COMPUTED_VALUE"""),"The Axon")</f>
        <v>The Axon</v>
      </c>
      <c r="G90" s="98" t="str">
        <f>IFERROR(__xludf.DUMMYFUNCTION("""COMPUTED_VALUE"""),"BD935969")</f>
        <v>BD935969</v>
      </c>
      <c r="H90" s="98" t="str">
        <f>IFERROR(__xludf.DUMMYFUNCTION("""COMPUTED_VALUE"""),"Asked Some Details")</f>
        <v>Asked Some Details</v>
      </c>
      <c r="I90" s="98" t="str">
        <f>IFERROR(__xludf.DUMMYFUNCTION("""COMPUTED_VALUE"""),"Nuwara Eliya")</f>
        <v>Nuwara Eliya</v>
      </c>
      <c r="J90" s="98" t="str">
        <f>IFERROR(__xludf.DUMMYFUNCTION("""COMPUTED_VALUE"""),"Delivered")</f>
        <v>Delivered</v>
      </c>
      <c r="K90" s="98" t="str">
        <f>IFERROR(__xludf.DUMMYFUNCTION("""COMPUTED_VALUE"""),"Customer Care")</f>
        <v>Customer Care</v>
      </c>
      <c r="L90" s="98" t="str">
        <f>IFERROR(__xludf.DUMMYFUNCTION("""COMPUTED_VALUE"""),"Done")</f>
        <v>Done</v>
      </c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>
      <c r="A91" s="82"/>
      <c r="B91" s="106" t="str">
        <f>IFERROR(__xludf.DUMMYFUNCTION("""COMPUTED_VALUE"""),"48")</f>
        <v>48</v>
      </c>
      <c r="C91" s="106" t="str">
        <f>IFERROR(__xludf.DUMMYFUNCTION("""COMPUTED_VALUE"""),"Mandari")</f>
        <v>Mandari</v>
      </c>
      <c r="D91" s="106" t="str">
        <f>IFERROR(__xludf.DUMMYFUNCTION("""COMPUTED_VALUE"""),"762584307")</f>
        <v>762584307</v>
      </c>
      <c r="E91" s="106" t="str">
        <f>IFERROR(__xludf.DUMMYFUNCTION("""COMPUTED_VALUE"""),"N")</f>
        <v>N</v>
      </c>
      <c r="F91" s="106" t="str">
        <f>IFERROR(__xludf.DUMMYFUNCTION("""COMPUTED_VALUE"""),"Neha Skin")</f>
        <v>Neha Skin</v>
      </c>
      <c r="G91" s="106" t="str">
        <f>IFERROR(__xludf.DUMMYFUNCTION("""COMPUTED_VALUE"""),"BE098496")</f>
        <v>BE098496</v>
      </c>
      <c r="H91" s="106" t="str">
        <f>IFERROR(__xludf.DUMMYFUNCTION("""COMPUTED_VALUE"""),"Arrange To Deliver Today")</f>
        <v>Arrange To Deliver Today</v>
      </c>
      <c r="I91" s="106" t="str">
        <f>IFERROR(__xludf.DUMMYFUNCTION("""COMPUTED_VALUE"""),"Padukka")</f>
        <v>Padukka</v>
      </c>
      <c r="J91" s="106" t="str">
        <f>IFERROR(__xludf.DUMMYFUNCTION("""COMPUTED_VALUE"""),"Out For Delivery")</f>
        <v>Out For Delivery</v>
      </c>
      <c r="K91" s="106" t="str">
        <f>IFERROR(__xludf.DUMMYFUNCTION("""COMPUTED_VALUE"""),"Branch Operations")</f>
        <v>Branch Operations</v>
      </c>
      <c r="L91" s="106" t="str">
        <f>IFERROR(__xludf.DUMMYFUNCTION("""COMPUTED_VALUE"""),"Informed Branch")</f>
        <v>Informed Branch</v>
      </c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>
      <c r="A92" s="82"/>
      <c r="B92" s="98" t="str">
        <f>IFERROR(__xludf.DUMMYFUNCTION("""COMPUTED_VALUE"""),"49")</f>
        <v>49</v>
      </c>
      <c r="C92" s="98" t="str">
        <f>IFERROR(__xludf.DUMMYFUNCTION("""COMPUTED_VALUE"""),"Mandari")</f>
        <v>Mandari</v>
      </c>
      <c r="D92" s="98" t="str">
        <f>IFERROR(__xludf.DUMMYFUNCTION("""COMPUTED_VALUE"""),"710757047")</f>
        <v>710757047</v>
      </c>
      <c r="E92" s="98" t="str">
        <f>IFERROR(__xludf.DUMMYFUNCTION("""COMPUTED_VALUE"""),"N")</f>
        <v>N</v>
      </c>
      <c r="F92" s="98" t="str">
        <f>IFERROR(__xludf.DUMMYFUNCTION("""COMPUTED_VALUE"""),"Neha Skin")</f>
        <v>Neha Skin</v>
      </c>
      <c r="G92" s="98" t="str">
        <f>IFERROR(__xludf.DUMMYFUNCTION("""COMPUTED_VALUE"""),"BE098496")</f>
        <v>BE098496</v>
      </c>
      <c r="H92" s="98" t="str">
        <f>IFERROR(__xludf.DUMMYFUNCTION("""COMPUTED_VALUE"""),"New Register")</f>
        <v>New Register</v>
      </c>
      <c r="I92" s="98" t="str">
        <f>IFERROR(__xludf.DUMMYFUNCTION("""COMPUTED_VALUE"""),"Padukka")</f>
        <v>Padukka</v>
      </c>
      <c r="J92" s="98" t="str">
        <f>IFERROR(__xludf.DUMMYFUNCTION("""COMPUTED_VALUE"""),"Out For Delivery")</f>
        <v>Out For Delivery</v>
      </c>
      <c r="K92" s="98" t="str">
        <f>IFERROR(__xludf.DUMMYFUNCTION("""COMPUTED_VALUE"""),"Sales")</f>
        <v>Sales</v>
      </c>
      <c r="L92" s="98" t="str">
        <f>IFERROR(__xludf.DUMMYFUNCTION("""COMPUTED_VALUE"""),"Transfer Call")</f>
        <v>Transfer Call</v>
      </c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>
      <c r="A93" s="82"/>
      <c r="B93" s="106" t="str">
        <f>IFERROR(__xludf.DUMMYFUNCTION("""COMPUTED_VALUE"""),"50")</f>
        <v>50</v>
      </c>
      <c r="C93" s="106" t="str">
        <f>IFERROR(__xludf.DUMMYFUNCTION("""COMPUTED_VALUE"""),"Mandari")</f>
        <v>Mandari</v>
      </c>
      <c r="D93" s="106" t="str">
        <f>IFERROR(__xludf.DUMMYFUNCTION("""COMPUTED_VALUE"""),"702435932")</f>
        <v>702435932</v>
      </c>
      <c r="E93" s="106" t="str">
        <f>IFERROR(__xludf.DUMMYFUNCTION("""COMPUTED_VALUE"""),"N")</f>
        <v>N</v>
      </c>
      <c r="F93" s="106" t="str">
        <f>IFERROR(__xludf.DUMMYFUNCTION("""COMPUTED_VALUE"""),"Sparkly Design House Pvt Ltd")</f>
        <v>Sparkly Design House Pvt Ltd</v>
      </c>
      <c r="G93" s="106" t="str">
        <f>IFERROR(__xludf.DUMMYFUNCTION("""COMPUTED_VALUE"""),"A1106495")</f>
        <v>A1106495</v>
      </c>
      <c r="H93" s="106" t="str">
        <f>IFERROR(__xludf.DUMMYFUNCTION("""COMPUTED_VALUE"""),"Arrange To Deliver Tomorrow / Top Urgant")</f>
        <v>Arrange To Deliver Tomorrow / Top Urgant</v>
      </c>
      <c r="I93" s="106" t="str">
        <f>IFERROR(__xludf.DUMMYFUNCTION("""COMPUTED_VALUE"""),"Kadawatha")</f>
        <v>Kadawatha</v>
      </c>
      <c r="J93" s="106" t="str">
        <f>IFERROR(__xludf.DUMMYFUNCTION("""COMPUTED_VALUE"""),"Re-Delivery")</f>
        <v>Re-Delivery</v>
      </c>
      <c r="K93" s="106" t="str">
        <f>IFERROR(__xludf.DUMMYFUNCTION("""COMPUTED_VALUE"""),"Branch Operations")</f>
        <v>Branch Operations</v>
      </c>
      <c r="L93" s="106" t="str">
        <f>IFERROR(__xludf.DUMMYFUNCTION("""COMPUTED_VALUE"""),"Informed Branch")</f>
        <v>Informed Branch</v>
      </c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>
      <c r="A94" s="82"/>
      <c r="B94" s="98" t="str">
        <f>IFERROR(__xludf.DUMMYFUNCTION("""COMPUTED_VALUE"""),"52")</f>
        <v>52</v>
      </c>
      <c r="C94" s="98" t="str">
        <f>IFERROR(__xludf.DUMMYFUNCTION("""COMPUTED_VALUE"""),"Mandari")</f>
        <v>Mandari</v>
      </c>
      <c r="D94" s="98" t="str">
        <f>IFERROR(__xludf.DUMMYFUNCTION("""COMPUTED_VALUE"""),"706924934")</f>
        <v>706924934</v>
      </c>
      <c r="E94" s="98" t="str">
        <f>IFERROR(__xludf.DUMMYFUNCTION("""COMPUTED_VALUE"""),"N")</f>
        <v>N</v>
      </c>
      <c r="F94" s="108" t="str">
        <f>IFERROR(__xludf.DUMMYFUNCTION("""COMPUTED_VALUE"""),"Dominion.Lk")</f>
        <v>Dominion.Lk</v>
      </c>
      <c r="G94" s="98" t="str">
        <f>IFERROR(__xludf.DUMMYFUNCTION("""COMPUTED_VALUE"""),"BE085378")</f>
        <v>BE085378</v>
      </c>
      <c r="H94" s="98" t="str">
        <f>IFERROR(__xludf.DUMMYFUNCTION("""COMPUTED_VALUE"""),"Check &amp; Call Back")</f>
        <v>Check &amp; Call Back</v>
      </c>
      <c r="I94" s="98" t="str">
        <f>IFERROR(__xludf.DUMMYFUNCTION("""COMPUTED_VALUE"""),"Ratmalana")</f>
        <v>Ratmalana</v>
      </c>
      <c r="J94" s="98" t="str">
        <f>IFERROR(__xludf.DUMMYFUNCTION("""COMPUTED_VALUE"""),"Returned To Branch Rescheduled")</f>
        <v>Returned To Branch Rescheduled</v>
      </c>
      <c r="K94" s="98" t="str">
        <f>IFERROR(__xludf.DUMMYFUNCTION("""COMPUTED_VALUE"""),"Branch Operations")</f>
        <v>Branch Operations</v>
      </c>
      <c r="L94" s="98" t="str">
        <f>IFERROR(__xludf.DUMMYFUNCTION("""COMPUTED_VALUE"""),"Done")</f>
        <v>Done</v>
      </c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>
      <c r="A95" s="82"/>
      <c r="B95" s="106" t="str">
        <f>IFERROR(__xludf.DUMMYFUNCTION("""COMPUTED_VALUE"""),"53")</f>
        <v>53</v>
      </c>
      <c r="C95" s="106" t="str">
        <f>IFERROR(__xludf.DUMMYFUNCTION("""COMPUTED_VALUE"""),"Mandari")</f>
        <v>Mandari</v>
      </c>
      <c r="D95" s="106" t="str">
        <f>IFERROR(__xludf.DUMMYFUNCTION("""COMPUTED_VALUE"""),"778273462")</f>
        <v>778273462</v>
      </c>
      <c r="E95" s="106" t="str">
        <f>IFERROR(__xludf.DUMMYFUNCTION("""COMPUTED_VALUE"""),"N")</f>
        <v>N</v>
      </c>
      <c r="F95" s="107" t="str">
        <f>IFERROR(__xludf.DUMMYFUNCTION("""COMPUTED_VALUE"""),"Dominion.Lk")</f>
        <v>Dominion.Lk</v>
      </c>
      <c r="G95" s="106" t="str">
        <f>IFERROR(__xludf.DUMMYFUNCTION("""COMPUTED_VALUE"""),"BE085378")</f>
        <v>BE085378</v>
      </c>
      <c r="H95" s="106" t="str">
        <f>IFERROR(__xludf.DUMMYFUNCTION("""COMPUTED_VALUE"""),"Horana Branch No")</f>
        <v>Horana Branch No</v>
      </c>
      <c r="I95" s="106" t="str">
        <f>IFERROR(__xludf.DUMMYFUNCTION("""COMPUTED_VALUE"""),"Ratmalana")</f>
        <v>Ratmalana</v>
      </c>
      <c r="J95" s="106" t="str">
        <f>IFERROR(__xludf.DUMMYFUNCTION("""COMPUTED_VALUE"""),"Returned To Branch Rescheduled")</f>
        <v>Returned To Branch Rescheduled</v>
      </c>
      <c r="K95" s="106" t="str">
        <f>IFERROR(__xludf.DUMMYFUNCTION("""COMPUTED_VALUE"""),"Customer Care")</f>
        <v>Customer Care</v>
      </c>
      <c r="L95" s="106" t="str">
        <f>IFERROR(__xludf.DUMMYFUNCTION("""COMPUTED_VALUE"""),"Given No")</f>
        <v>Given No</v>
      </c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>
      <c r="A96" s="82"/>
      <c r="B96" s="98" t="str">
        <f>IFERROR(__xludf.DUMMYFUNCTION("""COMPUTED_VALUE"""),"54")</f>
        <v>54</v>
      </c>
      <c r="C96" s="98" t="str">
        <f>IFERROR(__xludf.DUMMYFUNCTION("""COMPUTED_VALUE"""),"Mandari")</f>
        <v>Mandari</v>
      </c>
      <c r="D96" s="98" t="str">
        <f>IFERROR(__xludf.DUMMYFUNCTION("""COMPUTED_VALUE"""),"769140589")</f>
        <v>769140589</v>
      </c>
      <c r="E96" s="98" t="str">
        <f>IFERROR(__xludf.DUMMYFUNCTION("""COMPUTED_VALUE"""),"N")</f>
        <v>N</v>
      </c>
      <c r="F96" s="98" t="str">
        <f>IFERROR(__xludf.DUMMYFUNCTION("""COMPUTED_VALUE"""),"Expert Lanka New")</f>
        <v>Expert Lanka New</v>
      </c>
      <c r="G96" s="98" t="str">
        <f>IFERROR(__xludf.DUMMYFUNCTION("""COMPUTED_VALUE"""),"BE024503")</f>
        <v>BE024503</v>
      </c>
      <c r="H96" s="98" t="str">
        <f>IFERROR(__xludf.DUMMYFUNCTION("""COMPUTED_VALUE"""),"Arrange To Deliver Tomorrow / Top Urgant")</f>
        <v>Arrange To Deliver Tomorrow / Top Urgant</v>
      </c>
      <c r="I96" s="98" t="str">
        <f>IFERROR(__xludf.DUMMYFUNCTION("""COMPUTED_VALUE"""),"Kahatagasdigiliya")</f>
        <v>Kahatagasdigiliya</v>
      </c>
      <c r="J96" s="98" t="str">
        <f>IFERROR(__xludf.DUMMYFUNCTION("""COMPUTED_VALUE"""),"Returned To Branch Rescheduled")</f>
        <v>Returned To Branch Rescheduled</v>
      </c>
      <c r="K96" s="98" t="str">
        <f>IFERROR(__xludf.DUMMYFUNCTION("""COMPUTED_VALUE"""),"Branch Operations")</f>
        <v>Branch Operations</v>
      </c>
      <c r="L96" s="98" t="str">
        <f>IFERROR(__xludf.DUMMYFUNCTION("""COMPUTED_VALUE"""),"Informed Branch")</f>
        <v>Informed Branch</v>
      </c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>
      <c r="A97" s="82"/>
      <c r="B97" s="106" t="str">
        <f>IFERROR(__xludf.DUMMYFUNCTION("""COMPUTED_VALUE"""),"55")</f>
        <v>55</v>
      </c>
      <c r="C97" s="106" t="str">
        <f>IFERROR(__xludf.DUMMYFUNCTION("""COMPUTED_VALUE"""),"Mandari")</f>
        <v>Mandari</v>
      </c>
      <c r="D97" s="106" t="str">
        <f>IFERROR(__xludf.DUMMYFUNCTION("""COMPUTED_VALUE"""),"779989148")</f>
        <v>779989148</v>
      </c>
      <c r="E97" s="106" t="str">
        <f>IFERROR(__xludf.DUMMYFUNCTION("""COMPUTED_VALUE"""),"N")</f>
        <v>N</v>
      </c>
      <c r="F97" s="107" t="str">
        <f>IFERROR(__xludf.DUMMYFUNCTION("""COMPUTED_VALUE"""),"Victoriaceyloan.Lk")</f>
        <v>Victoriaceyloan.Lk</v>
      </c>
      <c r="G97" s="106" t="str">
        <f>IFERROR(__xludf.DUMMYFUNCTION("""COMPUTED_VALUE"""),"BD568906")</f>
        <v>BD568906</v>
      </c>
      <c r="H97" s="106" t="str">
        <f>IFERROR(__xludf.DUMMYFUNCTION("""COMPUTED_VALUE"""),"Customer Want Return This Package")</f>
        <v>Customer Want Return This Package</v>
      </c>
      <c r="I97" s="106" t="str">
        <f>IFERROR(__xludf.DUMMYFUNCTION("""COMPUTED_VALUE"""),"Imaduwa")</f>
        <v>Imaduwa</v>
      </c>
      <c r="J97" s="106" t="str">
        <f>IFERROR(__xludf.DUMMYFUNCTION("""COMPUTED_VALUE"""),"Delivered")</f>
        <v>Delivered</v>
      </c>
      <c r="K97" s="106" t="str">
        <f>IFERROR(__xludf.DUMMYFUNCTION("""COMPUTED_VALUE"""),"Customer Care")</f>
        <v>Customer Care</v>
      </c>
      <c r="L97" s="106" t="str">
        <f>IFERROR(__xludf.DUMMYFUNCTION("""COMPUTED_VALUE"""),"Informed Cline")</f>
        <v>Informed Cline</v>
      </c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>
      <c r="A98" s="82"/>
      <c r="B98" s="98" t="str">
        <f>IFERROR(__xludf.DUMMYFUNCTION("""COMPUTED_VALUE"""),"56")</f>
        <v>56</v>
      </c>
      <c r="C98" s="98" t="str">
        <f>IFERROR(__xludf.DUMMYFUNCTION("""COMPUTED_VALUE"""),"Mandari")</f>
        <v>Mandari</v>
      </c>
      <c r="D98" s="98" t="str">
        <f>IFERROR(__xludf.DUMMYFUNCTION("""COMPUTED_VALUE"""),"711767694")</f>
        <v>711767694</v>
      </c>
      <c r="E98" s="98" t="str">
        <f>IFERROR(__xludf.DUMMYFUNCTION("""COMPUTED_VALUE"""),"N")</f>
        <v>N</v>
      </c>
      <c r="F98" s="98" t="str">
        <f>IFERROR(__xludf.DUMMYFUNCTION("""COMPUTED_VALUE"""),"Happyfly")</f>
        <v>Happyfly</v>
      </c>
      <c r="G98" s="98" t="str">
        <f>IFERROR(__xludf.DUMMYFUNCTION("""COMPUTED_VALUE"""),"BE134651")</f>
        <v>BE134651</v>
      </c>
      <c r="H98" s="98" t="str">
        <f>IFERROR(__xludf.DUMMYFUNCTION("""COMPUTED_VALUE"""),"Customer Want Return This Package")</f>
        <v>Customer Want Return This Package</v>
      </c>
      <c r="I98" s="98" t="str">
        <f>IFERROR(__xludf.DUMMYFUNCTION("""COMPUTED_VALUE"""),"Wattala")</f>
        <v>Wattala</v>
      </c>
      <c r="J98" s="98" t="str">
        <f>IFERROR(__xludf.DUMMYFUNCTION("""COMPUTED_VALUE"""),"Out For Delivery")</f>
        <v>Out For Delivery</v>
      </c>
      <c r="K98" s="98" t="str">
        <f>IFERROR(__xludf.DUMMYFUNCTION("""COMPUTED_VALUE"""),"Key Accounts")</f>
        <v>Key Accounts</v>
      </c>
      <c r="L98" s="98" t="str">
        <f>IFERROR(__xludf.DUMMYFUNCTION("""COMPUTED_VALUE"""),"Informed Key Ecc")</f>
        <v>Informed Key Ecc</v>
      </c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>
      <c r="A99" s="82"/>
      <c r="B99" s="106" t="str">
        <f>IFERROR(__xludf.DUMMYFUNCTION("""COMPUTED_VALUE"""),"57")</f>
        <v>57</v>
      </c>
      <c r="C99" s="106" t="str">
        <f>IFERROR(__xludf.DUMMYFUNCTION("""COMPUTED_VALUE"""),"Mandari")</f>
        <v>Mandari</v>
      </c>
      <c r="D99" s="106" t="str">
        <f>IFERROR(__xludf.DUMMYFUNCTION("""COMPUTED_VALUE"""),"705558488")</f>
        <v>705558488</v>
      </c>
      <c r="E99" s="106" t="str">
        <f>IFERROR(__xludf.DUMMYFUNCTION("""COMPUTED_VALUE"""),"N")</f>
        <v>N</v>
      </c>
      <c r="F99" s="106" t="str">
        <f>IFERROR(__xludf.DUMMYFUNCTION("""COMPUTED_VALUE"""),"Happyfly")</f>
        <v>Happyfly</v>
      </c>
      <c r="G99" s="106" t="str">
        <f>IFERROR(__xludf.DUMMYFUNCTION("""COMPUTED_VALUE"""),"BE134651")</f>
        <v>BE134651</v>
      </c>
      <c r="H99" s="106" t="str">
        <f>IFERROR(__xludf.DUMMYFUNCTION("""COMPUTED_VALUE"""),"Mathara Branch Location")</f>
        <v>Mathara Branch Location</v>
      </c>
      <c r="I99" s="106" t="str">
        <f>IFERROR(__xludf.DUMMYFUNCTION("""COMPUTED_VALUE"""),"Wattala")</f>
        <v>Wattala</v>
      </c>
      <c r="J99" s="106" t="str">
        <f>IFERROR(__xludf.DUMMYFUNCTION("""COMPUTED_VALUE"""),"Out For Delivery")</f>
        <v>Out For Delivery</v>
      </c>
      <c r="K99" s="106" t="str">
        <f>IFERROR(__xludf.DUMMYFUNCTION("""COMPUTED_VALUE"""),"Customer Care")</f>
        <v>Customer Care</v>
      </c>
      <c r="L99" s="106" t="str">
        <f>IFERROR(__xludf.DUMMYFUNCTION("""COMPUTED_VALUE"""),"Done")</f>
        <v>Done</v>
      </c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>
      <c r="A100" s="82"/>
      <c r="B100" s="98" t="str">
        <f>IFERROR(__xludf.DUMMYFUNCTION("""COMPUTED_VALUE"""),"58")</f>
        <v>58</v>
      </c>
      <c r="C100" s="98" t="str">
        <f>IFERROR(__xludf.DUMMYFUNCTION("""COMPUTED_VALUE"""),"Mandari")</f>
        <v>Mandari</v>
      </c>
      <c r="D100" s="98" t="str">
        <f>IFERROR(__xludf.DUMMYFUNCTION("""COMPUTED_VALUE"""),"702595357")</f>
        <v>702595357</v>
      </c>
      <c r="E100" s="98" t="str">
        <f>IFERROR(__xludf.DUMMYFUNCTION("""COMPUTED_VALUE"""),"Y")</f>
        <v>Y</v>
      </c>
      <c r="F100" s="98" t="str">
        <f>IFERROR(__xludf.DUMMYFUNCTION("""COMPUTED_VALUE"""),"Happyfly")</f>
        <v>Happyfly</v>
      </c>
      <c r="G100" s="98" t="str">
        <f>IFERROR(__xludf.DUMMYFUNCTION("""COMPUTED_VALUE"""),"BE134651")</f>
        <v>BE134651</v>
      </c>
      <c r="H100" s="98" t="str">
        <f>IFERROR(__xludf.DUMMYFUNCTION("""COMPUTED_VALUE"""),"Mathara Branch Location")</f>
        <v>Mathara Branch Location</v>
      </c>
      <c r="I100" s="98" t="str">
        <f>IFERROR(__xludf.DUMMYFUNCTION("""COMPUTED_VALUE"""),"Wattala")</f>
        <v>Wattala</v>
      </c>
      <c r="J100" s="98" t="str">
        <f>IFERROR(__xludf.DUMMYFUNCTION("""COMPUTED_VALUE"""),"Out For Delivery")</f>
        <v>Out For Delivery</v>
      </c>
      <c r="K100" s="98" t="str">
        <f>IFERROR(__xludf.DUMMYFUNCTION("""COMPUTED_VALUE"""),"Customer Care")</f>
        <v>Customer Care</v>
      </c>
      <c r="L100" s="98" t="str">
        <f>IFERROR(__xludf.DUMMYFUNCTION("""COMPUTED_VALUE"""),"Done")</f>
        <v>Done</v>
      </c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>
      <c r="A101" s="82"/>
      <c r="B101" s="106" t="str">
        <f>IFERROR(__xludf.DUMMYFUNCTION("""COMPUTED_VALUE"""),"59")</f>
        <v>59</v>
      </c>
      <c r="C101" s="106" t="str">
        <f>IFERROR(__xludf.DUMMYFUNCTION("""COMPUTED_VALUE"""),"Mandari")</f>
        <v>Mandari</v>
      </c>
      <c r="D101" s="106" t="str">
        <f>IFERROR(__xludf.DUMMYFUNCTION("""COMPUTED_VALUE"""),"764967953")</f>
        <v>764967953</v>
      </c>
      <c r="E101" s="106" t="str">
        <f>IFERROR(__xludf.DUMMYFUNCTION("""COMPUTED_VALUE"""),"N")</f>
        <v>N</v>
      </c>
      <c r="F101" s="106" t="str">
        <f>IFERROR(__xludf.DUMMYFUNCTION("""COMPUTED_VALUE"""),"Spell Haven")</f>
        <v>Spell Haven</v>
      </c>
      <c r="G101" s="106" t="str">
        <f>IFERROR(__xludf.DUMMYFUNCTION("""COMPUTED_VALUE"""),"BE089266")</f>
        <v>BE089266</v>
      </c>
      <c r="H101" s="106" t="str">
        <f>IFERROR(__xludf.DUMMYFUNCTION("""COMPUTED_VALUE"""),"Re Delivery - 7/1")</f>
        <v>Re Delivery - 7/1</v>
      </c>
      <c r="I101" s="106" t="str">
        <f>IFERROR(__xludf.DUMMYFUNCTION("""COMPUTED_VALUE"""),"Minuwangoda")</f>
        <v>Minuwangoda</v>
      </c>
      <c r="J101" s="106" t="str">
        <f>IFERROR(__xludf.DUMMYFUNCTION("""COMPUTED_VALUE"""),"Returned To Branch Failed To Deliver")</f>
        <v>Returned To Branch Failed To Deliver</v>
      </c>
      <c r="K101" s="106" t="str">
        <f>IFERROR(__xludf.DUMMYFUNCTION("""COMPUTED_VALUE"""),"Branch Operations")</f>
        <v>Branch Operations</v>
      </c>
      <c r="L101" s="106" t="str">
        <f>IFERROR(__xludf.DUMMYFUNCTION("""COMPUTED_VALUE"""),"Informed Branch")</f>
        <v>Informed Branch</v>
      </c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>
      <c r="A102" s="82"/>
      <c r="B102" s="98" t="str">
        <f>IFERROR(__xludf.DUMMYFUNCTION("""COMPUTED_VALUE"""),"60")</f>
        <v>60</v>
      </c>
      <c r="C102" s="98"/>
      <c r="D102" s="98" t="str">
        <f>IFERROR(__xludf.DUMMYFUNCTION("""COMPUTED_VALUE"""),"701952286")</f>
        <v>701952286</v>
      </c>
      <c r="E102" s="98" t="str">
        <f>IFERROR(__xludf.DUMMYFUNCTION("""COMPUTED_VALUE"""),"Y")</f>
        <v>Y</v>
      </c>
      <c r="F102" s="98" t="str">
        <f>IFERROR(__xludf.DUMMYFUNCTION("""COMPUTED_VALUE"""),"Shani Co.")</f>
        <v>Shani Co.</v>
      </c>
      <c r="G102" s="98" t="str">
        <f>IFERROR(__xludf.DUMMYFUNCTION("""COMPUTED_VALUE"""),"A4409255")</f>
        <v>A4409255</v>
      </c>
      <c r="H102" s="98" t="str">
        <f>IFERROR(__xludf.DUMMYFUNCTION("""COMPUTED_VALUE"""),"Arrange To Deliver Tomorrow / Top Urgant")</f>
        <v>Arrange To Deliver Tomorrow / Top Urgant</v>
      </c>
      <c r="I102" s="98" t="str">
        <f>IFERROR(__xludf.DUMMYFUNCTION("""COMPUTED_VALUE"""),"Akuressa")</f>
        <v>Akuressa</v>
      </c>
      <c r="J102" s="98" t="str">
        <f>IFERROR(__xludf.DUMMYFUNCTION("""COMPUTED_VALUE"""),"Returned To Branch Rescheduled")</f>
        <v>Returned To Branch Rescheduled</v>
      </c>
      <c r="K102" s="98" t="str">
        <f>IFERROR(__xludf.DUMMYFUNCTION("""COMPUTED_VALUE"""),"Branch Operations")</f>
        <v>Branch Operations</v>
      </c>
      <c r="L102" s="98" t="str">
        <f>IFERROR(__xludf.DUMMYFUNCTION("""COMPUTED_VALUE"""),"Informed Branch")</f>
        <v>Informed Branch</v>
      </c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>
      <c r="A103" s="82"/>
      <c r="B103" s="106" t="str">
        <f>IFERROR(__xludf.DUMMYFUNCTION("""COMPUTED_VALUE"""),"61")</f>
        <v>61</v>
      </c>
      <c r="C103" s="106" t="str">
        <f>IFERROR(__xludf.DUMMYFUNCTION("""COMPUTED_VALUE"""),"Mandari")</f>
        <v>Mandari</v>
      </c>
      <c r="D103" s="106" t="str">
        <f>IFERROR(__xludf.DUMMYFUNCTION("""COMPUTED_VALUE"""),"778101147")</f>
        <v>778101147</v>
      </c>
      <c r="E103" s="106" t="str">
        <f>IFERROR(__xludf.DUMMYFUNCTION("""COMPUTED_VALUE"""),"Y")</f>
        <v>Y</v>
      </c>
      <c r="F103" s="106" t="str">
        <f>IFERROR(__xludf.DUMMYFUNCTION("""COMPUTED_VALUE"""),"Shani Co.")</f>
        <v>Shani Co.</v>
      </c>
      <c r="G103" s="106" t="str">
        <f>IFERROR(__xludf.DUMMYFUNCTION("""COMPUTED_VALUE"""),"A4409255")</f>
        <v>A4409255</v>
      </c>
      <c r="H103" s="106" t="str">
        <f>IFERROR(__xludf.DUMMYFUNCTION("""COMPUTED_VALUE"""),"Tamil")</f>
        <v>Tamil</v>
      </c>
      <c r="I103" s="106" t="str">
        <f>IFERROR(__xludf.DUMMYFUNCTION("""COMPUTED_VALUE"""),"Akuressa")</f>
        <v>Akuressa</v>
      </c>
      <c r="J103" s="106" t="str">
        <f>IFERROR(__xludf.DUMMYFUNCTION("""COMPUTED_VALUE"""),"Returned To Branch Rescheduled")</f>
        <v>Returned To Branch Rescheduled</v>
      </c>
      <c r="K103" s="106" t="str">
        <f>IFERROR(__xludf.DUMMYFUNCTION("""COMPUTED_VALUE"""),"Customer Care")</f>
        <v>Customer Care</v>
      </c>
      <c r="L103" s="106" t="str">
        <f>IFERROR(__xludf.DUMMYFUNCTION("""COMPUTED_VALUE"""),"Transfer Call Jeni")</f>
        <v>Transfer Call Jeni</v>
      </c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>
      <c r="A104" s="82"/>
      <c r="B104" s="98" t="str">
        <f>IFERROR(__xludf.DUMMYFUNCTION("""COMPUTED_VALUE"""),"62")</f>
        <v>62</v>
      </c>
      <c r="C104" s="98" t="str">
        <f>IFERROR(__xludf.DUMMYFUNCTION("""COMPUTED_VALUE"""),"Mandari")</f>
        <v>Mandari</v>
      </c>
      <c r="D104" s="98" t="str">
        <f>IFERROR(__xludf.DUMMYFUNCTION("""COMPUTED_VALUE"""),"771372365")</f>
        <v>771372365</v>
      </c>
      <c r="E104" s="98" t="str">
        <f>IFERROR(__xludf.DUMMYFUNCTION("""COMPUTED_VALUE"""),"N")</f>
        <v>N</v>
      </c>
      <c r="F104" s="98" t="str">
        <f>IFERROR(__xludf.DUMMYFUNCTION("""COMPUTED_VALUE"""),"Shani Co.")</f>
        <v>Shani Co.</v>
      </c>
      <c r="G104" s="98" t="str">
        <f>IFERROR(__xludf.DUMMYFUNCTION("""COMPUTED_VALUE"""),"A4409255")</f>
        <v>A4409255</v>
      </c>
      <c r="H104" s="98" t="str">
        <f>IFERROR(__xludf.DUMMYFUNCTION("""COMPUTED_VALUE"""),"Asked Some Details")</f>
        <v>Asked Some Details</v>
      </c>
      <c r="I104" s="98" t="str">
        <f>IFERROR(__xludf.DUMMYFUNCTION("""COMPUTED_VALUE"""),"Akuressa")</f>
        <v>Akuressa</v>
      </c>
      <c r="J104" s="98" t="str">
        <f>IFERROR(__xludf.DUMMYFUNCTION("""COMPUTED_VALUE"""),"Returned To Branch Rescheduled")</f>
        <v>Returned To Branch Rescheduled</v>
      </c>
      <c r="K104" s="98" t="str">
        <f>IFERROR(__xludf.DUMMYFUNCTION("""COMPUTED_VALUE"""),"Customer Care")</f>
        <v>Customer Care</v>
      </c>
      <c r="L104" s="98" t="str">
        <f>IFERROR(__xludf.DUMMYFUNCTION("""COMPUTED_VALUE"""),"Done")</f>
        <v>Done</v>
      </c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>
      <c r="A105" s="82"/>
      <c r="B105" s="106" t="str">
        <f>IFERROR(__xludf.DUMMYFUNCTION("""COMPUTED_VALUE"""),"63")</f>
        <v>63</v>
      </c>
      <c r="C105" s="106" t="str">
        <f>IFERROR(__xludf.DUMMYFUNCTION("""COMPUTED_VALUE"""),"Mandari")</f>
        <v>Mandari</v>
      </c>
      <c r="D105" s="106" t="str">
        <f>IFERROR(__xludf.DUMMYFUNCTION("""COMPUTED_VALUE"""),"773506842")</f>
        <v>773506842</v>
      </c>
      <c r="E105" s="106" t="str">
        <f>IFERROR(__xludf.DUMMYFUNCTION("""COMPUTED_VALUE"""),"N")</f>
        <v>N</v>
      </c>
      <c r="F105" s="106" t="str">
        <f>IFERROR(__xludf.DUMMYFUNCTION("""COMPUTED_VALUE"""),"Aishwarya Cosmetics")</f>
        <v>Aishwarya Cosmetics</v>
      </c>
      <c r="G105" s="106" t="str">
        <f>IFERROR(__xludf.DUMMYFUNCTION("""COMPUTED_VALUE"""),"BA766395")</f>
        <v>BA766395</v>
      </c>
      <c r="H105" s="106" t="str">
        <f>IFERROR(__xludf.DUMMYFUNCTION("""COMPUTED_VALUE"""),"Customer Refused")</f>
        <v>Customer Refused</v>
      </c>
      <c r="I105" s="106" t="str">
        <f>IFERROR(__xludf.DUMMYFUNCTION("""COMPUTED_VALUE"""),"Wennappuwa")</f>
        <v>Wennappuwa</v>
      </c>
      <c r="J105" s="106" t="str">
        <f>IFERROR(__xludf.DUMMYFUNCTION("""COMPUTED_VALUE"""),"Returned To Branch Failed To Deliver")</f>
        <v>Returned To Branch Failed To Deliver</v>
      </c>
      <c r="K105" s="106" t="str">
        <f>IFERROR(__xludf.DUMMYFUNCTION("""COMPUTED_VALUE"""),"Branch Operations")</f>
        <v>Branch Operations</v>
      </c>
      <c r="L105" s="106" t="str">
        <f>IFERROR(__xludf.DUMMYFUNCTION("""COMPUTED_VALUE"""),"Informed Branch")</f>
        <v>Informed Branch</v>
      </c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>
      <c r="A106" s="82"/>
      <c r="B106" s="98" t="str">
        <f>IFERROR(__xludf.DUMMYFUNCTION("""COMPUTED_VALUE"""),"64")</f>
        <v>64</v>
      </c>
      <c r="C106" s="98" t="str">
        <f>IFERROR(__xludf.DUMMYFUNCTION("""COMPUTED_VALUE"""),"Mandari")</f>
        <v>Mandari</v>
      </c>
      <c r="D106" s="98" t="str">
        <f>IFERROR(__xludf.DUMMYFUNCTION("""COMPUTED_VALUE"""),"762297498")</f>
        <v>762297498</v>
      </c>
      <c r="E106" s="98" t="str">
        <f>IFERROR(__xludf.DUMMYFUNCTION("""COMPUTED_VALUE"""),"N")</f>
        <v>N</v>
      </c>
      <c r="F106" s="98" t="str">
        <f>IFERROR(__xludf.DUMMYFUNCTION("""COMPUTED_VALUE"""),"Cosmetics By Dill")</f>
        <v>Cosmetics By Dill</v>
      </c>
      <c r="G106" s="98" t="str">
        <f>IFERROR(__xludf.DUMMYFUNCTION("""COMPUTED_VALUE"""),"A4376180")</f>
        <v>A4376180</v>
      </c>
      <c r="H106" s="98" t="str">
        <f>IFERROR(__xludf.DUMMYFUNCTION("""COMPUTED_VALUE"""),"Arrange To Deliver Tomorrow / Top Urgant")</f>
        <v>Arrange To Deliver Tomorrow / Top Urgant</v>
      </c>
      <c r="I106" s="98" t="str">
        <f>IFERROR(__xludf.DUMMYFUNCTION("""COMPUTED_VALUE"""),"Colombo Metro")</f>
        <v>Colombo Metro</v>
      </c>
      <c r="J106" s="98" t="str">
        <f>IFERROR(__xludf.DUMMYFUNCTION("""COMPUTED_VALUE"""),"Received At Destination")</f>
        <v>Received At Destination</v>
      </c>
      <c r="K106" s="98" t="str">
        <f>IFERROR(__xludf.DUMMYFUNCTION("""COMPUTED_VALUE"""),"Branch Operations")</f>
        <v>Branch Operations</v>
      </c>
      <c r="L106" s="98" t="str">
        <f>IFERROR(__xludf.DUMMYFUNCTION("""COMPUTED_VALUE"""),"Informed Branch")</f>
        <v>Informed Branch</v>
      </c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>
      <c r="A107" s="82"/>
      <c r="B107" s="106" t="str">
        <f>IFERROR(__xludf.DUMMYFUNCTION("""COMPUTED_VALUE"""),"65")</f>
        <v>65</v>
      </c>
      <c r="C107" s="106" t="str">
        <f>IFERROR(__xludf.DUMMYFUNCTION("""COMPUTED_VALUE"""),"Mandari")</f>
        <v>Mandari</v>
      </c>
      <c r="D107" s="106" t="str">
        <f>IFERROR(__xludf.DUMMYFUNCTION("""COMPUTED_VALUE"""),"742826926")</f>
        <v>742826926</v>
      </c>
      <c r="E107" s="106" t="str">
        <f>IFERROR(__xludf.DUMMYFUNCTION("""COMPUTED_VALUE"""),"N")</f>
        <v>N</v>
      </c>
      <c r="F107" s="106" t="str">
        <f>IFERROR(__xludf.DUMMYFUNCTION("""COMPUTED_VALUE"""),"Cosmetics By Dill")</f>
        <v>Cosmetics By Dill</v>
      </c>
      <c r="G107" s="106" t="str">
        <f>IFERROR(__xludf.DUMMYFUNCTION("""COMPUTED_VALUE"""),"A4376180")</f>
        <v>A4376180</v>
      </c>
      <c r="H107" s="106" t="str">
        <f>IFERROR(__xludf.DUMMYFUNCTION("""COMPUTED_VALUE"""),"Asked Some Details")</f>
        <v>Asked Some Details</v>
      </c>
      <c r="I107" s="106" t="str">
        <f>IFERROR(__xludf.DUMMYFUNCTION("""COMPUTED_VALUE"""),"Colombo Metro")</f>
        <v>Colombo Metro</v>
      </c>
      <c r="J107" s="106" t="str">
        <f>IFERROR(__xludf.DUMMYFUNCTION("""COMPUTED_VALUE"""),"Received At Destination")</f>
        <v>Received At Destination</v>
      </c>
      <c r="K107" s="106" t="str">
        <f>IFERROR(__xludf.DUMMYFUNCTION("""COMPUTED_VALUE"""),"Customer Care")</f>
        <v>Customer Care</v>
      </c>
      <c r="L107" s="106" t="str">
        <f>IFERROR(__xludf.DUMMYFUNCTION("""COMPUTED_VALUE"""),"Done")</f>
        <v>Done</v>
      </c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>
      <c r="A108" s="82"/>
      <c r="B108" s="98" t="str">
        <f>IFERROR(__xludf.DUMMYFUNCTION("""COMPUTED_VALUE"""),"66")</f>
        <v>66</v>
      </c>
      <c r="C108" s="98" t="str">
        <f>IFERROR(__xludf.DUMMYFUNCTION("""COMPUTED_VALUE"""),"Mandari")</f>
        <v>Mandari</v>
      </c>
      <c r="D108" s="98" t="str">
        <f>IFERROR(__xludf.DUMMYFUNCTION("""COMPUTED_VALUE"""),"705815614")</f>
        <v>705815614</v>
      </c>
      <c r="E108" s="98" t="str">
        <f>IFERROR(__xludf.DUMMYFUNCTION("""COMPUTED_VALUE"""),"N")</f>
        <v>N</v>
      </c>
      <c r="F108" s="98" t="str">
        <f>IFERROR(__xludf.DUMMYFUNCTION("""COMPUTED_VALUE"""),"Mona'S Closet")</f>
        <v>Mona'S Closet</v>
      </c>
      <c r="G108" s="98" t="str">
        <f>IFERROR(__xludf.DUMMYFUNCTION("""COMPUTED_VALUE"""),"A4309144")</f>
        <v>A4309144</v>
      </c>
      <c r="H108" s="98" t="str">
        <f>IFERROR(__xludf.DUMMYFUNCTION("""COMPUTED_VALUE"""),"0702412739 - Re Delivery - 7/1")</f>
        <v>0702412739 - Re Delivery - 7/1</v>
      </c>
      <c r="I108" s="98" t="str">
        <f>IFERROR(__xludf.DUMMYFUNCTION("""COMPUTED_VALUE"""),"Negombo")</f>
        <v>Negombo</v>
      </c>
      <c r="J108" s="98" t="str">
        <f>IFERROR(__xludf.DUMMYFUNCTION("""COMPUTED_VALUE"""),"Returned To Branch Failed To Deliver")</f>
        <v>Returned To Branch Failed To Deliver</v>
      </c>
      <c r="K108" s="98" t="str">
        <f>IFERROR(__xludf.DUMMYFUNCTION("""COMPUTED_VALUE"""),"Branch Operations")</f>
        <v>Branch Operations</v>
      </c>
      <c r="L108" s="98" t="str">
        <f>IFERROR(__xludf.DUMMYFUNCTION("""COMPUTED_VALUE"""),"Informed Branch")</f>
        <v>Informed Branch</v>
      </c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>
      <c r="A109" s="82"/>
      <c r="B109" s="106" t="str">
        <f>IFERROR(__xludf.DUMMYFUNCTION("""COMPUTED_VALUE"""),"67")</f>
        <v>67</v>
      </c>
      <c r="C109" s="106" t="str">
        <f>IFERROR(__xludf.DUMMYFUNCTION("""COMPUTED_VALUE"""),"Mandari")</f>
        <v>Mandari</v>
      </c>
      <c r="D109" s="106" t="str">
        <f>IFERROR(__xludf.DUMMYFUNCTION("""COMPUTED_VALUE"""),"770444584")</f>
        <v>770444584</v>
      </c>
      <c r="E109" s="106" t="str">
        <f>IFERROR(__xludf.DUMMYFUNCTION("""COMPUTED_VALUE"""),"N")</f>
        <v>N</v>
      </c>
      <c r="F109" s="106" t="str">
        <f>IFERROR(__xludf.DUMMYFUNCTION("""COMPUTED_VALUE"""),"Mona'S Closet")</f>
        <v>Mona'S Closet</v>
      </c>
      <c r="G109" s="106" t="str">
        <f>IFERROR(__xludf.DUMMYFUNCTION("""COMPUTED_VALUE"""),"A4309144")</f>
        <v>A4309144</v>
      </c>
      <c r="H109" s="106" t="str">
        <f>IFERROR(__xludf.DUMMYFUNCTION("""COMPUTED_VALUE"""),"Asked Some Details")</f>
        <v>Asked Some Details</v>
      </c>
      <c r="I109" s="106" t="str">
        <f>IFERROR(__xludf.DUMMYFUNCTION("""COMPUTED_VALUE"""),"Negombo")</f>
        <v>Negombo</v>
      </c>
      <c r="J109" s="106" t="str">
        <f>IFERROR(__xludf.DUMMYFUNCTION("""COMPUTED_VALUE"""),"Returned To Branch Failed To Deliver")</f>
        <v>Returned To Branch Failed To Deliver</v>
      </c>
      <c r="K109" s="106" t="str">
        <f>IFERROR(__xludf.DUMMYFUNCTION("""COMPUTED_VALUE"""),"Customer Care")</f>
        <v>Customer Care</v>
      </c>
      <c r="L109" s="106" t="str">
        <f>IFERROR(__xludf.DUMMYFUNCTION("""COMPUTED_VALUE"""),"Done")</f>
        <v>Done</v>
      </c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>
      <c r="A110" s="82"/>
      <c r="B110" s="98" t="str">
        <f>IFERROR(__xludf.DUMMYFUNCTION("""COMPUTED_VALUE"""),"68")</f>
        <v>68</v>
      </c>
      <c r="C110" s="98" t="str">
        <f>IFERROR(__xludf.DUMMYFUNCTION("""COMPUTED_VALUE"""),"Mandari")</f>
        <v>Mandari</v>
      </c>
      <c r="D110" s="98" t="str">
        <f>IFERROR(__xludf.DUMMYFUNCTION("""COMPUTED_VALUE"""),"701017804")</f>
        <v>701017804</v>
      </c>
      <c r="E110" s="98" t="str">
        <f>IFERROR(__xludf.DUMMYFUNCTION("""COMPUTED_VALUE"""),"N")</f>
        <v>N</v>
      </c>
      <c r="F110" s="98" t="str">
        <f>IFERROR(__xludf.DUMMYFUNCTION("""COMPUTED_VALUE"""),"Mona'S Closet")</f>
        <v>Mona'S Closet</v>
      </c>
      <c r="G110" s="98" t="str">
        <f>IFERROR(__xludf.DUMMYFUNCTION("""COMPUTED_VALUE"""),"A4309144")</f>
        <v>A4309144</v>
      </c>
      <c r="H110" s="98" t="str">
        <f>IFERROR(__xludf.DUMMYFUNCTION("""COMPUTED_VALUE"""),"Asked Some Details")</f>
        <v>Asked Some Details</v>
      </c>
      <c r="I110" s="98" t="str">
        <f>IFERROR(__xludf.DUMMYFUNCTION("""COMPUTED_VALUE"""),"Negombo")</f>
        <v>Negombo</v>
      </c>
      <c r="J110" s="98" t="str">
        <f>IFERROR(__xludf.DUMMYFUNCTION("""COMPUTED_VALUE"""),"Returned To Branch Failed To Deliver")</f>
        <v>Returned To Branch Failed To Deliver</v>
      </c>
      <c r="K110" s="98" t="str">
        <f>IFERROR(__xludf.DUMMYFUNCTION("""COMPUTED_VALUE"""),"Customer Care")</f>
        <v>Customer Care</v>
      </c>
      <c r="L110" s="98" t="str">
        <f>IFERROR(__xludf.DUMMYFUNCTION("""COMPUTED_VALUE"""),"Done")</f>
        <v>Done</v>
      </c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>
      <c r="A111" s="82"/>
      <c r="B111" s="106" t="str">
        <f>IFERROR(__xludf.DUMMYFUNCTION("""COMPUTED_VALUE"""),"69")</f>
        <v>69</v>
      </c>
      <c r="C111" s="106" t="str">
        <f>IFERROR(__xludf.DUMMYFUNCTION("""COMPUTED_VALUE"""),"Mandari")</f>
        <v>Mandari</v>
      </c>
      <c r="D111" s="106" t="str">
        <f>IFERROR(__xludf.DUMMYFUNCTION("""COMPUTED_VALUE"""),"762064417")</f>
        <v>762064417</v>
      </c>
      <c r="E111" s="106" t="str">
        <f>IFERROR(__xludf.DUMMYFUNCTION("""COMPUTED_VALUE"""),"N")</f>
        <v>N</v>
      </c>
      <c r="F111" s="106" t="str">
        <f>IFERROR(__xludf.DUMMYFUNCTION("""COMPUTED_VALUE"""),"Mona'S Closet")</f>
        <v>Mona'S Closet</v>
      </c>
      <c r="G111" s="106" t="str">
        <f>IFERROR(__xludf.DUMMYFUNCTION("""COMPUTED_VALUE"""),"A4309144")</f>
        <v>A4309144</v>
      </c>
      <c r="H111" s="106" t="str">
        <f>IFERROR(__xludf.DUMMYFUNCTION("""COMPUTED_VALUE"""),"Asked Some Details")</f>
        <v>Asked Some Details</v>
      </c>
      <c r="I111" s="106" t="str">
        <f>IFERROR(__xludf.DUMMYFUNCTION("""COMPUTED_VALUE"""),"Negombo")</f>
        <v>Negombo</v>
      </c>
      <c r="J111" s="106" t="str">
        <f>IFERROR(__xludf.DUMMYFUNCTION("""COMPUTED_VALUE"""),"Returned To Branch Failed To Deliver")</f>
        <v>Returned To Branch Failed To Deliver</v>
      </c>
      <c r="K111" s="106" t="str">
        <f>IFERROR(__xludf.DUMMYFUNCTION("""COMPUTED_VALUE"""),"Customer Care")</f>
        <v>Customer Care</v>
      </c>
      <c r="L111" s="106" t="str">
        <f>IFERROR(__xludf.DUMMYFUNCTION("""COMPUTED_VALUE"""),"Done")</f>
        <v>Done</v>
      </c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>
      <c r="A112" s="82"/>
      <c r="B112" s="98" t="str">
        <f>IFERROR(__xludf.DUMMYFUNCTION("""COMPUTED_VALUE"""),"70")</f>
        <v>70</v>
      </c>
      <c r="C112" s="98" t="str">
        <f>IFERROR(__xludf.DUMMYFUNCTION("""COMPUTED_VALUE"""),"Mandari")</f>
        <v>Mandari</v>
      </c>
      <c r="D112" s="98" t="str">
        <f>IFERROR(__xludf.DUMMYFUNCTION("""COMPUTED_VALUE"""),"701768257")</f>
        <v>701768257</v>
      </c>
      <c r="E112" s="98" t="str">
        <f>IFERROR(__xludf.DUMMYFUNCTION("""COMPUTED_VALUE"""),"N")</f>
        <v>N</v>
      </c>
      <c r="F112" s="98" t="str">
        <f>IFERROR(__xludf.DUMMYFUNCTION("""COMPUTED_VALUE"""),"Mona'S Closet")</f>
        <v>Mona'S Closet</v>
      </c>
      <c r="G112" s="98" t="str">
        <f>IFERROR(__xludf.DUMMYFUNCTION("""COMPUTED_VALUE"""),"A4309144")</f>
        <v>A4309144</v>
      </c>
      <c r="H112" s="98" t="str">
        <f>IFERROR(__xludf.DUMMYFUNCTION("""COMPUTED_VALUE"""),"Anamaduwa Branch No")</f>
        <v>Anamaduwa Branch No</v>
      </c>
      <c r="I112" s="98" t="str">
        <f>IFERROR(__xludf.DUMMYFUNCTION("""COMPUTED_VALUE"""),"Negombo")</f>
        <v>Negombo</v>
      </c>
      <c r="J112" s="98" t="str">
        <f>IFERROR(__xludf.DUMMYFUNCTION("""COMPUTED_VALUE"""),"Returned To Branch Failed To Deliver")</f>
        <v>Returned To Branch Failed To Deliver</v>
      </c>
      <c r="K112" s="98" t="str">
        <f>IFERROR(__xludf.DUMMYFUNCTION("""COMPUTED_VALUE"""),"Customer Care")</f>
        <v>Customer Care</v>
      </c>
      <c r="L112" s="98" t="str">
        <f>IFERROR(__xludf.DUMMYFUNCTION("""COMPUTED_VALUE"""),"Given No")</f>
        <v>Given No</v>
      </c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>
      <c r="A113" s="82"/>
      <c r="B113" s="106" t="str">
        <f>IFERROR(__xludf.DUMMYFUNCTION("""COMPUTED_VALUE"""),"71")</f>
        <v>71</v>
      </c>
      <c r="C113" s="106" t="str">
        <f>IFERROR(__xludf.DUMMYFUNCTION("""COMPUTED_VALUE"""),"Mandari")</f>
        <v>Mandari</v>
      </c>
      <c r="D113" s="106" t="str">
        <f>IFERROR(__xludf.DUMMYFUNCTION("""COMPUTED_VALUE"""),"777874374")</f>
        <v>777874374</v>
      </c>
      <c r="E113" s="106" t="str">
        <f>IFERROR(__xludf.DUMMYFUNCTION("""COMPUTED_VALUE"""),"N")</f>
        <v>N</v>
      </c>
      <c r="F113" s="106" t="str">
        <f>IFERROR(__xludf.DUMMYFUNCTION("""COMPUTED_VALUE"""),"Mona'S Closet")</f>
        <v>Mona'S Closet</v>
      </c>
      <c r="G113" s="106" t="str">
        <f>IFERROR(__xludf.DUMMYFUNCTION("""COMPUTED_VALUE"""),"A4309144")</f>
        <v>A4309144</v>
      </c>
      <c r="H113" s="106" t="str">
        <f>IFERROR(__xludf.DUMMYFUNCTION("""COMPUTED_VALUE"""),"Answerd &amp; Cut The Line")</f>
        <v>Answerd &amp; Cut The Line</v>
      </c>
      <c r="I113" s="106" t="str">
        <f>IFERROR(__xludf.DUMMYFUNCTION("""COMPUTED_VALUE"""),"Negombo")</f>
        <v>Negombo</v>
      </c>
      <c r="J113" s="106" t="str">
        <f>IFERROR(__xludf.DUMMYFUNCTION("""COMPUTED_VALUE"""),"Returned To Branch Failed To Deliver")</f>
        <v>Returned To Branch Failed To Deliver</v>
      </c>
      <c r="K113" s="106" t="str">
        <f>IFERROR(__xludf.DUMMYFUNCTION("""COMPUTED_VALUE"""),"Customer Care")</f>
        <v>Customer Care</v>
      </c>
      <c r="L113" s="106" t="str">
        <f>IFERROR(__xludf.DUMMYFUNCTION("""COMPUTED_VALUE"""),"Disconnect")</f>
        <v>Disconnect</v>
      </c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>
      <c r="A114" s="82"/>
      <c r="B114" s="98" t="str">
        <f>IFERROR(__xludf.DUMMYFUNCTION("""COMPUTED_VALUE"""),"72")</f>
        <v>72</v>
      </c>
      <c r="C114" s="98" t="str">
        <f>IFERROR(__xludf.DUMMYFUNCTION("""COMPUTED_VALUE"""),"Mandari")</f>
        <v>Mandari</v>
      </c>
      <c r="D114" s="98" t="str">
        <f>IFERROR(__xludf.DUMMYFUNCTION("""COMPUTED_VALUE"""),"777285846")</f>
        <v>777285846</v>
      </c>
      <c r="E114" s="98" t="str">
        <f>IFERROR(__xludf.DUMMYFUNCTION("""COMPUTED_VALUE"""),"N")</f>
        <v>N</v>
      </c>
      <c r="F114" s="98" t="str">
        <f>IFERROR(__xludf.DUMMYFUNCTION("""COMPUTED_VALUE"""),"Dorado")</f>
        <v>Dorado</v>
      </c>
      <c r="G114" s="98" t="str">
        <f>IFERROR(__xludf.DUMMYFUNCTION("""COMPUTED_VALUE"""),"BE133979")</f>
        <v>BE133979</v>
      </c>
      <c r="H114" s="98" t="str">
        <f>IFERROR(__xludf.DUMMYFUNCTION("""COMPUTED_VALUE"""),"Customer Refused")</f>
        <v>Customer Refused</v>
      </c>
      <c r="I114" s="98" t="str">
        <f>IFERROR(__xludf.DUMMYFUNCTION("""COMPUTED_VALUE"""),"Panadura")</f>
        <v>Panadura</v>
      </c>
      <c r="J114" s="98" t="str">
        <f>IFERROR(__xludf.DUMMYFUNCTION("""COMPUTED_VALUE"""),"Returned To Branch Rescheduled")</f>
        <v>Returned To Branch Rescheduled</v>
      </c>
      <c r="K114" s="98" t="str">
        <f>IFERROR(__xludf.DUMMYFUNCTION("""COMPUTED_VALUE"""),"Branch Operations")</f>
        <v>Branch Operations</v>
      </c>
      <c r="L114" s="98" t="str">
        <f>IFERROR(__xludf.DUMMYFUNCTION("""COMPUTED_VALUE"""),"Informed Branch")</f>
        <v>Informed Branch</v>
      </c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>
      <c r="A115" s="82"/>
      <c r="B115" s="106" t="str">
        <f>IFERROR(__xludf.DUMMYFUNCTION("""COMPUTED_VALUE"""),"73")</f>
        <v>73</v>
      </c>
      <c r="C115" s="106" t="str">
        <f>IFERROR(__xludf.DUMMYFUNCTION("""COMPUTED_VALUE"""),"Mandari")</f>
        <v>Mandari</v>
      </c>
      <c r="D115" s="106" t="str">
        <f>IFERROR(__xludf.DUMMYFUNCTION("""COMPUTED_VALUE"""),"713159005")</f>
        <v>713159005</v>
      </c>
      <c r="E115" s="106" t="str">
        <f>IFERROR(__xludf.DUMMYFUNCTION("""COMPUTED_VALUE"""),"N")</f>
        <v>N</v>
      </c>
      <c r="F115" s="106" t="str">
        <f>IFERROR(__xludf.DUMMYFUNCTION("""COMPUTED_VALUE"""),"Dorado")</f>
        <v>Dorado</v>
      </c>
      <c r="G115" s="106" t="str">
        <f>IFERROR(__xludf.DUMMYFUNCTION("""COMPUTED_VALUE"""),"BE133979")</f>
        <v>BE133979</v>
      </c>
      <c r="H115" s="106" t="str">
        <f>IFERROR(__xludf.DUMMYFUNCTION("""COMPUTED_VALUE"""),"Tamil")</f>
        <v>Tamil</v>
      </c>
      <c r="I115" s="106" t="str">
        <f>IFERROR(__xludf.DUMMYFUNCTION("""COMPUTED_VALUE"""),"Panadura")</f>
        <v>Panadura</v>
      </c>
      <c r="J115" s="106" t="str">
        <f>IFERROR(__xludf.DUMMYFUNCTION("""COMPUTED_VALUE"""),"Returned To Branch Rescheduled")</f>
        <v>Returned To Branch Rescheduled</v>
      </c>
      <c r="K115" s="106" t="str">
        <f>IFERROR(__xludf.DUMMYFUNCTION("""COMPUTED_VALUE"""),"Customer Care")</f>
        <v>Customer Care</v>
      </c>
      <c r="L115" s="106" t="str">
        <f>IFERROR(__xludf.DUMMYFUNCTION("""COMPUTED_VALUE"""),"Transfer Call Jeni")</f>
        <v>Transfer Call Jeni</v>
      </c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>
      <c r="A116" s="82"/>
      <c r="B116" s="98" t="str">
        <f>IFERROR(__xludf.DUMMYFUNCTION("""COMPUTED_VALUE"""),"74")</f>
        <v>74</v>
      </c>
      <c r="C116" s="98" t="str">
        <f>IFERROR(__xludf.DUMMYFUNCTION("""COMPUTED_VALUE"""),"Mandari")</f>
        <v>Mandari</v>
      </c>
      <c r="D116" s="98" t="str">
        <f>IFERROR(__xludf.DUMMYFUNCTION("""COMPUTED_VALUE"""),"773403193")</f>
        <v>773403193</v>
      </c>
      <c r="E116" s="98" t="str">
        <f>IFERROR(__xludf.DUMMYFUNCTION("""COMPUTED_VALUE"""),"N")</f>
        <v>N</v>
      </c>
      <c r="F116" s="98" t="str">
        <f>IFERROR(__xludf.DUMMYFUNCTION("""COMPUTED_VALUE"""),"Dorado")</f>
        <v>Dorado</v>
      </c>
      <c r="G116" s="98" t="str">
        <f>IFERROR(__xludf.DUMMYFUNCTION("""COMPUTED_VALUE"""),"BE133979")</f>
        <v>BE133979</v>
      </c>
      <c r="H116" s="98" t="str">
        <f>IFERROR(__xludf.DUMMYFUNCTION("""COMPUTED_VALUE"""),"Kadawatha Branch Location")</f>
        <v>Kadawatha Branch Location</v>
      </c>
      <c r="I116" s="98" t="str">
        <f>IFERROR(__xludf.DUMMYFUNCTION("""COMPUTED_VALUE"""),"Panadura")</f>
        <v>Panadura</v>
      </c>
      <c r="J116" s="98" t="str">
        <f>IFERROR(__xludf.DUMMYFUNCTION("""COMPUTED_VALUE"""),"Returned To Branch Rescheduled")</f>
        <v>Returned To Branch Rescheduled</v>
      </c>
      <c r="K116" s="98" t="str">
        <f>IFERROR(__xludf.DUMMYFUNCTION("""COMPUTED_VALUE"""),"Customer Care")</f>
        <v>Customer Care</v>
      </c>
      <c r="L116" s="98" t="str">
        <f>IFERROR(__xludf.DUMMYFUNCTION("""COMPUTED_VALUE"""),"Done")</f>
        <v>Done</v>
      </c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>
      <c r="A117" s="82"/>
      <c r="B117" s="106" t="str">
        <f>IFERROR(__xludf.DUMMYFUNCTION("""COMPUTED_VALUE"""),"75")</f>
        <v>75</v>
      </c>
      <c r="C117" s="106" t="str">
        <f>IFERROR(__xludf.DUMMYFUNCTION("""COMPUTED_VALUE"""),"Mandari")</f>
        <v>Mandari</v>
      </c>
      <c r="D117" s="106" t="str">
        <f>IFERROR(__xludf.DUMMYFUNCTION("""COMPUTED_VALUE"""),"779499619")</f>
        <v>779499619</v>
      </c>
      <c r="E117" s="106" t="str">
        <f>IFERROR(__xludf.DUMMYFUNCTION("""COMPUTED_VALUE"""),"Y")</f>
        <v>Y</v>
      </c>
      <c r="F117" s="106" t="str">
        <f>IFERROR(__xludf.DUMMYFUNCTION("""COMPUTED_VALUE"""),"Lotus Online Boutique")</f>
        <v>Lotus Online Boutique</v>
      </c>
      <c r="G117" s="106" t="str">
        <f>IFERROR(__xludf.DUMMYFUNCTION("""COMPUTED_VALUE"""),"A4564238")</f>
        <v>A4564238</v>
      </c>
      <c r="H117" s="106" t="str">
        <f>IFERROR(__xludf.DUMMYFUNCTION("""COMPUTED_VALUE"""),"Re Delivery - 7/1")</f>
        <v>Re Delivery - 7/1</v>
      </c>
      <c r="I117" s="106" t="str">
        <f>IFERROR(__xludf.DUMMYFUNCTION("""COMPUTED_VALUE"""),"Wennappuwa")</f>
        <v>Wennappuwa</v>
      </c>
      <c r="J117" s="106" t="str">
        <f>IFERROR(__xludf.DUMMYFUNCTION("""COMPUTED_VALUE"""),"Returned To Branch Failed To Deliver")</f>
        <v>Returned To Branch Failed To Deliver</v>
      </c>
      <c r="K117" s="106" t="str">
        <f>IFERROR(__xludf.DUMMYFUNCTION("""COMPUTED_VALUE"""),"Branch Operations")</f>
        <v>Branch Operations</v>
      </c>
      <c r="L117" s="106" t="str">
        <f>IFERROR(__xludf.DUMMYFUNCTION("""COMPUTED_VALUE"""),"Informed Branch")</f>
        <v>Informed Branch</v>
      </c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>
      <c r="A118" s="82"/>
      <c r="B118" s="98" t="str">
        <f>IFERROR(__xludf.DUMMYFUNCTION("""COMPUTED_VALUE"""),"76")</f>
        <v>76</v>
      </c>
      <c r="C118" s="98" t="str">
        <f>IFERROR(__xludf.DUMMYFUNCTION("""COMPUTED_VALUE"""),"Mandari")</f>
        <v>Mandari</v>
      </c>
      <c r="D118" s="98" t="str">
        <f>IFERROR(__xludf.DUMMYFUNCTION("""COMPUTED_VALUE"""),"775327877")</f>
        <v>775327877</v>
      </c>
      <c r="E118" s="98" t="str">
        <f>IFERROR(__xludf.DUMMYFUNCTION("""COMPUTED_VALUE"""),"Y")</f>
        <v>Y</v>
      </c>
      <c r="F118" s="98" t="str">
        <f>IFERROR(__xludf.DUMMYFUNCTION("""COMPUTED_VALUE"""),"Lotus Online Boutique")</f>
        <v>Lotus Online Boutique</v>
      </c>
      <c r="G118" s="98" t="str">
        <f>IFERROR(__xludf.DUMMYFUNCTION("""COMPUTED_VALUE"""),"A4564238")</f>
        <v>A4564238</v>
      </c>
      <c r="H118" s="98" t="str">
        <f>IFERROR(__xludf.DUMMYFUNCTION("""COMPUTED_VALUE"""),"Gampola Branch No")</f>
        <v>Gampola Branch No</v>
      </c>
      <c r="I118" s="98" t="str">
        <f>IFERROR(__xludf.DUMMYFUNCTION("""COMPUTED_VALUE"""),"Wennappuwa")</f>
        <v>Wennappuwa</v>
      </c>
      <c r="J118" s="98" t="str">
        <f>IFERROR(__xludf.DUMMYFUNCTION("""COMPUTED_VALUE"""),"Returned To Branch Failed To Deliver")</f>
        <v>Returned To Branch Failed To Deliver</v>
      </c>
      <c r="K118" s="98" t="str">
        <f>IFERROR(__xludf.DUMMYFUNCTION("""COMPUTED_VALUE"""),"Customer Care")</f>
        <v>Customer Care</v>
      </c>
      <c r="L118" s="98" t="str">
        <f>IFERROR(__xludf.DUMMYFUNCTION("""COMPUTED_VALUE"""),"Given No")</f>
        <v>Given No</v>
      </c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>
      <c r="A119" s="82"/>
      <c r="B119" s="106" t="str">
        <f>IFERROR(__xludf.DUMMYFUNCTION("""COMPUTED_VALUE"""),"77")</f>
        <v>77</v>
      </c>
      <c r="C119" s="106" t="str">
        <f>IFERROR(__xludf.DUMMYFUNCTION("""COMPUTED_VALUE"""),"Mandari")</f>
        <v>Mandari</v>
      </c>
      <c r="D119" s="106" t="str">
        <f>IFERROR(__xludf.DUMMYFUNCTION("""COMPUTED_VALUE"""),"779369026")</f>
        <v>779369026</v>
      </c>
      <c r="E119" s="106" t="str">
        <f>IFERROR(__xludf.DUMMYFUNCTION("""COMPUTED_VALUE"""),"N")</f>
        <v>N</v>
      </c>
      <c r="F119" s="106" t="str">
        <f>IFERROR(__xludf.DUMMYFUNCTION("""COMPUTED_VALUE"""),"Mangala Holdings")</f>
        <v>Mangala Holdings</v>
      </c>
      <c r="G119" s="106" t="str">
        <f>IFERROR(__xludf.DUMMYFUNCTION("""COMPUTED_VALUE"""),"BE112942")</f>
        <v>BE112942</v>
      </c>
      <c r="H119" s="106" t="str">
        <f>IFERROR(__xludf.DUMMYFUNCTION("""COMPUTED_VALUE"""),"Customer Want Return This Package")</f>
        <v>Customer Want Return This Package</v>
      </c>
      <c r="I119" s="106" t="str">
        <f>IFERROR(__xludf.DUMMYFUNCTION("""COMPUTED_VALUE"""),"Kandy")</f>
        <v>Kandy</v>
      </c>
      <c r="J119" s="106" t="str">
        <f>IFERROR(__xludf.DUMMYFUNCTION("""COMPUTED_VALUE"""),"Delivered")</f>
        <v>Delivered</v>
      </c>
      <c r="K119" s="106" t="str">
        <f>IFERROR(__xludf.DUMMYFUNCTION("""COMPUTED_VALUE"""),"Branch Operations")</f>
        <v>Branch Operations</v>
      </c>
      <c r="L119" s="106" t="str">
        <f>IFERROR(__xludf.DUMMYFUNCTION("""COMPUTED_VALUE"""),"Informed Deepika Genzo")</f>
        <v>Informed Deepika Genzo</v>
      </c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>
      <c r="A120" s="82"/>
      <c r="B120" s="98" t="str">
        <f>IFERROR(__xludf.DUMMYFUNCTION("""COMPUTED_VALUE"""),"78")</f>
        <v>78</v>
      </c>
      <c r="C120" s="98" t="str">
        <f>IFERROR(__xludf.DUMMYFUNCTION("""COMPUTED_VALUE"""),"Mandari")</f>
        <v>Mandari</v>
      </c>
      <c r="D120" s="98" t="str">
        <f>IFERROR(__xludf.DUMMYFUNCTION("""COMPUTED_VALUE"""),"773705652")</f>
        <v>773705652</v>
      </c>
      <c r="E120" s="98" t="str">
        <f>IFERROR(__xludf.DUMMYFUNCTION("""COMPUTED_VALUE"""),"N")</f>
        <v>N</v>
      </c>
      <c r="F120" s="98" t="str">
        <f>IFERROR(__xludf.DUMMYFUNCTION("""COMPUTED_VALUE"""),"Mangala Holdings")</f>
        <v>Mangala Holdings</v>
      </c>
      <c r="G120" s="98" t="str">
        <f>IFERROR(__xludf.DUMMYFUNCTION("""COMPUTED_VALUE"""),"BE112942")</f>
        <v>BE112942</v>
      </c>
      <c r="H120" s="98" t="str">
        <f>IFERROR(__xludf.DUMMYFUNCTION("""COMPUTED_VALUE"""),"Answerd &amp; Cut The Line")</f>
        <v>Answerd &amp; Cut The Line</v>
      </c>
      <c r="I120" s="98" t="str">
        <f>IFERROR(__xludf.DUMMYFUNCTION("""COMPUTED_VALUE"""),"Kandy")</f>
        <v>Kandy</v>
      </c>
      <c r="J120" s="98" t="str">
        <f>IFERROR(__xludf.DUMMYFUNCTION("""COMPUTED_VALUE"""),"Delivered")</f>
        <v>Delivered</v>
      </c>
      <c r="K120" s="98" t="str">
        <f>IFERROR(__xludf.DUMMYFUNCTION("""COMPUTED_VALUE"""),"Customer Care")</f>
        <v>Customer Care</v>
      </c>
      <c r="L120" s="98" t="str">
        <f>IFERROR(__xludf.DUMMYFUNCTION("""COMPUTED_VALUE"""),"Disconnect")</f>
        <v>Disconnect</v>
      </c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>
      <c r="A121" s="82"/>
      <c r="B121" s="106" t="str">
        <f>IFERROR(__xludf.DUMMYFUNCTION("""COMPUTED_VALUE"""),"79")</f>
        <v>79</v>
      </c>
      <c r="C121" s="106" t="str">
        <f>IFERROR(__xludf.DUMMYFUNCTION("""COMPUTED_VALUE"""),"Mandari")</f>
        <v>Mandari</v>
      </c>
      <c r="D121" s="106" t="str">
        <f>IFERROR(__xludf.DUMMYFUNCTION("""COMPUTED_VALUE"""),"741852301")</f>
        <v>741852301</v>
      </c>
      <c r="E121" s="106" t="str">
        <f>IFERROR(__xludf.DUMMYFUNCTION("""COMPUTED_VALUE"""),"N")</f>
        <v>N</v>
      </c>
      <c r="F121" s="106" t="str">
        <f>IFERROR(__xludf.DUMMYFUNCTION("""COMPUTED_VALUE"""),"Mangala Holdings")</f>
        <v>Mangala Holdings</v>
      </c>
      <c r="G121" s="106" t="str">
        <f>IFERROR(__xludf.DUMMYFUNCTION("""COMPUTED_VALUE"""),"BE112942")</f>
        <v>BE112942</v>
      </c>
      <c r="H121" s="106" t="str">
        <f>IFERROR(__xludf.DUMMYFUNCTION("""COMPUTED_VALUE"""),"Asked Some Details")</f>
        <v>Asked Some Details</v>
      </c>
      <c r="I121" s="106" t="str">
        <f>IFERROR(__xludf.DUMMYFUNCTION("""COMPUTED_VALUE"""),"Kandy")</f>
        <v>Kandy</v>
      </c>
      <c r="J121" s="106" t="str">
        <f>IFERROR(__xludf.DUMMYFUNCTION("""COMPUTED_VALUE"""),"Delivered")</f>
        <v>Delivered</v>
      </c>
      <c r="K121" s="106" t="str">
        <f>IFERROR(__xludf.DUMMYFUNCTION("""COMPUTED_VALUE"""),"Customer Care")</f>
        <v>Customer Care</v>
      </c>
      <c r="L121" s="106" t="str">
        <f>IFERROR(__xludf.DUMMYFUNCTION("""COMPUTED_VALUE"""),"Done")</f>
        <v>Done</v>
      </c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>
      <c r="A122" s="82"/>
      <c r="B122" s="98" t="str">
        <f>IFERROR(__xludf.DUMMYFUNCTION("""COMPUTED_VALUE"""),"80")</f>
        <v>80</v>
      </c>
      <c r="C122" s="98" t="str">
        <f>IFERROR(__xludf.DUMMYFUNCTION("""COMPUTED_VALUE"""),"Mandari")</f>
        <v>Mandari</v>
      </c>
      <c r="D122" s="98" t="str">
        <f>IFERROR(__xludf.DUMMYFUNCTION("""COMPUTED_VALUE"""),"777557368")</f>
        <v>777557368</v>
      </c>
      <c r="E122" s="98" t="str">
        <f>IFERROR(__xludf.DUMMYFUNCTION("""COMPUTED_VALUE"""),"N")</f>
        <v>N</v>
      </c>
      <c r="F122" s="98" t="str">
        <f>IFERROR(__xludf.DUMMYFUNCTION("""COMPUTED_VALUE"""),"Super Ayurvedic")</f>
        <v>Super Ayurvedic</v>
      </c>
      <c r="G122" s="98" t="str">
        <f>IFERROR(__xludf.DUMMYFUNCTION("""COMPUTED_VALUE"""),"BD982980")</f>
        <v>BD982980</v>
      </c>
      <c r="H122" s="98" t="str">
        <f>IFERROR(__xludf.DUMMYFUNCTION("""COMPUTED_VALUE"""),"Dd Rajagiriya")</f>
        <v>Dd Rajagiriya</v>
      </c>
      <c r="I122" s="98" t="str">
        <f>IFERROR(__xludf.DUMMYFUNCTION("""COMPUTED_VALUE"""),"Kuliyapitiya")</f>
        <v>Kuliyapitiya</v>
      </c>
      <c r="J122" s="98" t="str">
        <f>IFERROR(__xludf.DUMMYFUNCTION("""COMPUTED_VALUE"""),"Out For Delivery")</f>
        <v>Out For Delivery</v>
      </c>
      <c r="K122" s="98" t="str">
        <f>IFERROR(__xludf.DUMMYFUNCTION("""COMPUTED_VALUE"""),"Branch Operations")</f>
        <v>Branch Operations</v>
      </c>
      <c r="L122" s="98" t="str">
        <f>IFERROR(__xludf.DUMMYFUNCTION("""COMPUTED_VALUE"""),"Informed Branch")</f>
        <v>Informed Branch</v>
      </c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>
      <c r="A123" s="82"/>
      <c r="B123" s="106" t="str">
        <f>IFERROR(__xludf.DUMMYFUNCTION("""COMPUTED_VALUE"""),"81")</f>
        <v>81</v>
      </c>
      <c r="C123" s="106" t="str">
        <f>IFERROR(__xludf.DUMMYFUNCTION("""COMPUTED_VALUE"""),"Mandari")</f>
        <v>Mandari</v>
      </c>
      <c r="D123" s="106" t="str">
        <f>IFERROR(__xludf.DUMMYFUNCTION("""COMPUTED_VALUE"""),"760789073")</f>
        <v>760789073</v>
      </c>
      <c r="E123" s="106" t="str">
        <f>IFERROR(__xludf.DUMMYFUNCTION("""COMPUTED_VALUE"""),"N")</f>
        <v>N</v>
      </c>
      <c r="F123" s="106" t="str">
        <f>IFERROR(__xludf.DUMMYFUNCTION("""COMPUTED_VALUE"""),"Super Ayurvedic")</f>
        <v>Super Ayurvedic</v>
      </c>
      <c r="G123" s="106" t="str">
        <f>IFERROR(__xludf.DUMMYFUNCTION("""COMPUTED_VALUE"""),"BD982980")</f>
        <v>BD982980</v>
      </c>
      <c r="H123" s="106" t="str">
        <f>IFERROR(__xludf.DUMMYFUNCTION("""COMPUTED_VALUE"""),"Wennappuwa Branch Location")</f>
        <v>Wennappuwa Branch Location</v>
      </c>
      <c r="I123" s="106" t="str">
        <f>IFERROR(__xludf.DUMMYFUNCTION("""COMPUTED_VALUE"""),"Kuliyapitiya")</f>
        <v>Kuliyapitiya</v>
      </c>
      <c r="J123" s="106" t="str">
        <f>IFERROR(__xludf.DUMMYFUNCTION("""COMPUTED_VALUE"""),"Out For Delivery")</f>
        <v>Out For Delivery</v>
      </c>
      <c r="K123" s="106" t="str">
        <f>IFERROR(__xludf.DUMMYFUNCTION("""COMPUTED_VALUE"""),"Customer Care")</f>
        <v>Customer Care</v>
      </c>
      <c r="L123" s="106" t="str">
        <f>IFERROR(__xludf.DUMMYFUNCTION("""COMPUTED_VALUE"""),"Done")</f>
        <v>Done</v>
      </c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>
      <c r="A124" s="82"/>
      <c r="B124" s="98" t="str">
        <f>IFERROR(__xludf.DUMMYFUNCTION("""COMPUTED_VALUE"""),"82")</f>
        <v>82</v>
      </c>
      <c r="C124" s="98" t="str">
        <f>IFERROR(__xludf.DUMMYFUNCTION("""COMPUTED_VALUE"""),"Mandari")</f>
        <v>Mandari</v>
      </c>
      <c r="D124" s="98" t="str">
        <f>IFERROR(__xludf.DUMMYFUNCTION("""COMPUTED_VALUE"""),"761490856")</f>
        <v>761490856</v>
      </c>
      <c r="E124" s="98" t="str">
        <f>IFERROR(__xludf.DUMMYFUNCTION("""COMPUTED_VALUE"""),"N")</f>
        <v>N</v>
      </c>
      <c r="F124" s="98" t="str">
        <f>IFERROR(__xludf.DUMMYFUNCTION("""COMPUTED_VALUE"""),"Stylefix")</f>
        <v>Stylefix</v>
      </c>
      <c r="G124" s="98" t="str">
        <f>IFERROR(__xludf.DUMMYFUNCTION("""COMPUTED_VALUE"""),"A4565150")</f>
        <v>A4565150</v>
      </c>
      <c r="H124" s="98" t="str">
        <f>IFERROR(__xludf.DUMMYFUNCTION("""COMPUTED_VALUE"""),"Arrange To Deliver Today")</f>
        <v>Arrange To Deliver Today</v>
      </c>
      <c r="I124" s="98" t="str">
        <f>IFERROR(__xludf.DUMMYFUNCTION("""COMPUTED_VALUE"""),"Colombo Metro")</f>
        <v>Colombo Metro</v>
      </c>
      <c r="J124" s="98" t="str">
        <f>IFERROR(__xludf.DUMMYFUNCTION("""COMPUTED_VALUE"""),"Out For Delivery")</f>
        <v>Out For Delivery</v>
      </c>
      <c r="K124" s="98" t="str">
        <f>IFERROR(__xludf.DUMMYFUNCTION("""COMPUTED_VALUE"""),"Branch Operations")</f>
        <v>Branch Operations</v>
      </c>
      <c r="L124" s="98" t="str">
        <f>IFERROR(__xludf.DUMMYFUNCTION("""COMPUTED_VALUE"""),"Informed Branch")</f>
        <v>Informed Branch</v>
      </c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>
      <c r="A125" s="82"/>
      <c r="B125" s="106" t="str">
        <f>IFERROR(__xludf.DUMMYFUNCTION("""COMPUTED_VALUE"""),"83")</f>
        <v>83</v>
      </c>
      <c r="C125" s="106" t="str">
        <f>IFERROR(__xludf.DUMMYFUNCTION("""COMPUTED_VALUE"""),"Mandari")</f>
        <v>Mandari</v>
      </c>
      <c r="D125" s="106" t="str">
        <f>IFERROR(__xludf.DUMMYFUNCTION("""COMPUTED_VALUE"""),"777587301")</f>
        <v>777587301</v>
      </c>
      <c r="E125" s="106" t="str">
        <f>IFERROR(__xludf.DUMMYFUNCTION("""COMPUTED_VALUE"""),"N")</f>
        <v>N</v>
      </c>
      <c r="F125" s="106" t="str">
        <f>IFERROR(__xludf.DUMMYFUNCTION("""COMPUTED_VALUE"""),"Santhawa Prakashana")</f>
        <v>Santhawa Prakashana</v>
      </c>
      <c r="G125" s="106" t="str">
        <f>IFERROR(__xludf.DUMMYFUNCTION("""COMPUTED_VALUE"""),"BA761271")</f>
        <v>BA761271</v>
      </c>
      <c r="H125" s="106" t="str">
        <f>IFERROR(__xludf.DUMMYFUNCTION("""COMPUTED_VALUE"""),"Return Package")</f>
        <v>Return Package</v>
      </c>
      <c r="I125" s="106" t="str">
        <f>IFERROR(__xludf.DUMMYFUNCTION("""COMPUTED_VALUE"""),"Colombo Metro")</f>
        <v>Colombo Metro</v>
      </c>
      <c r="J125" s="106" t="str">
        <f>IFERROR(__xludf.DUMMYFUNCTION("""COMPUTED_VALUE"""),"Returned To Client")</f>
        <v>Returned To Client</v>
      </c>
      <c r="K125" s="106" t="str">
        <f>IFERROR(__xludf.DUMMYFUNCTION("""COMPUTED_VALUE"""),"Branch Operations")</f>
        <v>Branch Operations</v>
      </c>
      <c r="L125" s="106" t="str">
        <f>IFERROR(__xludf.DUMMYFUNCTION("""COMPUTED_VALUE"""),"Done")</f>
        <v>Done</v>
      </c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>
      <c r="A126" s="82"/>
      <c r="B126" s="98" t="str">
        <f>IFERROR(__xludf.DUMMYFUNCTION("""COMPUTED_VALUE"""),"84")</f>
        <v>84</v>
      </c>
      <c r="C126" s="98" t="str">
        <f>IFERROR(__xludf.DUMMYFUNCTION("""COMPUTED_VALUE"""),"Mandari")</f>
        <v>Mandari</v>
      </c>
      <c r="D126" s="98" t="str">
        <f>IFERROR(__xludf.DUMMYFUNCTION("""COMPUTED_VALUE"""),"779026215")</f>
        <v>779026215</v>
      </c>
      <c r="E126" s="98" t="str">
        <f>IFERROR(__xludf.DUMMYFUNCTION("""COMPUTED_VALUE"""),"N")</f>
        <v>N</v>
      </c>
      <c r="F126" s="98" t="str">
        <f>IFERROR(__xludf.DUMMYFUNCTION("""COMPUTED_VALUE"""),"Dewkith Coloting")</f>
        <v>Dewkith Coloting</v>
      </c>
      <c r="G126" s="98" t="str">
        <f>IFERROR(__xludf.DUMMYFUNCTION("""COMPUTED_VALUE"""),"90815443")</f>
        <v>90815443</v>
      </c>
      <c r="H126" s="98" t="str">
        <f>IFERROR(__xludf.DUMMYFUNCTION("""COMPUTED_VALUE"""),"Customer Want Return This Package")</f>
        <v>Customer Want Return This Package</v>
      </c>
      <c r="I126" s="98" t="str">
        <f>IFERROR(__xludf.DUMMYFUNCTION("""COMPUTED_VALUE"""),"Piliyandala")</f>
        <v>Piliyandala</v>
      </c>
      <c r="J126" s="98" t="str">
        <f>IFERROR(__xludf.DUMMYFUNCTION("""COMPUTED_VALUE"""),"Delivered")</f>
        <v>Delivered</v>
      </c>
      <c r="K126" s="98" t="str">
        <f>IFERROR(__xludf.DUMMYFUNCTION("""COMPUTED_VALUE"""),"Customer Care")</f>
        <v>Customer Care</v>
      </c>
      <c r="L126" s="98" t="str">
        <f>IFERROR(__xludf.DUMMYFUNCTION("""COMPUTED_VALUE"""),"Informed Cline")</f>
        <v>Informed Cline</v>
      </c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>
      <c r="A127" s="82"/>
      <c r="B127" s="106" t="str">
        <f>IFERROR(__xludf.DUMMYFUNCTION("""COMPUTED_VALUE"""),"85")</f>
        <v>85</v>
      </c>
      <c r="C127" s="106" t="str">
        <f>IFERROR(__xludf.DUMMYFUNCTION("""COMPUTED_VALUE"""),"Lakshani")</f>
        <v>Lakshani</v>
      </c>
      <c r="D127" s="106" t="str">
        <f>IFERROR(__xludf.DUMMYFUNCTION("""COMPUTED_VALUE"""),"779107164")</f>
        <v>779107164</v>
      </c>
      <c r="E127" s="106" t="str">
        <f>IFERROR(__xludf.DUMMYFUNCTION("""COMPUTED_VALUE"""),"N")</f>
        <v>N</v>
      </c>
      <c r="F127" s="106" t="str">
        <f>IFERROR(__xludf.DUMMYFUNCTION("""COMPUTED_VALUE"""),"Neha Skin")</f>
        <v>Neha Skin</v>
      </c>
      <c r="G127" s="106" t="str">
        <f>IFERROR(__xludf.DUMMYFUNCTION("""COMPUTED_VALUE"""),"BE108403")</f>
        <v>BE108403</v>
      </c>
      <c r="H127" s="106" t="str">
        <f>IFERROR(__xludf.DUMMYFUNCTION("""COMPUTED_VALUE"""),"Urgent Today")</f>
        <v>Urgent Today</v>
      </c>
      <c r="I127" s="106" t="str">
        <f>IFERROR(__xludf.DUMMYFUNCTION("""COMPUTED_VALUE"""),"Rajagiriya")</f>
        <v>Rajagiriya</v>
      </c>
      <c r="J127" s="106" t="str">
        <f>IFERROR(__xludf.DUMMYFUNCTION("""COMPUTED_VALUE"""),"Received At Destination")</f>
        <v>Received At Destination</v>
      </c>
      <c r="K127" s="106" t="str">
        <f>IFERROR(__xludf.DUMMYFUNCTION("""COMPUTED_VALUE"""),"Key Accounts")</f>
        <v>Key Accounts</v>
      </c>
      <c r="L127" s="106" t="str">
        <f>IFERROR(__xludf.DUMMYFUNCTION("""COMPUTED_VALUE"""),"Informed Branch")</f>
        <v>Informed Branch</v>
      </c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>
      <c r="A128" s="82"/>
      <c r="B128" s="98" t="str">
        <f>IFERROR(__xludf.DUMMYFUNCTION("""COMPUTED_VALUE"""),"86")</f>
        <v>86</v>
      </c>
      <c r="C128" s="98" t="str">
        <f>IFERROR(__xludf.DUMMYFUNCTION("""COMPUTED_VALUE"""),"Lakshani")</f>
        <v>Lakshani</v>
      </c>
      <c r="D128" s="98" t="str">
        <f>IFERROR(__xludf.DUMMYFUNCTION("""COMPUTED_VALUE"""),"770304833")</f>
        <v>770304833</v>
      </c>
      <c r="E128" s="98" t="str">
        <f>IFERROR(__xludf.DUMMYFUNCTION("""COMPUTED_VALUE"""),"N")</f>
        <v>N</v>
      </c>
      <c r="F128" s="98" t="str">
        <f>IFERROR(__xludf.DUMMYFUNCTION("""COMPUTED_VALUE"""),"Neha Skin")</f>
        <v>Neha Skin</v>
      </c>
      <c r="G128" s="98" t="str">
        <f>IFERROR(__xludf.DUMMYFUNCTION("""COMPUTED_VALUE"""),"BE108403")</f>
        <v>BE108403</v>
      </c>
      <c r="H128" s="98" t="str">
        <f>IFERROR(__xludf.DUMMYFUNCTION("""COMPUTED_VALUE"""),"Didn'T Know The Tracking Number")</f>
        <v>Didn'T Know The Tracking Number</v>
      </c>
      <c r="I128" s="98" t="str">
        <f>IFERROR(__xludf.DUMMYFUNCTION("""COMPUTED_VALUE"""),"Rajagiriya")</f>
        <v>Rajagiriya</v>
      </c>
      <c r="J128" s="98" t="str">
        <f>IFERROR(__xludf.DUMMYFUNCTION("""COMPUTED_VALUE"""),"Received At Destination")</f>
        <v>Received At Destination</v>
      </c>
      <c r="K128" s="98" t="str">
        <f>IFERROR(__xludf.DUMMYFUNCTION("""COMPUTED_VALUE"""),"Customer Care")</f>
        <v>Customer Care</v>
      </c>
      <c r="L128" s="98" t="str">
        <f>IFERROR(__xludf.DUMMYFUNCTION("""COMPUTED_VALUE"""),"Check And Call Back")</f>
        <v>Check And Call Back</v>
      </c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>
      <c r="A129" s="82"/>
      <c r="B129" s="106" t="str">
        <f>IFERROR(__xludf.DUMMYFUNCTION("""COMPUTED_VALUE"""),"87")</f>
        <v>87</v>
      </c>
      <c r="C129" s="106" t="str">
        <f>IFERROR(__xludf.DUMMYFUNCTION("""COMPUTED_VALUE"""),"Lakshani")</f>
        <v>Lakshani</v>
      </c>
      <c r="D129" s="106" t="str">
        <f>IFERROR(__xludf.DUMMYFUNCTION("""COMPUTED_VALUE"""),"767449279")</f>
        <v>767449279</v>
      </c>
      <c r="E129" s="106" t="str">
        <f>IFERROR(__xludf.DUMMYFUNCTION("""COMPUTED_VALUE"""),"N")</f>
        <v>N</v>
      </c>
      <c r="F129" s="106" t="str">
        <f>IFERROR(__xludf.DUMMYFUNCTION("""COMPUTED_VALUE"""),"Neha Skin")</f>
        <v>Neha Skin</v>
      </c>
      <c r="G129" s="106" t="str">
        <f>IFERROR(__xludf.DUMMYFUNCTION("""COMPUTED_VALUE"""),"BE108403")</f>
        <v>BE108403</v>
      </c>
      <c r="H129" s="106" t="str">
        <f>IFERROR(__xludf.DUMMYFUNCTION("""COMPUTED_VALUE"""),"Belihuloya Branch")</f>
        <v>Belihuloya Branch</v>
      </c>
      <c r="I129" s="106" t="str">
        <f>IFERROR(__xludf.DUMMYFUNCTION("""COMPUTED_VALUE"""),"Rajagiriya")</f>
        <v>Rajagiriya</v>
      </c>
      <c r="J129" s="106" t="str">
        <f>IFERROR(__xludf.DUMMYFUNCTION("""COMPUTED_VALUE"""),"Received At Destination")</f>
        <v>Received At Destination</v>
      </c>
      <c r="K129" s="106" t="str">
        <f>IFERROR(__xludf.DUMMYFUNCTION("""COMPUTED_VALUE"""),"Customer Care")</f>
        <v>Customer Care</v>
      </c>
      <c r="L129" s="106" t="str">
        <f>IFERROR(__xludf.DUMMYFUNCTION("""COMPUTED_VALUE"""),"Balangoda Branch")</f>
        <v>Balangoda Branch</v>
      </c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>
      <c r="A130" s="82"/>
      <c r="B130" s="98" t="str">
        <f>IFERROR(__xludf.DUMMYFUNCTION("""COMPUTED_VALUE"""),"88")</f>
        <v>88</v>
      </c>
      <c r="C130" s="98" t="str">
        <f>IFERROR(__xludf.DUMMYFUNCTION("""COMPUTED_VALUE"""),"Lakshani")</f>
        <v>Lakshani</v>
      </c>
      <c r="D130" s="98" t="str">
        <f>IFERROR(__xludf.DUMMYFUNCTION("""COMPUTED_VALUE"""),"763770209")</f>
        <v>763770209</v>
      </c>
      <c r="E130" s="98" t="str">
        <f>IFERROR(__xludf.DUMMYFUNCTION("""COMPUTED_VALUE"""),"N")</f>
        <v>N</v>
      </c>
      <c r="F130" s="98" t="str">
        <f>IFERROR(__xludf.DUMMYFUNCTION("""COMPUTED_VALUE"""),"Sumexholding")</f>
        <v>Sumexholding</v>
      </c>
      <c r="G130" s="98" t="str">
        <f>IFERROR(__xludf.DUMMYFUNCTION("""COMPUTED_VALUE"""),"BE082366")</f>
        <v>BE082366</v>
      </c>
      <c r="H130" s="98" t="str">
        <f>IFERROR(__xludf.DUMMYFUNCTION("""COMPUTED_VALUE"""),"Customer Req Open The Package")</f>
        <v>Customer Req Open The Package</v>
      </c>
      <c r="I130" s="98" t="str">
        <f>IFERROR(__xludf.DUMMYFUNCTION("""COMPUTED_VALUE"""),"Kalutara")</f>
        <v>Kalutara</v>
      </c>
      <c r="J130" s="98" t="str">
        <f>IFERROR(__xludf.DUMMYFUNCTION("""COMPUTED_VALUE"""),"Re-Delivery")</f>
        <v>Re-Delivery</v>
      </c>
      <c r="K130" s="98" t="str">
        <f>IFERROR(__xludf.DUMMYFUNCTION("""COMPUTED_VALUE"""),"Branch Operations")</f>
        <v>Branch Operations</v>
      </c>
      <c r="L130" s="98" t="str">
        <f>IFERROR(__xludf.DUMMYFUNCTION("""COMPUTED_VALUE"""),"Informed Genzo Team")</f>
        <v>Informed Genzo Team</v>
      </c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>
      <c r="A131" s="82"/>
      <c r="B131" s="106" t="str">
        <f>IFERROR(__xludf.DUMMYFUNCTION("""COMPUTED_VALUE"""),"89")</f>
        <v>89</v>
      </c>
      <c r="C131" s="106" t="str">
        <f>IFERROR(__xludf.DUMMYFUNCTION("""COMPUTED_VALUE"""),"Lakshani")</f>
        <v>Lakshani</v>
      </c>
      <c r="D131" s="106" t="str">
        <f>IFERROR(__xludf.DUMMYFUNCTION("""COMPUTED_VALUE"""),"702552143")</f>
        <v>702552143</v>
      </c>
      <c r="E131" s="106" t="str">
        <f>IFERROR(__xludf.DUMMYFUNCTION("""COMPUTED_VALUE"""),"N")</f>
        <v>N</v>
      </c>
      <c r="F131" s="106" t="str">
        <f>IFERROR(__xludf.DUMMYFUNCTION("""COMPUTED_VALUE"""),"Sumexholding")</f>
        <v>Sumexholding</v>
      </c>
      <c r="G131" s="106" t="str">
        <f>IFERROR(__xludf.DUMMYFUNCTION("""COMPUTED_VALUE"""),"BE082366")</f>
        <v>BE082366</v>
      </c>
      <c r="H131" s="106" t="str">
        <f>IFERROR(__xludf.DUMMYFUNCTION("""COMPUTED_VALUE"""),"Want To Know Some Details")</f>
        <v>Want To Know Some Details</v>
      </c>
      <c r="I131" s="106" t="str">
        <f>IFERROR(__xludf.DUMMYFUNCTION("""COMPUTED_VALUE"""),"Kalutara")</f>
        <v>Kalutara</v>
      </c>
      <c r="J131" s="106" t="str">
        <f>IFERROR(__xludf.DUMMYFUNCTION("""COMPUTED_VALUE"""),"Re-Delivery")</f>
        <v>Re-Delivery</v>
      </c>
      <c r="K131" s="106" t="str">
        <f>IFERROR(__xludf.DUMMYFUNCTION("""COMPUTED_VALUE"""),"Customer Care")</f>
        <v>Customer Care</v>
      </c>
      <c r="L131" s="106" t="str">
        <f>IFERROR(__xludf.DUMMYFUNCTION("""COMPUTED_VALUE"""),"Informed")</f>
        <v>Informed</v>
      </c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>
      <c r="A132" s="82"/>
      <c r="B132" s="98" t="str">
        <f>IFERROR(__xludf.DUMMYFUNCTION("""COMPUTED_VALUE"""),"90")</f>
        <v>90</v>
      </c>
      <c r="C132" s="98" t="str">
        <f>IFERROR(__xludf.DUMMYFUNCTION("""COMPUTED_VALUE"""),"Lakshani")</f>
        <v>Lakshani</v>
      </c>
      <c r="D132" s="98" t="str">
        <f>IFERROR(__xludf.DUMMYFUNCTION("""COMPUTED_VALUE"""),"754476205")</f>
        <v>754476205</v>
      </c>
      <c r="E132" s="98" t="str">
        <f>IFERROR(__xludf.DUMMYFUNCTION("""COMPUTED_VALUE"""),"N")</f>
        <v>N</v>
      </c>
      <c r="F132" s="108" t="str">
        <f>IFERROR(__xludf.DUMMYFUNCTION("""COMPUTED_VALUE"""),"Awaymonk.Lk")</f>
        <v>Awaymonk.Lk</v>
      </c>
      <c r="G132" s="98" t="str">
        <f>IFERROR(__xludf.DUMMYFUNCTION("""COMPUTED_VALUE"""),"BE096306")</f>
        <v>BE096306</v>
      </c>
      <c r="H132" s="98" t="str">
        <f>IFERROR(__xludf.DUMMYFUNCTION("""COMPUTED_VALUE"""),"Re Deliver Today")</f>
        <v>Re Deliver Today</v>
      </c>
      <c r="I132" s="98" t="str">
        <f>IFERROR(__xludf.DUMMYFUNCTION("""COMPUTED_VALUE"""),"Colombo Metro")</f>
        <v>Colombo Metro</v>
      </c>
      <c r="J132" s="98" t="str">
        <f>IFERROR(__xludf.DUMMYFUNCTION("""COMPUTED_VALUE"""),"Returned To Branch Failed To Deliver")</f>
        <v>Returned To Branch Failed To Deliver</v>
      </c>
      <c r="K132" s="98" t="str">
        <f>IFERROR(__xludf.DUMMYFUNCTION("""COMPUTED_VALUE"""),"Branch Operations")</f>
        <v>Branch Operations</v>
      </c>
      <c r="L132" s="98" t="str">
        <f>IFERROR(__xludf.DUMMYFUNCTION("""COMPUTED_VALUE"""),"Done")</f>
        <v>Done</v>
      </c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>
      <c r="A133" s="82"/>
      <c r="B133" s="106" t="str">
        <f>IFERROR(__xludf.DUMMYFUNCTION("""COMPUTED_VALUE"""),"91")</f>
        <v>91</v>
      </c>
      <c r="C133" s="106" t="str">
        <f>IFERROR(__xludf.DUMMYFUNCTION("""COMPUTED_VALUE"""),"Lakshani")</f>
        <v>Lakshani</v>
      </c>
      <c r="D133" s="106" t="str">
        <f>IFERROR(__xludf.DUMMYFUNCTION("""COMPUTED_VALUE"""),"770765802")</f>
        <v>770765802</v>
      </c>
      <c r="E133" s="106" t="str">
        <f>IFERROR(__xludf.DUMMYFUNCTION("""COMPUTED_VALUE"""),"N")</f>
        <v>N</v>
      </c>
      <c r="F133" s="106" t="str">
        <f>IFERROR(__xludf.DUMMYFUNCTION("""COMPUTED_VALUE"""),"Camera Lanka.Lk")</f>
        <v>Camera Lanka.Lk</v>
      </c>
      <c r="G133" s="106" t="str">
        <f>IFERROR(__xludf.DUMMYFUNCTION("""COMPUTED_VALUE"""),"A4526260")</f>
        <v>A4526260</v>
      </c>
      <c r="H133" s="106" t="str">
        <f>IFERROR(__xludf.DUMMYFUNCTION("""COMPUTED_VALUE"""),"D/D Anamduwa Branch")</f>
        <v>D/D Anamduwa Branch</v>
      </c>
      <c r="I133" s="106" t="str">
        <f>IFERROR(__xludf.DUMMYFUNCTION("""COMPUTED_VALUE"""),"Maho")</f>
        <v>Maho</v>
      </c>
      <c r="J133" s="106" t="str">
        <f>IFERROR(__xludf.DUMMYFUNCTION("""COMPUTED_VALUE"""),"Return To Ho (Invalid Destination)")</f>
        <v>Return To Ho (Invalid Destination)</v>
      </c>
      <c r="K133" s="106" t="str">
        <f>IFERROR(__xludf.DUMMYFUNCTION("""COMPUTED_VALUE"""),"Branch Operations")</f>
        <v>Branch Operations</v>
      </c>
      <c r="L133" s="106" t="str">
        <f>IFERROR(__xludf.DUMMYFUNCTION("""COMPUTED_VALUE"""),"Informed Customer About That")</f>
        <v>Informed Customer About That</v>
      </c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>
      <c r="A134" s="82"/>
      <c r="B134" s="98" t="str">
        <f>IFERROR(__xludf.DUMMYFUNCTION("""COMPUTED_VALUE"""),"92")</f>
        <v>92</v>
      </c>
      <c r="C134" s="98" t="str">
        <f>IFERROR(__xludf.DUMMYFUNCTION("""COMPUTED_VALUE"""),"Lakshani")</f>
        <v>Lakshani</v>
      </c>
      <c r="D134" s="98" t="str">
        <f>IFERROR(__xludf.DUMMYFUNCTION("""COMPUTED_VALUE"""),"772648277")</f>
        <v>772648277</v>
      </c>
      <c r="E134" s="98" t="str">
        <f>IFERROR(__xludf.DUMMYFUNCTION("""COMPUTED_VALUE"""),"Y")</f>
        <v>Y</v>
      </c>
      <c r="F134" s="98" t="str">
        <f>IFERROR(__xludf.DUMMYFUNCTION("""COMPUTED_VALUE"""),"Sasindu Aqua Farm")</f>
        <v>Sasindu Aqua Farm</v>
      </c>
      <c r="G134" s="98" t="str">
        <f>IFERROR(__xludf.DUMMYFUNCTION("""COMPUTED_VALUE"""),"A4705463")</f>
        <v>A4705463</v>
      </c>
      <c r="H134" s="98" t="str">
        <f>IFERROR(__xludf.DUMMYFUNCTION("""COMPUTED_VALUE"""),"Urgent Today")</f>
        <v>Urgent Today</v>
      </c>
      <c r="I134" s="98" t="str">
        <f>IFERROR(__xludf.DUMMYFUNCTION("""COMPUTED_VALUE"""),"Welimada")</f>
        <v>Welimada</v>
      </c>
      <c r="J134" s="98" t="str">
        <f>IFERROR(__xludf.DUMMYFUNCTION("""COMPUTED_VALUE"""),"Received At Destination")</f>
        <v>Received At Destination</v>
      </c>
      <c r="K134" s="98" t="str">
        <f>IFERROR(__xludf.DUMMYFUNCTION("""COMPUTED_VALUE"""),"Branch Operations")</f>
        <v>Branch Operations</v>
      </c>
      <c r="L134" s="98" t="str">
        <f>IFERROR(__xludf.DUMMYFUNCTION("""COMPUTED_VALUE"""),"Informed Branch")</f>
        <v>Informed Branch</v>
      </c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>
      <c r="A135" s="82"/>
      <c r="B135" s="106" t="str">
        <f>IFERROR(__xludf.DUMMYFUNCTION("""COMPUTED_VALUE"""),"93")</f>
        <v>93</v>
      </c>
      <c r="C135" s="106" t="str">
        <f>IFERROR(__xludf.DUMMYFUNCTION("""COMPUTED_VALUE"""),"Lakshani")</f>
        <v>Lakshani</v>
      </c>
      <c r="D135" s="106" t="str">
        <f>IFERROR(__xludf.DUMMYFUNCTION("""COMPUTED_VALUE"""),"749562556")</f>
        <v>749562556</v>
      </c>
      <c r="E135" s="106" t="str">
        <f>IFERROR(__xludf.DUMMYFUNCTION("""COMPUTED_VALUE"""),"Y")</f>
        <v>Y</v>
      </c>
      <c r="F135" s="106" t="str">
        <f>IFERROR(__xludf.DUMMYFUNCTION("""COMPUTED_VALUE"""),"Sasindu Aqua Farm")</f>
        <v>Sasindu Aqua Farm</v>
      </c>
      <c r="G135" s="106" t="str">
        <f>IFERROR(__xludf.DUMMYFUNCTION("""COMPUTED_VALUE"""),"BE070737")</f>
        <v>BE070737</v>
      </c>
      <c r="H135" s="106" t="str">
        <f>IFERROR(__xludf.DUMMYFUNCTION("""COMPUTED_VALUE"""),"Re Deliver")</f>
        <v>Re Deliver</v>
      </c>
      <c r="I135" s="106" t="str">
        <f>IFERROR(__xludf.DUMMYFUNCTION("""COMPUTED_VALUE"""),"Welimada")</f>
        <v>Welimada</v>
      </c>
      <c r="J135" s="106" t="str">
        <f>IFERROR(__xludf.DUMMYFUNCTION("""COMPUTED_VALUE"""),"Received At Destination")</f>
        <v>Received At Destination</v>
      </c>
      <c r="K135" s="106" t="str">
        <f>IFERROR(__xludf.DUMMYFUNCTION("""COMPUTED_VALUE"""),"Customer Care")</f>
        <v>Customer Care</v>
      </c>
      <c r="L135" s="106" t="str">
        <f>IFERROR(__xludf.DUMMYFUNCTION("""COMPUTED_VALUE"""),"Done")</f>
        <v>Done</v>
      </c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>
      <c r="A136" s="82"/>
      <c r="B136" s="98" t="str">
        <f>IFERROR(__xludf.DUMMYFUNCTION("""COMPUTED_VALUE"""),"94")</f>
        <v>94</v>
      </c>
      <c r="C136" s="98" t="str">
        <f>IFERROR(__xludf.DUMMYFUNCTION("""COMPUTED_VALUE"""),"Lakshani")</f>
        <v>Lakshani</v>
      </c>
      <c r="D136" s="98" t="str">
        <f>IFERROR(__xludf.DUMMYFUNCTION("""COMPUTED_VALUE"""),"751316983")</f>
        <v>751316983</v>
      </c>
      <c r="E136" s="98" t="str">
        <f>IFERROR(__xludf.DUMMYFUNCTION("""COMPUTED_VALUE"""),"Y")</f>
        <v>Y</v>
      </c>
      <c r="F136" s="98" t="str">
        <f>IFERROR(__xludf.DUMMYFUNCTION("""COMPUTED_VALUE"""),"Sippi Clothing")</f>
        <v>Sippi Clothing</v>
      </c>
      <c r="G136" s="98" t="str">
        <f>IFERROR(__xludf.DUMMYFUNCTION("""COMPUTED_VALUE"""),"BA780702")</f>
        <v>BA780702</v>
      </c>
      <c r="H136" s="98" t="str">
        <f>IFERROR(__xludf.DUMMYFUNCTION("""COMPUTED_VALUE"""),"Customer Want Return The Package")</f>
        <v>Customer Want Return The Package</v>
      </c>
      <c r="I136" s="98" t="str">
        <f>IFERROR(__xludf.DUMMYFUNCTION("""COMPUTED_VALUE"""),"Welimada")</f>
        <v>Welimada</v>
      </c>
      <c r="J136" s="98" t="str">
        <f>IFERROR(__xludf.DUMMYFUNCTION("""COMPUTED_VALUE"""),"Received At Destination")</f>
        <v>Received At Destination</v>
      </c>
      <c r="K136" s="98" t="str">
        <f>IFERROR(__xludf.DUMMYFUNCTION("""COMPUTED_VALUE"""),"Customer Care")</f>
        <v>Customer Care</v>
      </c>
      <c r="L136" s="98" t="str">
        <f>IFERROR(__xludf.DUMMYFUNCTION("""COMPUTED_VALUE"""),"Informed Client")</f>
        <v>Informed Client</v>
      </c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>
      <c r="A137" s="82"/>
      <c r="B137" s="106" t="str">
        <f>IFERROR(__xludf.DUMMYFUNCTION("""COMPUTED_VALUE"""),"95")</f>
        <v>95</v>
      </c>
      <c r="C137" s="106" t="str">
        <f>IFERROR(__xludf.DUMMYFUNCTION("""COMPUTED_VALUE"""),"Lakshani")</f>
        <v>Lakshani</v>
      </c>
      <c r="D137" s="106" t="str">
        <f>IFERROR(__xludf.DUMMYFUNCTION("""COMPUTED_VALUE"""),"793193769")</f>
        <v>793193769</v>
      </c>
      <c r="E137" s="106" t="str">
        <f>IFERROR(__xludf.DUMMYFUNCTION("""COMPUTED_VALUE"""),"Y")</f>
        <v>Y</v>
      </c>
      <c r="F137" s="106" t="str">
        <f>IFERROR(__xludf.DUMMYFUNCTION("""COMPUTED_VALUE"""),"Tiny Tush Diapers")</f>
        <v>Tiny Tush Diapers</v>
      </c>
      <c r="G137" s="106" t="str">
        <f>IFERROR(__xludf.DUMMYFUNCTION("""COMPUTED_VALUE"""),"BA780702")</f>
        <v>BA780702</v>
      </c>
      <c r="H137" s="106" t="str">
        <f>IFERROR(__xludf.DUMMYFUNCTION("""COMPUTED_VALUE"""),"Gampha Branch Number")</f>
        <v>Gampha Branch Number</v>
      </c>
      <c r="I137" s="106" t="str">
        <f>IFERROR(__xludf.DUMMYFUNCTION("""COMPUTED_VALUE"""),"Welimada")</f>
        <v>Welimada</v>
      </c>
      <c r="J137" s="106" t="str">
        <f>IFERROR(__xludf.DUMMYFUNCTION("""COMPUTED_VALUE"""),"Received At Destination")</f>
        <v>Received At Destination</v>
      </c>
      <c r="K137" s="106" t="str">
        <f>IFERROR(__xludf.DUMMYFUNCTION("""COMPUTED_VALUE"""),"Customer Care")</f>
        <v>Customer Care</v>
      </c>
      <c r="L137" s="106" t="str">
        <f>IFERROR(__xludf.DUMMYFUNCTION("""COMPUTED_VALUE"""),"Given No")</f>
        <v>Given No</v>
      </c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>
      <c r="A138" s="82"/>
      <c r="B138" s="98" t="str">
        <f>IFERROR(__xludf.DUMMYFUNCTION("""COMPUTED_VALUE"""),"96")</f>
        <v>96</v>
      </c>
      <c r="C138" s="98" t="str">
        <f>IFERROR(__xludf.DUMMYFUNCTION("""COMPUTED_VALUE"""),"Lakshani")</f>
        <v>Lakshani</v>
      </c>
      <c r="D138" s="98" t="str">
        <f>IFERROR(__xludf.DUMMYFUNCTION("""COMPUTED_VALUE"""),"756433643")</f>
        <v>756433643</v>
      </c>
      <c r="E138" s="98" t="str">
        <f>IFERROR(__xludf.DUMMYFUNCTION("""COMPUTED_VALUE"""),"Y")</f>
        <v>Y</v>
      </c>
      <c r="F138" s="98" t="str">
        <f>IFERROR(__xludf.DUMMYFUNCTION("""COMPUTED_VALUE"""),"Infinity Woodstore")</f>
        <v>Infinity Woodstore</v>
      </c>
      <c r="G138" s="98" t="str">
        <f>IFERROR(__xludf.DUMMYFUNCTION("""COMPUTED_VALUE"""),"BA780702")</f>
        <v>BA780702</v>
      </c>
      <c r="H138" s="98" t="str">
        <f>IFERROR(__xludf.DUMMYFUNCTION("""COMPUTED_VALUE"""),"Kalmunai Branch Rm Number")</f>
        <v>Kalmunai Branch Rm Number</v>
      </c>
      <c r="I138" s="98" t="str">
        <f>IFERROR(__xludf.DUMMYFUNCTION("""COMPUTED_VALUE"""),"Welimada")</f>
        <v>Welimada</v>
      </c>
      <c r="J138" s="98" t="str">
        <f>IFERROR(__xludf.DUMMYFUNCTION("""COMPUTED_VALUE"""),"Received At Destination")</f>
        <v>Received At Destination</v>
      </c>
      <c r="K138" s="98" t="str">
        <f>IFERROR(__xludf.DUMMYFUNCTION("""COMPUTED_VALUE"""),"Customer Care")</f>
        <v>Customer Care</v>
      </c>
      <c r="L138" s="98" t="str">
        <f>IFERROR(__xludf.DUMMYFUNCTION("""COMPUTED_VALUE"""),"Given No")</f>
        <v>Given No</v>
      </c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>
      <c r="A139" s="82"/>
      <c r="B139" s="106" t="str">
        <f>IFERROR(__xludf.DUMMYFUNCTION("""COMPUTED_VALUE"""),"97")</f>
        <v>97</v>
      </c>
      <c r="C139" s="106" t="str">
        <f>IFERROR(__xludf.DUMMYFUNCTION("""COMPUTED_VALUE"""),"Lakshani")</f>
        <v>Lakshani</v>
      </c>
      <c r="D139" s="106" t="str">
        <f>IFERROR(__xludf.DUMMYFUNCTION("""COMPUTED_VALUE"""),"786096403")</f>
        <v>786096403</v>
      </c>
      <c r="E139" s="106" t="str">
        <f>IFERROR(__xludf.DUMMYFUNCTION("""COMPUTED_VALUE"""),"Y")</f>
        <v>Y</v>
      </c>
      <c r="F139" s="106" t="str">
        <f>IFERROR(__xludf.DUMMYFUNCTION("""COMPUTED_VALUE"""),"Neth Fashion Clothing")</f>
        <v>Neth Fashion Clothing</v>
      </c>
      <c r="G139" s="106" t="str">
        <f>IFERROR(__xludf.DUMMYFUNCTION("""COMPUTED_VALUE"""),"A4470093")</f>
        <v>A4470093</v>
      </c>
      <c r="H139" s="106" t="str">
        <f>IFERROR(__xludf.DUMMYFUNCTION("""COMPUTED_VALUE"""),"Urgent Today")</f>
        <v>Urgent Today</v>
      </c>
      <c r="I139" s="106" t="str">
        <f>IFERROR(__xludf.DUMMYFUNCTION("""COMPUTED_VALUE"""),"Homagama")</f>
        <v>Homagama</v>
      </c>
      <c r="J139" s="106" t="str">
        <f>IFERROR(__xludf.DUMMYFUNCTION("""COMPUTED_VALUE"""),"Returned To Branch Rescheduled")</f>
        <v>Returned To Branch Rescheduled</v>
      </c>
      <c r="K139" s="106" t="str">
        <f>IFERROR(__xludf.DUMMYFUNCTION("""COMPUTED_VALUE"""),"Branch Operations")</f>
        <v>Branch Operations</v>
      </c>
      <c r="L139" s="106" t="str">
        <f>IFERROR(__xludf.DUMMYFUNCTION("""COMPUTED_VALUE"""),"Informed Branch")</f>
        <v>Informed Branch</v>
      </c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>
      <c r="A140" s="82"/>
      <c r="B140" s="98" t="str">
        <f>IFERROR(__xludf.DUMMYFUNCTION("""COMPUTED_VALUE"""),"98")</f>
        <v>98</v>
      </c>
      <c r="C140" s="98" t="str">
        <f>IFERROR(__xludf.DUMMYFUNCTION("""COMPUTED_VALUE"""),"Lakshani")</f>
        <v>Lakshani</v>
      </c>
      <c r="D140" s="98" t="str">
        <f>IFERROR(__xludf.DUMMYFUNCTION("""COMPUTED_VALUE"""),"701878457")</f>
        <v>701878457</v>
      </c>
      <c r="E140" s="98" t="str">
        <f>IFERROR(__xludf.DUMMYFUNCTION("""COMPUTED_VALUE"""),"Y")</f>
        <v>Y</v>
      </c>
      <c r="F140" s="98" t="str">
        <f>IFERROR(__xludf.DUMMYFUNCTION("""COMPUTED_VALUE"""),"Neth Fashion Clothing")</f>
        <v>Neth Fashion Clothing</v>
      </c>
      <c r="G140" s="98" t="str">
        <f>IFERROR(__xludf.DUMMYFUNCTION("""COMPUTED_VALUE"""),"A4203074")</f>
        <v>A4203074</v>
      </c>
      <c r="H140" s="98" t="str">
        <f>IFERROR(__xludf.DUMMYFUNCTION("""COMPUTED_VALUE"""),"Re Deliver")</f>
        <v>Re Deliver</v>
      </c>
      <c r="I140" s="98" t="str">
        <f>IFERROR(__xludf.DUMMYFUNCTION("""COMPUTED_VALUE"""),"Homagama")</f>
        <v>Homagama</v>
      </c>
      <c r="J140" s="98" t="str">
        <f>IFERROR(__xludf.DUMMYFUNCTION("""COMPUTED_VALUE"""),"Returned To Branch Rescheduled")</f>
        <v>Returned To Branch Rescheduled</v>
      </c>
      <c r="K140" s="98" t="str">
        <f>IFERROR(__xludf.DUMMYFUNCTION("""COMPUTED_VALUE"""),"Customer Care")</f>
        <v>Customer Care</v>
      </c>
      <c r="L140" s="98" t="str">
        <f>IFERROR(__xludf.DUMMYFUNCTION("""COMPUTED_VALUE"""),"Done")</f>
        <v>Done</v>
      </c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>
      <c r="A141" s="82"/>
      <c r="B141" s="106" t="str">
        <f>IFERROR(__xludf.DUMMYFUNCTION("""COMPUTED_VALUE"""),"99")</f>
        <v>99</v>
      </c>
      <c r="C141" s="106" t="str">
        <f>IFERROR(__xludf.DUMMYFUNCTION("""COMPUTED_VALUE"""),"Lakshani")</f>
        <v>Lakshani</v>
      </c>
      <c r="D141" s="106" t="str">
        <f>IFERROR(__xludf.DUMMYFUNCTION("""COMPUTED_VALUE"""),"794174169")</f>
        <v>794174169</v>
      </c>
      <c r="E141" s="106" t="str">
        <f>IFERROR(__xludf.DUMMYFUNCTION("""COMPUTED_VALUE"""),"Y")</f>
        <v>Y</v>
      </c>
      <c r="F141" s="106" t="str">
        <f>IFERROR(__xludf.DUMMYFUNCTION("""COMPUTED_VALUE"""),"Cool Stuff")</f>
        <v>Cool Stuff</v>
      </c>
      <c r="G141" s="106" t="str">
        <f>IFERROR(__xludf.DUMMYFUNCTION("""COMPUTED_VALUE"""),"A3329429")</f>
        <v>A3329429</v>
      </c>
      <c r="H141" s="106" t="str">
        <f>IFERROR(__xludf.DUMMYFUNCTION("""COMPUTED_VALUE"""),"Customer Already Recived The Package")</f>
        <v>Customer Already Recived The Package</v>
      </c>
      <c r="I141" s="106" t="str">
        <f>IFERROR(__xludf.DUMMYFUNCTION("""COMPUTED_VALUE"""),"Homagama")</f>
        <v>Homagama</v>
      </c>
      <c r="J141" s="106" t="str">
        <f>IFERROR(__xludf.DUMMYFUNCTION("""COMPUTED_VALUE"""),"Returned To Branch Rescheduled")</f>
        <v>Returned To Branch Rescheduled</v>
      </c>
      <c r="K141" s="106" t="str">
        <f>IFERROR(__xludf.DUMMYFUNCTION("""COMPUTED_VALUE"""),"Branch Operations")</f>
        <v>Branch Operations</v>
      </c>
      <c r="L141" s="106" t="str">
        <f>IFERROR(__xludf.DUMMYFUNCTION("""COMPUTED_VALUE"""),"Informed Rm")</f>
        <v>Informed Rm</v>
      </c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>
      <c r="A142" s="82"/>
      <c r="B142" s="98" t="str">
        <f>IFERROR(__xludf.DUMMYFUNCTION("""COMPUTED_VALUE"""),"100")</f>
        <v>100</v>
      </c>
      <c r="C142" s="98" t="str">
        <f>IFERROR(__xludf.DUMMYFUNCTION("""COMPUTED_VALUE"""),"Lakshani")</f>
        <v>Lakshani</v>
      </c>
      <c r="D142" s="98" t="str">
        <f>IFERROR(__xludf.DUMMYFUNCTION("""COMPUTED_VALUE"""),"726215830")</f>
        <v>726215830</v>
      </c>
      <c r="E142" s="98" t="str">
        <f>IFERROR(__xludf.DUMMYFUNCTION("""COMPUTED_VALUE"""),"Y")</f>
        <v>Y</v>
      </c>
      <c r="F142" s="98" t="str">
        <f>IFERROR(__xludf.DUMMYFUNCTION("""COMPUTED_VALUE"""),"Tiny Tush Diapers")</f>
        <v>Tiny Tush Diapers</v>
      </c>
      <c r="G142" s="98" t="str">
        <f>IFERROR(__xludf.DUMMYFUNCTION("""COMPUTED_VALUE"""),"A4598750")</f>
        <v>A4598750</v>
      </c>
      <c r="H142" s="98" t="str">
        <f>IFERROR(__xludf.DUMMYFUNCTION("""COMPUTED_VALUE"""),"Urgent Today")</f>
        <v>Urgent Today</v>
      </c>
      <c r="I142" s="98" t="str">
        <f>IFERROR(__xludf.DUMMYFUNCTION("""COMPUTED_VALUE"""),"Homagama")</f>
        <v>Homagama</v>
      </c>
      <c r="J142" s="98" t="str">
        <f>IFERROR(__xludf.DUMMYFUNCTION("""COMPUTED_VALUE"""),"Returned To Branch Rescheduled")</f>
        <v>Returned To Branch Rescheduled</v>
      </c>
      <c r="K142" s="98" t="str">
        <f>IFERROR(__xludf.DUMMYFUNCTION("""COMPUTED_VALUE"""),"Branch Operations")</f>
        <v>Branch Operations</v>
      </c>
      <c r="L142" s="98" t="str">
        <f>IFERROR(__xludf.DUMMYFUNCTION("""COMPUTED_VALUE"""),"Informed Branch")</f>
        <v>Informed Branch</v>
      </c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>
      <c r="A143" s="82"/>
      <c r="B143" s="106" t="str">
        <f>IFERROR(__xludf.DUMMYFUNCTION("""COMPUTED_VALUE"""),"101")</f>
        <v>101</v>
      </c>
      <c r="C143" s="106" t="str">
        <f>IFERROR(__xludf.DUMMYFUNCTION("""COMPUTED_VALUE"""),"Lakshani")</f>
        <v>Lakshani</v>
      </c>
      <c r="D143" s="106" t="str">
        <f>IFERROR(__xludf.DUMMYFUNCTION("""COMPUTED_VALUE"""),"707395810")</f>
        <v>707395810</v>
      </c>
      <c r="E143" s="106" t="str">
        <f>IFERROR(__xludf.DUMMYFUNCTION("""COMPUTED_VALUE"""),"Y")</f>
        <v>Y</v>
      </c>
      <c r="F143" s="106" t="str">
        <f>IFERROR(__xludf.DUMMYFUNCTION("""COMPUTED_VALUE"""),"Happiness")</f>
        <v>Happiness</v>
      </c>
      <c r="G143" s="106" t="str">
        <f>IFERROR(__xludf.DUMMYFUNCTION("""COMPUTED_VALUE"""),"A4622607")</f>
        <v>A4622607</v>
      </c>
      <c r="H143" s="106" t="str">
        <f>IFERROR(__xludf.DUMMYFUNCTION("""COMPUTED_VALUE"""),"Customer Compline")</f>
        <v>Customer Compline</v>
      </c>
      <c r="I143" s="106" t="str">
        <f>IFERROR(__xludf.DUMMYFUNCTION("""COMPUTED_VALUE"""),"Kurunegala")</f>
        <v>Kurunegala</v>
      </c>
      <c r="J143" s="106" t="str">
        <f>IFERROR(__xludf.DUMMYFUNCTION("""COMPUTED_VALUE"""),"Out For Delivery")</f>
        <v>Out For Delivery</v>
      </c>
      <c r="K143" s="106" t="str">
        <f>IFERROR(__xludf.DUMMYFUNCTION("""COMPUTED_VALUE"""),"Branch Operations")</f>
        <v>Branch Operations</v>
      </c>
      <c r="L143" s="106" t="str">
        <f>IFERROR(__xludf.DUMMYFUNCTION("""COMPUTED_VALUE"""),"Informed Branch")</f>
        <v>Informed Branch</v>
      </c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>
      <c r="A144" s="82"/>
      <c r="B144" s="98" t="str">
        <f>IFERROR(__xludf.DUMMYFUNCTION("""COMPUTED_VALUE"""),"102")</f>
        <v>102</v>
      </c>
      <c r="C144" s="98" t="str">
        <f>IFERROR(__xludf.DUMMYFUNCTION("""COMPUTED_VALUE"""),"Lakshani")</f>
        <v>Lakshani</v>
      </c>
      <c r="D144" s="98" t="str">
        <f>IFERROR(__xludf.DUMMYFUNCTION("""COMPUTED_VALUE"""),"763379960")</f>
        <v>763379960</v>
      </c>
      <c r="E144" s="98" t="str">
        <f>IFERROR(__xludf.DUMMYFUNCTION("""COMPUTED_VALUE"""),"Y")</f>
        <v>Y</v>
      </c>
      <c r="F144" s="98" t="str">
        <f>IFERROR(__xludf.DUMMYFUNCTION("""COMPUTED_VALUE"""),"Sency Kids")</f>
        <v>Sency Kids</v>
      </c>
      <c r="G144" s="98" t="str">
        <f>IFERROR(__xludf.DUMMYFUNCTION("""COMPUTED_VALUE"""),"A3919534")</f>
        <v>A3919534</v>
      </c>
      <c r="H144" s="98" t="str">
        <f>IFERROR(__xludf.DUMMYFUNCTION("""COMPUTED_VALUE"""),"Re Deliver After 10 Days")</f>
        <v>Re Deliver After 10 Days</v>
      </c>
      <c r="I144" s="98" t="str">
        <f>IFERROR(__xludf.DUMMYFUNCTION("""COMPUTED_VALUE"""),"Homagama")</f>
        <v>Homagama</v>
      </c>
      <c r="J144" s="98" t="str">
        <f>IFERROR(__xludf.DUMMYFUNCTION("""COMPUTED_VALUE"""),"Returned To Branch Failed To Deliver")</f>
        <v>Returned To Branch Failed To Deliver</v>
      </c>
      <c r="K144" s="98" t="str">
        <f>IFERROR(__xludf.DUMMYFUNCTION("""COMPUTED_VALUE"""),"Branch Operations")</f>
        <v>Branch Operations</v>
      </c>
      <c r="L144" s="98" t="str">
        <f>IFERROR(__xludf.DUMMYFUNCTION("""COMPUTED_VALUE"""),"Done")</f>
        <v>Done</v>
      </c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>
      <c r="A145" s="82"/>
      <c r="B145" s="106" t="str">
        <f>IFERROR(__xludf.DUMMYFUNCTION("""COMPUTED_VALUE"""),"103")</f>
        <v>103</v>
      </c>
      <c r="C145" s="106" t="str">
        <f>IFERROR(__xludf.DUMMYFUNCTION("""COMPUTED_VALUE"""),"Lakshani")</f>
        <v>Lakshani</v>
      </c>
      <c r="D145" s="106" t="str">
        <f>IFERROR(__xludf.DUMMYFUNCTION("""COMPUTED_VALUE"""),"735055624")</f>
        <v>735055624</v>
      </c>
      <c r="E145" s="106" t="str">
        <f>IFERROR(__xludf.DUMMYFUNCTION("""COMPUTED_VALUE"""),"Y")</f>
        <v>Y</v>
      </c>
      <c r="F145" s="106" t="str">
        <f>IFERROR(__xludf.DUMMYFUNCTION("""COMPUTED_VALUE"""),"Sency Kids")</f>
        <v>Sency Kids</v>
      </c>
      <c r="G145" s="106" t="str">
        <f>IFERROR(__xludf.DUMMYFUNCTION("""COMPUTED_VALUE"""),"BE103029")</f>
        <v>BE103029</v>
      </c>
      <c r="H145" s="106" t="str">
        <f>IFERROR(__xludf.DUMMYFUNCTION("""COMPUTED_VALUE"""),"Re Deliver")</f>
        <v>Re Deliver</v>
      </c>
      <c r="I145" s="106" t="str">
        <f>IFERROR(__xludf.DUMMYFUNCTION("""COMPUTED_VALUE"""),"Homagama")</f>
        <v>Homagama</v>
      </c>
      <c r="J145" s="106" t="str">
        <f>IFERROR(__xludf.DUMMYFUNCTION("""COMPUTED_VALUE"""),"Returned To Branch Failed To Deliver")</f>
        <v>Returned To Branch Failed To Deliver</v>
      </c>
      <c r="K145" s="106" t="str">
        <f>IFERROR(__xludf.DUMMYFUNCTION("""COMPUTED_VALUE"""),"Customer Care")</f>
        <v>Customer Care</v>
      </c>
      <c r="L145" s="106" t="str">
        <f>IFERROR(__xludf.DUMMYFUNCTION("""COMPUTED_VALUE"""),"Done")</f>
        <v>Done</v>
      </c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>
      <c r="A146" s="82"/>
      <c r="B146" s="98" t="str">
        <f>IFERROR(__xludf.DUMMYFUNCTION("""COMPUTED_VALUE"""),"104")</f>
        <v>104</v>
      </c>
      <c r="C146" s="98" t="str">
        <f>IFERROR(__xludf.DUMMYFUNCTION("""COMPUTED_VALUE"""),"Lakshani")</f>
        <v>Lakshani</v>
      </c>
      <c r="D146" s="98" t="str">
        <f>IFERROR(__xludf.DUMMYFUNCTION("""COMPUTED_VALUE"""),"720362063")</f>
        <v>720362063</v>
      </c>
      <c r="E146" s="98" t="str">
        <f>IFERROR(__xludf.DUMMYFUNCTION("""COMPUTED_VALUE"""),"Y")</f>
        <v>Y</v>
      </c>
      <c r="F146" s="98" t="str">
        <f>IFERROR(__xludf.DUMMYFUNCTION("""COMPUTED_VALUE"""),"Sency Kids")</f>
        <v>Sency Kids</v>
      </c>
      <c r="G146" s="98" t="str">
        <f>IFERROR(__xludf.DUMMYFUNCTION("""COMPUTED_VALUE"""),"BA752662")</f>
        <v>BA752662</v>
      </c>
      <c r="H146" s="98" t="str">
        <f>IFERROR(__xludf.DUMMYFUNCTION("""COMPUTED_VALUE"""),"Re Deliver")</f>
        <v>Re Deliver</v>
      </c>
      <c r="I146" s="98" t="str">
        <f>IFERROR(__xludf.DUMMYFUNCTION("""COMPUTED_VALUE"""),"Homagama")</f>
        <v>Homagama</v>
      </c>
      <c r="J146" s="98" t="str">
        <f>IFERROR(__xludf.DUMMYFUNCTION("""COMPUTED_VALUE"""),"Returned To Branch Failed To Deliver")</f>
        <v>Returned To Branch Failed To Deliver</v>
      </c>
      <c r="K146" s="98" t="str">
        <f>IFERROR(__xludf.DUMMYFUNCTION("""COMPUTED_VALUE"""),"Customer Care")</f>
        <v>Customer Care</v>
      </c>
      <c r="L146" s="98" t="str">
        <f>IFERROR(__xludf.DUMMYFUNCTION("""COMPUTED_VALUE"""),"Done")</f>
        <v>Done</v>
      </c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>
      <c r="A147" s="82"/>
      <c r="B147" s="106" t="str">
        <f>IFERROR(__xludf.DUMMYFUNCTION("""COMPUTED_VALUE"""),"105")</f>
        <v>105</v>
      </c>
      <c r="C147" s="106" t="str">
        <f>IFERROR(__xludf.DUMMYFUNCTION("""COMPUTED_VALUE"""),"Lakshani")</f>
        <v>Lakshani</v>
      </c>
      <c r="D147" s="106" t="str">
        <f>IFERROR(__xludf.DUMMYFUNCTION("""COMPUTED_VALUE"""),"724039780")</f>
        <v>724039780</v>
      </c>
      <c r="E147" s="106" t="str">
        <f>IFERROR(__xludf.DUMMYFUNCTION("""COMPUTED_VALUE"""),"Y")</f>
        <v>Y</v>
      </c>
      <c r="F147" s="106" t="str">
        <f>IFERROR(__xludf.DUMMYFUNCTION("""COMPUTED_VALUE"""),"360° Online.Lk")</f>
        <v>360° Online.Lk</v>
      </c>
      <c r="G147" s="106" t="str">
        <f>IFERROR(__xludf.DUMMYFUNCTION("""COMPUTED_VALUE"""),"BE107327")</f>
        <v>BE107327</v>
      </c>
      <c r="H147" s="106" t="str">
        <f>IFERROR(__xludf.DUMMYFUNCTION("""COMPUTED_VALUE"""),"Customer Want Return The Package")</f>
        <v>Customer Want Return The Package</v>
      </c>
      <c r="I147" s="106" t="str">
        <f>IFERROR(__xludf.DUMMYFUNCTION("""COMPUTED_VALUE"""),"Homagama")</f>
        <v>Homagama</v>
      </c>
      <c r="J147" s="106" t="str">
        <f>IFERROR(__xludf.DUMMYFUNCTION("""COMPUTED_VALUE"""),"Returned To Branch Failed To Deliver")</f>
        <v>Returned To Branch Failed To Deliver</v>
      </c>
      <c r="K147" s="106" t="str">
        <f>IFERROR(__xludf.DUMMYFUNCTION("""COMPUTED_VALUE"""),"Customer Care")</f>
        <v>Customer Care</v>
      </c>
      <c r="L147" s="106" t="str">
        <f>IFERROR(__xludf.DUMMYFUNCTION("""COMPUTED_VALUE"""),"Informed Genzo Team")</f>
        <v>Informed Genzo Team</v>
      </c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>
      <c r="A148" s="82"/>
      <c r="B148" s="98" t="str">
        <f>IFERROR(__xludf.DUMMYFUNCTION("""COMPUTED_VALUE"""),"106")</f>
        <v>106</v>
      </c>
      <c r="C148" s="98" t="str">
        <f>IFERROR(__xludf.DUMMYFUNCTION("""COMPUTED_VALUE"""),"Lakshani")</f>
        <v>Lakshani</v>
      </c>
      <c r="D148" s="98" t="str">
        <f>IFERROR(__xludf.DUMMYFUNCTION("""COMPUTED_VALUE"""),"749689725")</f>
        <v>749689725</v>
      </c>
      <c r="E148" s="98" t="str">
        <f>IFERROR(__xludf.DUMMYFUNCTION("""COMPUTED_VALUE"""),"Y")</f>
        <v>Y</v>
      </c>
      <c r="F148" s="98" t="str">
        <f>IFERROR(__xludf.DUMMYFUNCTION("""COMPUTED_VALUE"""),"Shore")</f>
        <v>Shore</v>
      </c>
      <c r="G148" s="98" t="str">
        <f>IFERROR(__xludf.DUMMYFUNCTION("""COMPUTED_VALUE"""),"WD383528")</f>
        <v>WD383528</v>
      </c>
      <c r="H148" s="98" t="str">
        <f>IFERROR(__xludf.DUMMYFUNCTION("""COMPUTED_VALUE"""),"Urgent Today")</f>
        <v>Urgent Today</v>
      </c>
      <c r="I148" s="98" t="str">
        <f>IFERROR(__xludf.DUMMYFUNCTION("""COMPUTED_VALUE"""),"Homagama")</f>
        <v>Homagama</v>
      </c>
      <c r="J148" s="98" t="str">
        <f>IFERROR(__xludf.DUMMYFUNCTION("""COMPUTED_VALUE"""),"Delivered")</f>
        <v>Delivered</v>
      </c>
      <c r="K148" s="98" t="str">
        <f>IFERROR(__xludf.DUMMYFUNCTION("""COMPUTED_VALUE"""),"Domestic")</f>
        <v>Domestic</v>
      </c>
      <c r="L148" s="98" t="str">
        <f>IFERROR(__xludf.DUMMYFUNCTION("""COMPUTED_VALUE"""),"Done")</f>
        <v>Done</v>
      </c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>
      <c r="A149" s="82"/>
      <c r="B149" s="106" t="str">
        <f>IFERROR(__xludf.DUMMYFUNCTION("""COMPUTED_VALUE"""),"107")</f>
        <v>107</v>
      </c>
      <c r="C149" s="106" t="str">
        <f>IFERROR(__xludf.DUMMYFUNCTION("""COMPUTED_VALUE"""),"Lakshani")</f>
        <v>Lakshani</v>
      </c>
      <c r="D149" s="106" t="str">
        <f>IFERROR(__xludf.DUMMYFUNCTION("""COMPUTED_VALUE"""),"757555196")</f>
        <v>757555196</v>
      </c>
      <c r="E149" s="106" t="str">
        <f>IFERROR(__xludf.DUMMYFUNCTION("""COMPUTED_VALUE"""),"Y")</f>
        <v>Y</v>
      </c>
      <c r="F149" s="106" t="str">
        <f>IFERROR(__xludf.DUMMYFUNCTION("""COMPUTED_VALUE"""),"Samanali Products")</f>
        <v>Samanali Products</v>
      </c>
      <c r="G149" s="106" t="str">
        <f>IFERROR(__xludf.DUMMYFUNCTION("""COMPUTED_VALUE"""),"A4366984")</f>
        <v>A4366984</v>
      </c>
      <c r="H149" s="106" t="str">
        <f>IFERROR(__xludf.DUMMYFUNCTION("""COMPUTED_VALUE"""),"Urgent Package")</f>
        <v>Urgent Package</v>
      </c>
      <c r="I149" s="106" t="str">
        <f>IFERROR(__xludf.DUMMYFUNCTION("""COMPUTED_VALUE"""),"Padukka")</f>
        <v>Padukka</v>
      </c>
      <c r="J149" s="106" t="str">
        <f>IFERROR(__xludf.DUMMYFUNCTION("""COMPUTED_VALUE"""),"Returned To Branch Rescheduled")</f>
        <v>Returned To Branch Rescheduled</v>
      </c>
      <c r="K149" s="106" t="str">
        <f>IFERROR(__xludf.DUMMYFUNCTION("""COMPUTED_VALUE"""),"Branch Operations")</f>
        <v>Branch Operations</v>
      </c>
      <c r="L149" s="106" t="str">
        <f>IFERROR(__xludf.DUMMYFUNCTION("""COMPUTED_VALUE"""),"Informed Branch")</f>
        <v>Informed Branch</v>
      </c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>
      <c r="A150" s="82"/>
      <c r="B150" s="98" t="str">
        <f>IFERROR(__xludf.DUMMYFUNCTION("""COMPUTED_VALUE"""),"108")</f>
        <v>108</v>
      </c>
      <c r="C150" s="98" t="str">
        <f>IFERROR(__xludf.DUMMYFUNCTION("""COMPUTED_VALUE"""),"Lakshani")</f>
        <v>Lakshani</v>
      </c>
      <c r="D150" s="98" t="str">
        <f>IFERROR(__xludf.DUMMYFUNCTION("""COMPUTED_VALUE"""),"789079287")</f>
        <v>789079287</v>
      </c>
      <c r="E150" s="98" t="str">
        <f>IFERROR(__xludf.DUMMYFUNCTION("""COMPUTED_VALUE"""),"Y")</f>
        <v>Y</v>
      </c>
      <c r="F150" s="98" t="str">
        <f>IFERROR(__xludf.DUMMYFUNCTION("""COMPUTED_VALUE"""),"Neth Fashion Clothing")</f>
        <v>Neth Fashion Clothing</v>
      </c>
      <c r="G150" s="98" t="str">
        <f>IFERROR(__xludf.DUMMYFUNCTION("""COMPUTED_VALUE"""),"A4470065")</f>
        <v>A4470065</v>
      </c>
      <c r="H150" s="98" t="str">
        <f>IFERROR(__xludf.DUMMYFUNCTION("""COMPUTED_VALUE"""),"Re Deliver")</f>
        <v>Re Deliver</v>
      </c>
      <c r="I150" s="98" t="str">
        <f>IFERROR(__xludf.DUMMYFUNCTION("""COMPUTED_VALUE"""),"Kahatagasdigiliya")</f>
        <v>Kahatagasdigiliya</v>
      </c>
      <c r="J150" s="98" t="str">
        <f>IFERROR(__xludf.DUMMYFUNCTION("""COMPUTED_VALUE"""),"Returned To Branch Failed To Deliver")</f>
        <v>Returned To Branch Failed To Deliver</v>
      </c>
      <c r="K150" s="98" t="str">
        <f>IFERROR(__xludf.DUMMYFUNCTION("""COMPUTED_VALUE"""),"Branch Operations")</f>
        <v>Branch Operations</v>
      </c>
      <c r="L150" s="98" t="str">
        <f>IFERROR(__xludf.DUMMYFUNCTION("""COMPUTED_VALUE"""),"Customer Said Check Andcall Back")</f>
        <v>Customer Said Check Andcall Back</v>
      </c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>
      <c r="A151" s="82"/>
      <c r="B151" s="106" t="str">
        <f>IFERROR(__xludf.DUMMYFUNCTION("""COMPUTED_VALUE"""),"109")</f>
        <v>109</v>
      </c>
      <c r="C151" s="106" t="str">
        <f>IFERROR(__xludf.DUMMYFUNCTION("""COMPUTED_VALUE"""),"Lakshani")</f>
        <v>Lakshani</v>
      </c>
      <c r="D151" s="106" t="str">
        <f>IFERROR(__xludf.DUMMYFUNCTION("""COMPUTED_VALUE"""),"779293482")</f>
        <v>779293482</v>
      </c>
      <c r="E151" s="106" t="str">
        <f>IFERROR(__xludf.DUMMYFUNCTION("""COMPUTED_VALUE"""),"Y")</f>
        <v>Y</v>
      </c>
      <c r="F151" s="106" t="str">
        <f>IFERROR(__xludf.DUMMYFUNCTION("""COMPUTED_VALUE"""),"Lakshini Dilrukshi")</f>
        <v>Lakshini Dilrukshi</v>
      </c>
      <c r="G151" s="106" t="str">
        <f>IFERROR(__xludf.DUMMYFUNCTION("""COMPUTED_VALUE"""),"A4533142")</f>
        <v>A4533142</v>
      </c>
      <c r="H151" s="106" t="str">
        <f>IFERROR(__xludf.DUMMYFUNCTION("""COMPUTED_VALUE"""),"Re Deliver Tomorrow")</f>
        <v>Re Deliver Tomorrow</v>
      </c>
      <c r="I151" s="106" t="str">
        <f>IFERROR(__xludf.DUMMYFUNCTION("""COMPUTED_VALUE"""),"Nuwara Eliya")</f>
        <v>Nuwara Eliya</v>
      </c>
      <c r="J151" s="106" t="str">
        <f>IFERROR(__xludf.DUMMYFUNCTION("""COMPUTED_VALUE"""),"Returned To Branch Failed To Deliver")</f>
        <v>Returned To Branch Failed To Deliver</v>
      </c>
      <c r="K151" s="106" t="str">
        <f>IFERROR(__xludf.DUMMYFUNCTION("""COMPUTED_VALUE"""),"Branch Operations")</f>
        <v>Branch Operations</v>
      </c>
      <c r="L151" s="106" t="str">
        <f>IFERROR(__xludf.DUMMYFUNCTION("""COMPUTED_VALUE"""),"Done")</f>
        <v>Done</v>
      </c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>
      <c r="A152" s="82"/>
      <c r="B152" s="98" t="str">
        <f>IFERROR(__xludf.DUMMYFUNCTION("""COMPUTED_VALUE"""),"110")</f>
        <v>110</v>
      </c>
      <c r="C152" s="98" t="str">
        <f>IFERROR(__xludf.DUMMYFUNCTION("""COMPUTED_VALUE"""),"Lakshani")</f>
        <v>Lakshani</v>
      </c>
      <c r="D152" s="98" t="str">
        <f>IFERROR(__xludf.DUMMYFUNCTION("""COMPUTED_VALUE"""),"769823370")</f>
        <v>769823370</v>
      </c>
      <c r="E152" s="98" t="str">
        <f>IFERROR(__xludf.DUMMYFUNCTION("""COMPUTED_VALUE"""),"Y")</f>
        <v>Y</v>
      </c>
      <c r="F152" s="98" t="str">
        <f>IFERROR(__xludf.DUMMYFUNCTION("""COMPUTED_VALUE"""),"Hemadema Aduwata.Lk")</f>
        <v>Hemadema Aduwata.Lk</v>
      </c>
      <c r="G152" s="98" t="str">
        <f>IFERROR(__xludf.DUMMYFUNCTION("""COMPUTED_VALUE"""),"A4387799")</f>
        <v>A4387799</v>
      </c>
      <c r="H152" s="98" t="str">
        <f>IFERROR(__xludf.DUMMYFUNCTION("""COMPUTED_VALUE"""),"Cod Amount Is 0.00")</f>
        <v>Cod Amount Is 0.00</v>
      </c>
      <c r="I152" s="98" t="str">
        <f>IFERROR(__xludf.DUMMYFUNCTION("""COMPUTED_VALUE"""),"Dambulla")</f>
        <v>Dambulla</v>
      </c>
      <c r="J152" s="98" t="str">
        <f>IFERROR(__xludf.DUMMYFUNCTION("""COMPUTED_VALUE"""),"Out For Delivery")</f>
        <v>Out For Delivery</v>
      </c>
      <c r="K152" s="98" t="str">
        <f>IFERROR(__xludf.DUMMYFUNCTION("""COMPUTED_VALUE"""),"Branch Operations")</f>
        <v>Branch Operations</v>
      </c>
      <c r="L152" s="98" t="str">
        <f>IFERROR(__xludf.DUMMYFUNCTION("""COMPUTED_VALUE"""),"Informed Branch")</f>
        <v>Informed Branch</v>
      </c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>
      <c r="A153" s="82"/>
      <c r="B153" s="106" t="str">
        <f>IFERROR(__xludf.DUMMYFUNCTION("""COMPUTED_VALUE"""),"111")</f>
        <v>111</v>
      </c>
      <c r="C153" s="106" t="str">
        <f>IFERROR(__xludf.DUMMYFUNCTION("""COMPUTED_VALUE"""),"Lakshani")</f>
        <v>Lakshani</v>
      </c>
      <c r="D153" s="106" t="str">
        <f>IFERROR(__xludf.DUMMYFUNCTION("""COMPUTED_VALUE"""),"756139309")</f>
        <v>756139309</v>
      </c>
      <c r="E153" s="106" t="str">
        <f>IFERROR(__xludf.DUMMYFUNCTION("""COMPUTED_VALUE"""),"Y")</f>
        <v>Y</v>
      </c>
      <c r="F153" s="106" t="str">
        <f>IFERROR(__xludf.DUMMYFUNCTION("""COMPUTED_VALUE"""),"Lakshini Dilrukshi")</f>
        <v>Lakshini Dilrukshi</v>
      </c>
      <c r="G153" s="106" t="str">
        <f>IFERROR(__xludf.DUMMYFUNCTION("""COMPUTED_VALUE"""),"A4533171")</f>
        <v>A4533171</v>
      </c>
      <c r="H153" s="106" t="str">
        <f>IFERROR(__xludf.DUMMYFUNCTION("""COMPUTED_VALUE"""),"Re Deliver Tomorrow")</f>
        <v>Re Deliver Tomorrow</v>
      </c>
      <c r="I153" s="106" t="str">
        <f>IFERROR(__xludf.DUMMYFUNCTION("""COMPUTED_VALUE"""),"Rikillagaskada")</f>
        <v>Rikillagaskada</v>
      </c>
      <c r="J153" s="106" t="str">
        <f>IFERROR(__xludf.DUMMYFUNCTION("""COMPUTED_VALUE"""),"Returned To Branch Failed To Deliver")</f>
        <v>Returned To Branch Failed To Deliver</v>
      </c>
      <c r="K153" s="106" t="str">
        <f>IFERROR(__xludf.DUMMYFUNCTION("""COMPUTED_VALUE"""),"Branch Operations")</f>
        <v>Branch Operations</v>
      </c>
      <c r="L153" s="106" t="str">
        <f>IFERROR(__xludf.DUMMYFUNCTION("""COMPUTED_VALUE"""),"Done")</f>
        <v>Done</v>
      </c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>
      <c r="A154" s="82"/>
      <c r="B154" s="98" t="str">
        <f>IFERROR(__xludf.DUMMYFUNCTION("""COMPUTED_VALUE"""),"112")</f>
        <v>112</v>
      </c>
      <c r="C154" s="98" t="str">
        <f>IFERROR(__xludf.DUMMYFUNCTION("""COMPUTED_VALUE"""),"Lakshani")</f>
        <v>Lakshani</v>
      </c>
      <c r="D154" s="98" t="str">
        <f>IFERROR(__xludf.DUMMYFUNCTION("""COMPUTED_VALUE"""),"780522443")</f>
        <v>780522443</v>
      </c>
      <c r="E154" s="98" t="str">
        <f>IFERROR(__xludf.DUMMYFUNCTION("""COMPUTED_VALUE"""),"N")</f>
        <v>N</v>
      </c>
      <c r="F154" s="98" t="str">
        <f>IFERROR(__xludf.DUMMYFUNCTION("""COMPUTED_VALUE"""),"Global Language Academy")</f>
        <v>Global Language Academy</v>
      </c>
      <c r="G154" s="98" t="str">
        <f>IFERROR(__xludf.DUMMYFUNCTION("""COMPUTED_VALUE"""),"BA783928")</f>
        <v>BA783928</v>
      </c>
      <c r="H154" s="98" t="str">
        <f>IFERROR(__xludf.DUMMYFUNCTION("""COMPUTED_VALUE"""),"Deliver Date ?")</f>
        <v>Deliver Date ?</v>
      </c>
      <c r="I154" s="98" t="str">
        <f>IFERROR(__xludf.DUMMYFUNCTION("""COMPUTED_VALUE"""),"Rikillagaskada")</f>
        <v>Rikillagaskada</v>
      </c>
      <c r="J154" s="98" t="str">
        <f>IFERROR(__xludf.DUMMYFUNCTION("""COMPUTED_VALUE"""),"Processing")</f>
        <v>Processing</v>
      </c>
      <c r="K154" s="98" t="str">
        <f>IFERROR(__xludf.DUMMYFUNCTION("""COMPUTED_VALUE"""),"Ware House - Colombo")</f>
        <v>Ware House - Colombo</v>
      </c>
      <c r="L154" s="98" t="str">
        <f>IFERROR(__xludf.DUMMYFUNCTION("""COMPUTED_VALUE"""),"Informed Clien")</f>
        <v>Informed Clien</v>
      </c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>
      <c r="A155" s="82"/>
      <c r="B155" s="106" t="str">
        <f>IFERROR(__xludf.DUMMYFUNCTION("""COMPUTED_VALUE"""),"113")</f>
        <v>113</v>
      </c>
      <c r="C155" s="106" t="str">
        <f>IFERROR(__xludf.DUMMYFUNCTION("""COMPUTED_VALUE"""),"Lakshani")</f>
        <v>Lakshani</v>
      </c>
      <c r="D155" s="106" t="str">
        <f>IFERROR(__xludf.DUMMYFUNCTION("""COMPUTED_VALUE"""),"742169889")</f>
        <v>742169889</v>
      </c>
      <c r="E155" s="106" t="str">
        <f>IFERROR(__xludf.DUMMYFUNCTION("""COMPUTED_VALUE"""),"N")</f>
        <v>N</v>
      </c>
      <c r="F155" s="106" t="str">
        <f>IFERROR(__xludf.DUMMYFUNCTION("""COMPUTED_VALUE"""),"Zeena")</f>
        <v>Zeena</v>
      </c>
      <c r="G155" s="106" t="str">
        <f>IFERROR(__xludf.DUMMYFUNCTION("""COMPUTED_VALUE"""),"BA779612")</f>
        <v>BA779612</v>
      </c>
      <c r="H155" s="106" t="str">
        <f>IFERROR(__xludf.DUMMYFUNCTION("""COMPUTED_VALUE"""),"Customer Want Return The Package")</f>
        <v>Customer Want Return The Package</v>
      </c>
      <c r="I155" s="106" t="str">
        <f>IFERROR(__xludf.DUMMYFUNCTION("""COMPUTED_VALUE"""),"Rikillagaskada")</f>
        <v>Rikillagaskada</v>
      </c>
      <c r="J155" s="106" t="str">
        <f>IFERROR(__xludf.DUMMYFUNCTION("""COMPUTED_VALUE"""),"Processing")</f>
        <v>Processing</v>
      </c>
      <c r="K155" s="106" t="str">
        <f>IFERROR(__xludf.DUMMYFUNCTION("""COMPUTED_VALUE"""),"Customer Care")</f>
        <v>Customer Care</v>
      </c>
      <c r="L155" s="106" t="str">
        <f>IFERROR(__xludf.DUMMYFUNCTION("""COMPUTED_VALUE"""),"Informed Client")</f>
        <v>Informed Client</v>
      </c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>
      <c r="A156" s="82"/>
      <c r="B156" s="98" t="str">
        <f>IFERROR(__xludf.DUMMYFUNCTION("""COMPUTED_VALUE"""),"114")</f>
        <v>114</v>
      </c>
      <c r="C156" s="98" t="str">
        <f>IFERROR(__xludf.DUMMYFUNCTION("""COMPUTED_VALUE"""),"Lakshani")</f>
        <v>Lakshani</v>
      </c>
      <c r="D156" s="98" t="str">
        <f>IFERROR(__xludf.DUMMYFUNCTION("""COMPUTED_VALUE"""),"704268551")</f>
        <v>704268551</v>
      </c>
      <c r="E156" s="98" t="str">
        <f>IFERROR(__xludf.DUMMYFUNCTION("""COMPUTED_VALUE"""),"N")</f>
        <v>N</v>
      </c>
      <c r="F156" s="98" t="str">
        <f>IFERROR(__xludf.DUMMYFUNCTION("""COMPUTED_VALUE"""),"Zeena")</f>
        <v>Zeena</v>
      </c>
      <c r="G156" s="98" t="str">
        <f>IFERROR(__xludf.DUMMYFUNCTION("""COMPUTED_VALUE"""),"BA779612")</f>
        <v>BA779612</v>
      </c>
      <c r="H156" s="98" t="str">
        <f>IFERROR(__xludf.DUMMYFUNCTION("""COMPUTED_VALUE"""),"Req Hr Department")</f>
        <v>Req Hr Department</v>
      </c>
      <c r="I156" s="98" t="str">
        <f>IFERROR(__xludf.DUMMYFUNCTION("""COMPUTED_VALUE"""),"Rikillagaskada")</f>
        <v>Rikillagaskada</v>
      </c>
      <c r="J156" s="98" t="str">
        <f>IFERROR(__xludf.DUMMYFUNCTION("""COMPUTED_VALUE"""),"Processing")</f>
        <v>Processing</v>
      </c>
      <c r="K156" s="98" t="str">
        <f>IFERROR(__xludf.DUMMYFUNCTION("""COMPUTED_VALUE"""),"Hr")</f>
        <v>Hr</v>
      </c>
      <c r="L156" s="98" t="str">
        <f>IFERROR(__xludf.DUMMYFUNCTION("""COMPUTED_VALUE"""),"Given No")</f>
        <v>Given No</v>
      </c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>
      <c r="A157" s="82"/>
      <c r="B157" s="106" t="str">
        <f>IFERROR(__xludf.DUMMYFUNCTION("""COMPUTED_VALUE"""),"115")</f>
        <v>115</v>
      </c>
      <c r="C157" s="106" t="str">
        <f>IFERROR(__xludf.DUMMYFUNCTION("""COMPUTED_VALUE"""),"Lakshani")</f>
        <v>Lakshani</v>
      </c>
      <c r="D157" s="106" t="str">
        <f>IFERROR(__xludf.DUMMYFUNCTION("""COMPUTED_VALUE"""),"742747520")</f>
        <v>742747520</v>
      </c>
      <c r="E157" s="106" t="str">
        <f>IFERROR(__xludf.DUMMYFUNCTION("""COMPUTED_VALUE"""),"N")</f>
        <v>N</v>
      </c>
      <c r="F157" s="107" t="str">
        <f>IFERROR(__xludf.DUMMYFUNCTION("""COMPUTED_VALUE"""),"Helloherb.Lk")</f>
        <v>Helloherb.Lk</v>
      </c>
      <c r="G157" s="106" t="str">
        <f>IFERROR(__xludf.DUMMYFUNCTION("""COMPUTED_VALUE"""),"BE104870")</f>
        <v>BE104870</v>
      </c>
      <c r="H157" s="106" t="str">
        <f>IFERROR(__xludf.DUMMYFUNCTION("""COMPUTED_VALUE"""),"Deliver Tomorrow")</f>
        <v>Deliver Tomorrow</v>
      </c>
      <c r="I157" s="106" t="str">
        <f>IFERROR(__xludf.DUMMYFUNCTION("""COMPUTED_VALUE"""),"Matale")</f>
        <v>Matale</v>
      </c>
      <c r="J157" s="106" t="str">
        <f>IFERROR(__xludf.DUMMYFUNCTION("""COMPUTED_VALUE"""),"Returned To Branch Rescheduled")</f>
        <v>Returned To Branch Rescheduled</v>
      </c>
      <c r="K157" s="106" t="str">
        <f>IFERROR(__xludf.DUMMYFUNCTION("""COMPUTED_VALUE"""),"Key Accounts")</f>
        <v>Key Accounts</v>
      </c>
      <c r="L157" s="106" t="str">
        <f>IFERROR(__xludf.DUMMYFUNCTION("""COMPUTED_VALUE"""),"Informed Branch")</f>
        <v>Informed Branch</v>
      </c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>
      <c r="A158" s="82"/>
      <c r="B158" s="98" t="str">
        <f>IFERROR(__xludf.DUMMYFUNCTION("""COMPUTED_VALUE"""),"116")</f>
        <v>116</v>
      </c>
      <c r="C158" s="98" t="str">
        <f>IFERROR(__xludf.DUMMYFUNCTION("""COMPUTED_VALUE"""),"Lakshani")</f>
        <v>Lakshani</v>
      </c>
      <c r="D158" s="98" t="str">
        <f>IFERROR(__xludf.DUMMYFUNCTION("""COMPUTED_VALUE"""),"770536323")</f>
        <v>770536323</v>
      </c>
      <c r="E158" s="98" t="str">
        <f>IFERROR(__xludf.DUMMYFUNCTION("""COMPUTED_VALUE"""),"N")</f>
        <v>N</v>
      </c>
      <c r="F158" s="108" t="str">
        <f>IFERROR(__xludf.DUMMYFUNCTION("""COMPUTED_VALUE"""),"Helloherb.Lk")</f>
        <v>Helloherb.Lk</v>
      </c>
      <c r="G158" s="98" t="str">
        <f>IFERROR(__xludf.DUMMYFUNCTION("""COMPUTED_VALUE"""),"BE104870")</f>
        <v>BE104870</v>
      </c>
      <c r="H158" s="98" t="str">
        <f>IFERROR(__xludf.DUMMYFUNCTION("""COMPUTED_VALUE"""),"Want To Know Some Details")</f>
        <v>Want To Know Some Details</v>
      </c>
      <c r="I158" s="98" t="str">
        <f>IFERROR(__xludf.DUMMYFUNCTION("""COMPUTED_VALUE"""),"Matale")</f>
        <v>Matale</v>
      </c>
      <c r="J158" s="98" t="str">
        <f>IFERROR(__xludf.DUMMYFUNCTION("""COMPUTED_VALUE"""),"Returned To Branch Rescheduled")</f>
        <v>Returned To Branch Rescheduled</v>
      </c>
      <c r="K158" s="98" t="str">
        <f>IFERROR(__xludf.DUMMYFUNCTION("""COMPUTED_VALUE"""),"Customer Care")</f>
        <v>Customer Care</v>
      </c>
      <c r="L158" s="98" t="str">
        <f>IFERROR(__xludf.DUMMYFUNCTION("""COMPUTED_VALUE"""),"Informed")</f>
        <v>Informed</v>
      </c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>
      <c r="A159" s="82"/>
      <c r="B159" s="106" t="str">
        <f>IFERROR(__xludf.DUMMYFUNCTION("""COMPUTED_VALUE"""),"117")</f>
        <v>117</v>
      </c>
      <c r="C159" s="106" t="str">
        <f>IFERROR(__xludf.DUMMYFUNCTION("""COMPUTED_VALUE"""),"Lakshani")</f>
        <v>Lakshani</v>
      </c>
      <c r="D159" s="106" t="str">
        <f>IFERROR(__xludf.DUMMYFUNCTION("""COMPUTED_VALUE"""),"705310444")</f>
        <v>705310444</v>
      </c>
      <c r="E159" s="106" t="str">
        <f>IFERROR(__xludf.DUMMYFUNCTION("""COMPUTED_VALUE"""),"N")</f>
        <v>N</v>
      </c>
      <c r="F159" s="106" t="str">
        <f>IFERROR(__xludf.DUMMYFUNCTION("""COMPUTED_VALUE"""),"Akila Holdings")</f>
        <v>Akila Holdings</v>
      </c>
      <c r="G159" s="106" t="str">
        <f>IFERROR(__xludf.DUMMYFUNCTION("""COMPUTED_VALUE"""),"BA770726")</f>
        <v>BA770726</v>
      </c>
      <c r="H159" s="106" t="str">
        <f>IFERROR(__xludf.DUMMYFUNCTION("""COMPUTED_VALUE"""),"Customer Want Return The Package")</f>
        <v>Customer Want Return The Package</v>
      </c>
      <c r="I159" s="106" t="str">
        <f>IFERROR(__xludf.DUMMYFUNCTION("""COMPUTED_VALUE"""),"Matale")</f>
        <v>Matale</v>
      </c>
      <c r="J159" s="106" t="str">
        <f>IFERROR(__xludf.DUMMYFUNCTION("""COMPUTED_VALUE"""),"Returned To Branch Rescheduled")</f>
        <v>Returned To Branch Rescheduled</v>
      </c>
      <c r="K159" s="106" t="str">
        <f>IFERROR(__xludf.DUMMYFUNCTION("""COMPUTED_VALUE"""),"Customer Care")</f>
        <v>Customer Care</v>
      </c>
      <c r="L159" s="106" t="str">
        <f>IFERROR(__xludf.DUMMYFUNCTION("""COMPUTED_VALUE"""),"Informed Client")</f>
        <v>Informed Client</v>
      </c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>
      <c r="A160" s="82"/>
      <c r="B160" s="98" t="str">
        <f>IFERROR(__xludf.DUMMYFUNCTION("""COMPUTED_VALUE"""),"118")</f>
        <v>118</v>
      </c>
      <c r="C160" s="98" t="str">
        <f>IFERROR(__xludf.DUMMYFUNCTION("""COMPUTED_VALUE"""),"Lakshani")</f>
        <v>Lakshani</v>
      </c>
      <c r="D160" s="98" t="str">
        <f>IFERROR(__xludf.DUMMYFUNCTION("""COMPUTED_VALUE"""),"786141242")</f>
        <v>786141242</v>
      </c>
      <c r="E160" s="98" t="str">
        <f>IFERROR(__xludf.DUMMYFUNCTION("""COMPUTED_VALUE"""),"N")</f>
        <v>N</v>
      </c>
      <c r="F160" s="98" t="str">
        <f>IFERROR(__xludf.DUMMYFUNCTION("""COMPUTED_VALUE"""),"Expro Dtf Solution")</f>
        <v>Expro Dtf Solution</v>
      </c>
      <c r="G160" s="98" t="str">
        <f>IFERROR(__xludf.DUMMYFUNCTION("""COMPUTED_VALUE"""),"A3656541")</f>
        <v>A3656541</v>
      </c>
      <c r="H160" s="98" t="str">
        <f>IFERROR(__xludf.DUMMYFUNCTION("""COMPUTED_VALUE"""),"Urgent Package /Customer Didn'T Get Any Calls")</f>
        <v>Urgent Package /Customer Didn'T Get Any Calls</v>
      </c>
      <c r="I160" s="98" t="str">
        <f>IFERROR(__xludf.DUMMYFUNCTION("""COMPUTED_VALUE"""),"Digana")</f>
        <v>Digana</v>
      </c>
      <c r="J160" s="98" t="str">
        <f>IFERROR(__xludf.DUMMYFUNCTION("""COMPUTED_VALUE"""),"Returned To Branch Rescheduled")</f>
        <v>Returned To Branch Rescheduled</v>
      </c>
      <c r="K160" s="98" t="str">
        <f>IFERROR(__xludf.DUMMYFUNCTION("""COMPUTED_VALUE"""),"Branch Operations")</f>
        <v>Branch Operations</v>
      </c>
      <c r="L160" s="98" t="str">
        <f>IFERROR(__xludf.DUMMYFUNCTION("""COMPUTED_VALUE"""),"Informed Branch")</f>
        <v>Informed Branch</v>
      </c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>
      <c r="A161" s="82"/>
      <c r="B161" s="106" t="str">
        <f>IFERROR(__xludf.DUMMYFUNCTION("""COMPUTED_VALUE"""),"119")</f>
        <v>119</v>
      </c>
      <c r="C161" s="106" t="str">
        <f>IFERROR(__xludf.DUMMYFUNCTION("""COMPUTED_VALUE"""),"Lakshani")</f>
        <v>Lakshani</v>
      </c>
      <c r="D161" s="106" t="str">
        <f>IFERROR(__xludf.DUMMYFUNCTION("""COMPUTED_VALUE"""),"776059873")</f>
        <v>776059873</v>
      </c>
      <c r="E161" s="106" t="str">
        <f>IFERROR(__xludf.DUMMYFUNCTION("""COMPUTED_VALUE"""),"Y")</f>
        <v>Y</v>
      </c>
      <c r="F161" s="106" t="str">
        <f>IFERROR(__xludf.DUMMYFUNCTION("""COMPUTED_VALUE"""),"Future Home Electronics")</f>
        <v>Future Home Electronics</v>
      </c>
      <c r="G161" s="106" t="str">
        <f>IFERROR(__xludf.DUMMYFUNCTION("""COMPUTED_VALUE"""),"A4364264")</f>
        <v>A4364264</v>
      </c>
      <c r="H161" s="106" t="str">
        <f>IFERROR(__xludf.DUMMYFUNCTION("""COMPUTED_VALUE"""),"Urgent Today")</f>
        <v>Urgent Today</v>
      </c>
      <c r="I161" s="106" t="str">
        <f>IFERROR(__xludf.DUMMYFUNCTION("""COMPUTED_VALUE"""),"Colombo Metro")</f>
        <v>Colombo Metro</v>
      </c>
      <c r="J161" s="106" t="str">
        <f>IFERROR(__xludf.DUMMYFUNCTION("""COMPUTED_VALUE"""),"Received At Destination")</f>
        <v>Received At Destination</v>
      </c>
      <c r="K161" s="106" t="str">
        <f>IFERROR(__xludf.DUMMYFUNCTION("""COMPUTED_VALUE"""),"Branch Operations")</f>
        <v>Branch Operations</v>
      </c>
      <c r="L161" s="106" t="str">
        <f>IFERROR(__xludf.DUMMYFUNCTION("""COMPUTED_VALUE"""),"Informed Branch")</f>
        <v>Informed Branch</v>
      </c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>
      <c r="A162" s="82"/>
      <c r="B162" s="98" t="str">
        <f>IFERROR(__xludf.DUMMYFUNCTION("""COMPUTED_VALUE"""),"120")</f>
        <v>120</v>
      </c>
      <c r="C162" s="98" t="str">
        <f>IFERROR(__xludf.DUMMYFUNCTION("""COMPUTED_VALUE"""),"Lakshani")</f>
        <v>Lakshani</v>
      </c>
      <c r="D162" s="98" t="str">
        <f>IFERROR(__xludf.DUMMYFUNCTION("""COMPUTED_VALUE"""),"777343572")</f>
        <v>777343572</v>
      </c>
      <c r="E162" s="98" t="str">
        <f>IFERROR(__xludf.DUMMYFUNCTION("""COMPUTED_VALUE"""),"Y")</f>
        <v>Y</v>
      </c>
      <c r="F162" s="98" t="str">
        <f>IFERROR(__xludf.DUMMYFUNCTION("""COMPUTED_VALUE"""),"Tiny Tush Diapers")</f>
        <v>Tiny Tush Diapers</v>
      </c>
      <c r="G162" s="98" t="str">
        <f>IFERROR(__xludf.DUMMYFUNCTION("""COMPUTED_VALUE"""),"A4598730")</f>
        <v>A4598730</v>
      </c>
      <c r="H162" s="98" t="str">
        <f>IFERROR(__xludf.DUMMYFUNCTION("""COMPUTED_VALUE"""),"Urgent Today")</f>
        <v>Urgent Today</v>
      </c>
      <c r="I162" s="98" t="str">
        <f>IFERROR(__xludf.DUMMYFUNCTION("""COMPUTED_VALUE"""),"Wennappuwa")</f>
        <v>Wennappuwa</v>
      </c>
      <c r="J162" s="98" t="str">
        <f>IFERROR(__xludf.DUMMYFUNCTION("""COMPUTED_VALUE"""),"Received At Destination")</f>
        <v>Received At Destination</v>
      </c>
      <c r="K162" s="98" t="str">
        <f>IFERROR(__xludf.DUMMYFUNCTION("""COMPUTED_VALUE"""),"Branch Operations")</f>
        <v>Branch Operations</v>
      </c>
      <c r="L162" s="98" t="str">
        <f>IFERROR(__xludf.DUMMYFUNCTION("""COMPUTED_VALUE"""),"Informed Branch")</f>
        <v>Informed Branch</v>
      </c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>
      <c r="A163" s="82"/>
      <c r="B163" s="106" t="str">
        <f>IFERROR(__xludf.DUMMYFUNCTION("""COMPUTED_VALUE"""),"121")</f>
        <v>121</v>
      </c>
      <c r="C163" s="106" t="str">
        <f>IFERROR(__xludf.DUMMYFUNCTION("""COMPUTED_VALUE"""),"Jeni")</f>
        <v>Jeni</v>
      </c>
      <c r="D163" s="106" t="str">
        <f>IFERROR(__xludf.DUMMYFUNCTION("""COMPUTED_VALUE"""),"755966791")</f>
        <v>755966791</v>
      </c>
      <c r="E163" s="106" t="str">
        <f>IFERROR(__xludf.DUMMYFUNCTION("""COMPUTED_VALUE"""),"Y")</f>
        <v>Y</v>
      </c>
      <c r="F163" s="106" t="str">
        <f>IFERROR(__xludf.DUMMYFUNCTION("""COMPUTED_VALUE"""),"76 629 5793")</f>
        <v>76 629 5793</v>
      </c>
      <c r="G163" s="106" t="str">
        <f>IFERROR(__xludf.DUMMYFUNCTION("""COMPUTED_VALUE"""),"A4598730")</f>
        <v>A4598730</v>
      </c>
      <c r="H163" s="106" t="str">
        <f>IFERROR(__xludf.DUMMYFUNCTION("""COMPUTED_VALUE"""),"Asked Some Details")</f>
        <v>Asked Some Details</v>
      </c>
      <c r="I163" s="106" t="str">
        <f>IFERROR(__xludf.DUMMYFUNCTION("""COMPUTED_VALUE"""),"Wennappuwa")</f>
        <v>Wennappuwa</v>
      </c>
      <c r="J163" s="106" t="str">
        <f>IFERROR(__xludf.DUMMYFUNCTION("""COMPUTED_VALUE"""),"Received At Destination")</f>
        <v>Received At Destination</v>
      </c>
      <c r="K163" s="106" t="str">
        <f>IFERROR(__xludf.DUMMYFUNCTION("""COMPUTED_VALUE"""),"Customer Care")</f>
        <v>Customer Care</v>
      </c>
      <c r="L163" s="106" t="str">
        <f>IFERROR(__xludf.DUMMYFUNCTION("""COMPUTED_VALUE"""),"Given Details")</f>
        <v>Given Details</v>
      </c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>
      <c r="A164" s="82"/>
      <c r="B164" s="98" t="str">
        <f>IFERROR(__xludf.DUMMYFUNCTION("""COMPUTED_VALUE"""),"122")</f>
        <v>122</v>
      </c>
      <c r="C164" s="98" t="str">
        <f>IFERROR(__xludf.DUMMYFUNCTION("""COMPUTED_VALUE"""),"Jeni")</f>
        <v>Jeni</v>
      </c>
      <c r="D164" s="98" t="str">
        <f>IFERROR(__xludf.DUMMYFUNCTION("""COMPUTED_VALUE"""),"727771073")</f>
        <v>727771073</v>
      </c>
      <c r="E164" s="98" t="str">
        <f>IFERROR(__xludf.DUMMYFUNCTION("""COMPUTED_VALUE"""),"Y")</f>
        <v>Y</v>
      </c>
      <c r="F164" s="98" t="str">
        <f>IFERROR(__xludf.DUMMYFUNCTION("""COMPUTED_VALUE"""),"Tsk E-Mart")</f>
        <v>Tsk E-Mart</v>
      </c>
      <c r="G164" s="98" t="str">
        <f>IFERROR(__xludf.DUMMYFUNCTION("""COMPUTED_VALUE"""),"BA773730")</f>
        <v>BA773730</v>
      </c>
      <c r="H164" s="98" t="str">
        <f>IFERROR(__xludf.DUMMYFUNCTION("""COMPUTED_VALUE"""),"Arrange To Deliver Today /Top Urgent")</f>
        <v>Arrange To Deliver Today /Top Urgent</v>
      </c>
      <c r="I164" s="98" t="str">
        <f>IFERROR(__xludf.DUMMYFUNCTION("""COMPUTED_VALUE"""),"Ratmalana")</f>
        <v>Ratmalana</v>
      </c>
      <c r="J164" s="98" t="str">
        <f>IFERROR(__xludf.DUMMYFUNCTION("""COMPUTED_VALUE"""),"Received At Destination")</f>
        <v>Received At Destination</v>
      </c>
      <c r="K164" s="98" t="str">
        <f>IFERROR(__xludf.DUMMYFUNCTION("""COMPUTED_VALUE"""),"Branch Operations")</f>
        <v>Branch Operations</v>
      </c>
      <c r="L164" s="98" t="str">
        <f>IFERROR(__xludf.DUMMYFUNCTION("""COMPUTED_VALUE"""),"Informed Branch Number Via A Whatsapp")</f>
        <v>Informed Branch Number Via A Whatsapp</v>
      </c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>
      <c r="A165" s="82"/>
      <c r="B165" s="106" t="str">
        <f>IFERROR(__xludf.DUMMYFUNCTION("""COMPUTED_VALUE"""),"123")</f>
        <v>123</v>
      </c>
      <c r="C165" s="106" t="str">
        <f>IFERROR(__xludf.DUMMYFUNCTION("""COMPUTED_VALUE"""),"Jeni")</f>
        <v>Jeni</v>
      </c>
      <c r="D165" s="106" t="str">
        <f>IFERROR(__xludf.DUMMYFUNCTION("""COMPUTED_VALUE"""),"736170838")</f>
        <v>736170838</v>
      </c>
      <c r="E165" s="106" t="str">
        <f>IFERROR(__xludf.DUMMYFUNCTION("""COMPUTED_VALUE"""),"Y")</f>
        <v>Y</v>
      </c>
      <c r="F165" s="106" t="str">
        <f>IFERROR(__xludf.DUMMYFUNCTION("""COMPUTED_VALUE"""),"Tsk E-Mart")</f>
        <v>Tsk E-Mart</v>
      </c>
      <c r="G165" s="106" t="str">
        <f>IFERROR(__xludf.DUMMYFUNCTION("""COMPUTED_VALUE"""),"BE032728")</f>
        <v>BE032728</v>
      </c>
      <c r="H165" s="106" t="str">
        <f>IFERROR(__xludf.DUMMYFUNCTION("""COMPUTED_VALUE"""),"Re Deliver")</f>
        <v>Re Deliver</v>
      </c>
      <c r="I165" s="106" t="str">
        <f>IFERROR(__xludf.DUMMYFUNCTION("""COMPUTED_VALUE"""),"Ratmalana")</f>
        <v>Ratmalana</v>
      </c>
      <c r="J165" s="106" t="str">
        <f>IFERROR(__xludf.DUMMYFUNCTION("""COMPUTED_VALUE"""),"Received At Destination")</f>
        <v>Received At Destination</v>
      </c>
      <c r="K165" s="106" t="str">
        <f>IFERROR(__xludf.DUMMYFUNCTION("""COMPUTED_VALUE"""),"Customer Care")</f>
        <v>Customer Care</v>
      </c>
      <c r="L165" s="106" t="str">
        <f>IFERROR(__xludf.DUMMYFUNCTION("""COMPUTED_VALUE"""),"Done")</f>
        <v>Done</v>
      </c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>
      <c r="A166" s="82"/>
      <c r="B166" s="98" t="str">
        <f>IFERROR(__xludf.DUMMYFUNCTION("""COMPUTED_VALUE"""),"124")</f>
        <v>124</v>
      </c>
      <c r="C166" s="98" t="str">
        <f>IFERROR(__xludf.DUMMYFUNCTION("""COMPUTED_VALUE"""),"Jeni")</f>
        <v>Jeni</v>
      </c>
      <c r="D166" s="98" t="str">
        <f>IFERROR(__xludf.DUMMYFUNCTION("""COMPUTED_VALUE"""),"754219996")</f>
        <v>754219996</v>
      </c>
      <c r="E166" s="98" t="str">
        <f>IFERROR(__xludf.DUMMYFUNCTION("""COMPUTED_VALUE"""),"Y")</f>
        <v>Y</v>
      </c>
      <c r="F166" s="98" t="str">
        <f>IFERROR(__xludf.DUMMYFUNCTION("""COMPUTED_VALUE"""),"P &amp; S Help Investment Pvt(Ltd)")</f>
        <v>P &amp; S Help Investment Pvt(Ltd)</v>
      </c>
      <c r="G166" s="98" t="str">
        <f>IFERROR(__xludf.DUMMYFUNCTION("""COMPUTED_VALUE"""),"A4702183")</f>
        <v>A4702183</v>
      </c>
      <c r="H166" s="98" t="str">
        <f>IFERROR(__xludf.DUMMYFUNCTION("""COMPUTED_VALUE"""),"Re Deliver On Today")</f>
        <v>Re Deliver On Today</v>
      </c>
      <c r="I166" s="98" t="str">
        <f>IFERROR(__xludf.DUMMYFUNCTION("""COMPUTED_VALUE"""),"Ja-Ela")</f>
        <v>Ja-Ela</v>
      </c>
      <c r="J166" s="98" t="str">
        <f>IFERROR(__xludf.DUMMYFUNCTION("""COMPUTED_VALUE"""),"Returned To Branch Failed To Deliver")</f>
        <v>Returned To Branch Failed To Deliver</v>
      </c>
      <c r="K166" s="98" t="str">
        <f>IFERROR(__xludf.DUMMYFUNCTION("""COMPUTED_VALUE"""),"Branch Operations")</f>
        <v>Branch Operations</v>
      </c>
      <c r="L166" s="98" t="str">
        <f>IFERROR(__xludf.DUMMYFUNCTION("""COMPUTED_VALUE"""),"Informed Branch Number Via A Whatsapp")</f>
        <v>Informed Branch Number Via A Whatsapp</v>
      </c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>
      <c r="A167" s="82"/>
      <c r="B167" s="106" t="str">
        <f>IFERROR(__xludf.DUMMYFUNCTION("""COMPUTED_VALUE"""),"125")</f>
        <v>125</v>
      </c>
      <c r="C167" s="106" t="str">
        <f>IFERROR(__xludf.DUMMYFUNCTION("""COMPUTED_VALUE"""),"Jeni")</f>
        <v>Jeni</v>
      </c>
      <c r="D167" s="106" t="str">
        <f>IFERROR(__xludf.DUMMYFUNCTION("""COMPUTED_VALUE"""),"778166012")</f>
        <v>778166012</v>
      </c>
      <c r="E167" s="106" t="str">
        <f>IFERROR(__xludf.DUMMYFUNCTION("""COMPUTED_VALUE"""),"Y")</f>
        <v>Y</v>
      </c>
      <c r="F167" s="106" t="str">
        <f>IFERROR(__xludf.DUMMYFUNCTION("""COMPUTED_VALUE"""),"P &amp; S Help Investment Pvt(Ltd)")</f>
        <v>P &amp; S Help Investment Pvt(Ltd)</v>
      </c>
      <c r="G167" s="106" t="str">
        <f>IFERROR(__xludf.DUMMYFUNCTION("""COMPUTED_VALUE"""),"BE046645")</f>
        <v>BE046645</v>
      </c>
      <c r="H167" s="106" t="str">
        <f>IFERROR(__xludf.DUMMYFUNCTION("""COMPUTED_VALUE"""),"Re Deliver")</f>
        <v>Re Deliver</v>
      </c>
      <c r="I167" s="106" t="str">
        <f>IFERROR(__xludf.DUMMYFUNCTION("""COMPUTED_VALUE"""),"Ja-Ela")</f>
        <v>Ja-Ela</v>
      </c>
      <c r="J167" s="106" t="str">
        <f>IFERROR(__xludf.DUMMYFUNCTION("""COMPUTED_VALUE"""),"Returned To Branch Failed To Deliver")</f>
        <v>Returned To Branch Failed To Deliver</v>
      </c>
      <c r="K167" s="106" t="str">
        <f>IFERROR(__xludf.DUMMYFUNCTION("""COMPUTED_VALUE"""),"Customer Care")</f>
        <v>Customer Care</v>
      </c>
      <c r="L167" s="106" t="str">
        <f>IFERROR(__xludf.DUMMYFUNCTION("""COMPUTED_VALUE"""),"Done")</f>
        <v>Done</v>
      </c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>
      <c r="A168" s="82"/>
      <c r="B168" s="98" t="str">
        <f>IFERROR(__xludf.DUMMYFUNCTION("""COMPUTED_VALUE"""),"126")</f>
        <v>126</v>
      </c>
      <c r="C168" s="98" t="str">
        <f>IFERROR(__xludf.DUMMYFUNCTION("""COMPUTED_VALUE"""),"Jeni")</f>
        <v>Jeni</v>
      </c>
      <c r="D168" s="98" t="str">
        <f>IFERROR(__xludf.DUMMYFUNCTION("""COMPUTED_VALUE"""),"789120634")</f>
        <v>789120634</v>
      </c>
      <c r="E168" s="98" t="str">
        <f>IFERROR(__xludf.DUMMYFUNCTION("""COMPUTED_VALUE"""),"Y")</f>
        <v>Y</v>
      </c>
      <c r="F168" s="98" t="str">
        <f>IFERROR(__xludf.DUMMYFUNCTION("""COMPUTED_VALUE"""),"Ad Happines (Hettipola)")</f>
        <v>Ad Happines (Hettipola)</v>
      </c>
      <c r="G168" s="98" t="str">
        <f>IFERROR(__xludf.DUMMYFUNCTION("""COMPUTED_VALUE"""),"A4208269")</f>
        <v>A4208269</v>
      </c>
      <c r="H168" s="98" t="str">
        <f>IFERROR(__xludf.DUMMYFUNCTION("""COMPUTED_VALUE"""),"Arrange To Deliver Today")</f>
        <v>Arrange To Deliver Today</v>
      </c>
      <c r="I168" s="98" t="str">
        <f>IFERROR(__xludf.DUMMYFUNCTION("""COMPUTED_VALUE"""),"Jaffna")</f>
        <v>Jaffna</v>
      </c>
      <c r="J168" s="98" t="str">
        <f>IFERROR(__xludf.DUMMYFUNCTION("""COMPUTED_VALUE"""),"Out For Delivery")</f>
        <v>Out For Delivery</v>
      </c>
      <c r="K168" s="98" t="str">
        <f>IFERROR(__xludf.DUMMYFUNCTION("""COMPUTED_VALUE"""),"Branch Operations")</f>
        <v>Branch Operations</v>
      </c>
      <c r="L168" s="98" t="str">
        <f>IFERROR(__xludf.DUMMYFUNCTION("""COMPUTED_VALUE"""),"On Route")</f>
        <v>On Route</v>
      </c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>
      <c r="A169" s="82"/>
      <c r="B169" s="106" t="str">
        <f>IFERROR(__xludf.DUMMYFUNCTION("""COMPUTED_VALUE"""),"126")</f>
        <v>126</v>
      </c>
      <c r="C169" s="106" t="str">
        <f>IFERROR(__xludf.DUMMYFUNCTION("""COMPUTED_VALUE"""),"Jeni")</f>
        <v>Jeni</v>
      </c>
      <c r="D169" s="106" t="str">
        <f>IFERROR(__xludf.DUMMYFUNCTION("""COMPUTED_VALUE"""),"775143528")</f>
        <v>775143528</v>
      </c>
      <c r="E169" s="106" t="str">
        <f>IFERROR(__xludf.DUMMYFUNCTION("""COMPUTED_VALUE"""),"Y")</f>
        <v>Y</v>
      </c>
      <c r="F169" s="106" t="str">
        <f>IFERROR(__xludf.DUMMYFUNCTION("""COMPUTED_VALUE"""),"Ad Happines (Hettipola)")</f>
        <v>Ad Happines (Hettipola)</v>
      </c>
      <c r="G169" s="106" t="str">
        <f>IFERROR(__xludf.DUMMYFUNCTION("""COMPUTED_VALUE"""),"A4208210")</f>
        <v>A4208210</v>
      </c>
      <c r="H169" s="106" t="str">
        <f>IFERROR(__xludf.DUMMYFUNCTION("""COMPUTED_VALUE"""),"Arrange To Deliver Today /Top Urgent")</f>
        <v>Arrange To Deliver Today /Top Urgent</v>
      </c>
      <c r="I169" s="106" t="str">
        <f>IFERROR(__xludf.DUMMYFUNCTION("""COMPUTED_VALUE"""),"Ambalangoda")</f>
        <v>Ambalangoda</v>
      </c>
      <c r="J169" s="106" t="str">
        <f>IFERROR(__xludf.DUMMYFUNCTION("""COMPUTED_VALUE"""),"Returned To Branch Rescheduled")</f>
        <v>Returned To Branch Rescheduled</v>
      </c>
      <c r="K169" s="106" t="str">
        <f>IFERROR(__xludf.DUMMYFUNCTION("""COMPUTED_VALUE"""),"Branch Operations")</f>
        <v>Branch Operations</v>
      </c>
      <c r="L169" s="106" t="str">
        <f>IFERROR(__xludf.DUMMYFUNCTION("""COMPUTED_VALUE"""),"Informed Branch Number Via A Whatsapp")</f>
        <v>Informed Branch Number Via A Whatsapp</v>
      </c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>
      <c r="A170" s="82"/>
      <c r="B170" s="98" t="str">
        <f>IFERROR(__xludf.DUMMYFUNCTION("""COMPUTED_VALUE"""),"127")</f>
        <v>127</v>
      </c>
      <c r="C170" s="98" t="str">
        <f>IFERROR(__xludf.DUMMYFUNCTION("""COMPUTED_VALUE"""),"Jeni")</f>
        <v>Jeni</v>
      </c>
      <c r="D170" s="98" t="str">
        <f>IFERROR(__xludf.DUMMYFUNCTION("""COMPUTED_VALUE"""),"798755851")</f>
        <v>798755851</v>
      </c>
      <c r="E170" s="98" t="str">
        <f>IFERROR(__xludf.DUMMYFUNCTION("""COMPUTED_VALUE"""),"Y")</f>
        <v>Y</v>
      </c>
      <c r="F170" s="98" t="str">
        <f>IFERROR(__xludf.DUMMYFUNCTION("""COMPUTED_VALUE"""),"Ad Happines (Hettipola)")</f>
        <v>Ad Happines (Hettipola)</v>
      </c>
      <c r="G170" s="98" t="str">
        <f>IFERROR(__xludf.DUMMYFUNCTION("""COMPUTED_VALUE"""),"BE065289")</f>
        <v>BE065289</v>
      </c>
      <c r="H170" s="98" t="str">
        <f>IFERROR(__xludf.DUMMYFUNCTION("""COMPUTED_VALUE"""),"Re Deliver")</f>
        <v>Re Deliver</v>
      </c>
      <c r="I170" s="98" t="str">
        <f>IFERROR(__xludf.DUMMYFUNCTION("""COMPUTED_VALUE"""),"Ambalangoda")</f>
        <v>Ambalangoda</v>
      </c>
      <c r="J170" s="98" t="str">
        <f>IFERROR(__xludf.DUMMYFUNCTION("""COMPUTED_VALUE"""),"Returned To Branch Rescheduled")</f>
        <v>Returned To Branch Rescheduled</v>
      </c>
      <c r="K170" s="98" t="str">
        <f>IFERROR(__xludf.DUMMYFUNCTION("""COMPUTED_VALUE"""),"Customer Care")</f>
        <v>Customer Care</v>
      </c>
      <c r="L170" s="98" t="str">
        <f>IFERROR(__xludf.DUMMYFUNCTION("""COMPUTED_VALUE"""),"Done")</f>
        <v>Done</v>
      </c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>
      <c r="A171" s="82"/>
      <c r="B171" s="106" t="str">
        <f>IFERROR(__xludf.DUMMYFUNCTION("""COMPUTED_VALUE"""),"128")</f>
        <v>128</v>
      </c>
      <c r="C171" s="106" t="str">
        <f>IFERROR(__xludf.DUMMYFUNCTION("""COMPUTED_VALUE"""),"Jeni")</f>
        <v>Jeni</v>
      </c>
      <c r="D171" s="106" t="str">
        <f>IFERROR(__xludf.DUMMYFUNCTION("""COMPUTED_VALUE"""),"742439990")</f>
        <v>742439990</v>
      </c>
      <c r="E171" s="106" t="str">
        <f>IFERROR(__xludf.DUMMYFUNCTION("""COMPUTED_VALUE"""),"Y")</f>
        <v>Y</v>
      </c>
      <c r="F171" s="106" t="str">
        <f>IFERROR(__xludf.DUMMYFUNCTION("""COMPUTED_VALUE"""),"Baby Max")</f>
        <v>Baby Max</v>
      </c>
      <c r="G171" s="106" t="str">
        <f>IFERROR(__xludf.DUMMYFUNCTION("""COMPUTED_VALUE"""),"A4463595")</f>
        <v>A4463595</v>
      </c>
      <c r="H171" s="106" t="str">
        <f>IFERROR(__xludf.DUMMYFUNCTION("""COMPUTED_VALUE"""),"The Cflient Said This Order Already Delivered")</f>
        <v>The Cflient Said This Order Already Delivered</v>
      </c>
      <c r="I171" s="106" t="str">
        <f>IFERROR(__xludf.DUMMYFUNCTION("""COMPUTED_VALUE"""),"Ambalangoda")</f>
        <v>Ambalangoda</v>
      </c>
      <c r="J171" s="106" t="str">
        <f>IFERROR(__xludf.DUMMYFUNCTION("""COMPUTED_VALUE"""),"Received At Destination")</f>
        <v>Received At Destination</v>
      </c>
      <c r="K171" s="106" t="str">
        <f>IFERROR(__xludf.DUMMYFUNCTION("""COMPUTED_VALUE"""),"Delivered Not Updated")</f>
        <v>Delivered Not Updated</v>
      </c>
      <c r="L171" s="106" t="str">
        <f>IFERROR(__xludf.DUMMYFUNCTION("""COMPUTED_VALUE"""),"Informed Branch Rm Number Via A Whatsapp")</f>
        <v>Informed Branch Rm Number Via A Whatsapp</v>
      </c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>
      <c r="A172" s="82"/>
      <c r="B172" s="98" t="str">
        <f>IFERROR(__xludf.DUMMYFUNCTION("""COMPUTED_VALUE"""),"129")</f>
        <v>129</v>
      </c>
      <c r="C172" s="98" t="str">
        <f>IFERROR(__xludf.DUMMYFUNCTION("""COMPUTED_VALUE"""),"Jeni")</f>
        <v>Jeni</v>
      </c>
      <c r="D172" s="98" t="str">
        <f>IFERROR(__xludf.DUMMYFUNCTION("""COMPUTED_VALUE"""),"715929082")</f>
        <v>715929082</v>
      </c>
      <c r="E172" s="98" t="str">
        <f>IFERROR(__xludf.DUMMYFUNCTION("""COMPUTED_VALUE"""),"Y")</f>
        <v>Y</v>
      </c>
      <c r="F172" s="98" t="str">
        <f>IFERROR(__xludf.DUMMYFUNCTION("""COMPUTED_VALUE"""),"Sahasra Ayurwedaya")</f>
        <v>Sahasra Ayurwedaya</v>
      </c>
      <c r="G172" s="98" t="str">
        <f>IFERROR(__xludf.DUMMYFUNCTION("""COMPUTED_VALUE"""),"A4700828")</f>
        <v>A4700828</v>
      </c>
      <c r="H172" s="98" t="str">
        <f>IFERROR(__xludf.DUMMYFUNCTION("""COMPUTED_VALUE"""),"Order Status")</f>
        <v>Order Status</v>
      </c>
      <c r="I172" s="98" t="str">
        <f>IFERROR(__xludf.DUMMYFUNCTION("""COMPUTED_VALUE"""),"Kalmunai")</f>
        <v>Kalmunai</v>
      </c>
      <c r="J172" s="98" t="str">
        <f>IFERROR(__xludf.DUMMYFUNCTION("""COMPUTED_VALUE"""),"Out For Delivery")</f>
        <v>Out For Delivery</v>
      </c>
      <c r="K172" s="98" t="str">
        <f>IFERROR(__xludf.DUMMYFUNCTION("""COMPUTED_VALUE"""),"Branch Operations")</f>
        <v>Branch Operations</v>
      </c>
      <c r="L172" s="98" t="str">
        <f>IFERROR(__xludf.DUMMYFUNCTION("""COMPUTED_VALUE"""),"On Route")</f>
        <v>On Route</v>
      </c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>
      <c r="A173" s="82"/>
      <c r="B173" s="106" t="str">
        <f>IFERROR(__xludf.DUMMYFUNCTION("""COMPUTED_VALUE"""),"131")</f>
        <v>131</v>
      </c>
      <c r="C173" s="106" t="str">
        <f>IFERROR(__xludf.DUMMYFUNCTION("""COMPUTED_VALUE"""),"Jeni")</f>
        <v>Jeni</v>
      </c>
      <c r="D173" s="106" t="str">
        <f>IFERROR(__xludf.DUMMYFUNCTION("""COMPUTED_VALUE"""),"717774130")</f>
        <v>717774130</v>
      </c>
      <c r="E173" s="106" t="str">
        <f>IFERROR(__xludf.DUMMYFUNCTION("""COMPUTED_VALUE"""),"Y")</f>
        <v>Y</v>
      </c>
      <c r="F173" s="106" t="str">
        <f>IFERROR(__xludf.DUMMYFUNCTION("""COMPUTED_VALUE"""),"Thara Clothing")</f>
        <v>Thara Clothing</v>
      </c>
      <c r="G173" s="106" t="str">
        <f>IFERROR(__xludf.DUMMYFUNCTION("""COMPUTED_VALUE"""),"A3980140")</f>
        <v>A3980140</v>
      </c>
      <c r="H173" s="106" t="str">
        <f>IFERROR(__xludf.DUMMYFUNCTION("""COMPUTED_VALUE"""),"Re Deliver")</f>
        <v>Re Deliver</v>
      </c>
      <c r="I173" s="106" t="str">
        <f>IFERROR(__xludf.DUMMYFUNCTION("""COMPUTED_VALUE"""),"Batticaloa")</f>
        <v>Batticaloa</v>
      </c>
      <c r="J173" s="106" t="str">
        <f>IFERROR(__xludf.DUMMYFUNCTION("""COMPUTED_VALUE"""),"Returned To Client")</f>
        <v>Returned To Client</v>
      </c>
      <c r="K173" s="106" t="str">
        <f>IFERROR(__xludf.DUMMYFUNCTION("""COMPUTED_VALUE"""),"Return")</f>
        <v>Return</v>
      </c>
      <c r="L173" s="106" t="str">
        <f>IFERROR(__xludf.DUMMYFUNCTION("""COMPUTED_VALUE"""),"Return Item")</f>
        <v>Return Item</v>
      </c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>
      <c r="A174" s="82"/>
      <c r="B174" s="98" t="str">
        <f>IFERROR(__xludf.DUMMYFUNCTION("""COMPUTED_VALUE"""),"133")</f>
        <v>133</v>
      </c>
      <c r="C174" s="98" t="str">
        <f>IFERROR(__xludf.DUMMYFUNCTION("""COMPUTED_VALUE"""),"Jeni")</f>
        <v>Jeni</v>
      </c>
      <c r="D174" s="98" t="str">
        <f>IFERROR(__xludf.DUMMYFUNCTION("""COMPUTED_VALUE"""),"796464512")</f>
        <v>796464512</v>
      </c>
      <c r="E174" s="98" t="str">
        <f>IFERROR(__xludf.DUMMYFUNCTION("""COMPUTED_VALUE"""),"Y")</f>
        <v>Y</v>
      </c>
      <c r="F174" s="98" t="str">
        <f>IFERROR(__xludf.DUMMYFUNCTION("""COMPUTED_VALUE"""),"Livora Online Store")</f>
        <v>Livora Online Store</v>
      </c>
      <c r="G174" s="98" t="str">
        <f>IFERROR(__xludf.DUMMYFUNCTION("""COMPUTED_VALUE"""),"A4319621")</f>
        <v>A4319621</v>
      </c>
      <c r="H174" s="98" t="str">
        <f>IFERROR(__xludf.DUMMYFUNCTION("""COMPUTED_VALUE"""),"Re Deliver")</f>
        <v>Re Deliver</v>
      </c>
      <c r="I174" s="98" t="str">
        <f>IFERROR(__xludf.DUMMYFUNCTION("""COMPUTED_VALUE"""),"Digana")</f>
        <v>Digana</v>
      </c>
      <c r="J174" s="98" t="str">
        <f>IFERROR(__xludf.DUMMYFUNCTION("""COMPUTED_VALUE"""),"Received At Destination")</f>
        <v>Received At Destination</v>
      </c>
      <c r="K174" s="98" t="str">
        <f>IFERROR(__xludf.DUMMYFUNCTION("""COMPUTED_VALUE"""),"Customer Care")</f>
        <v>Customer Care</v>
      </c>
      <c r="L174" s="98" t="str">
        <f>IFERROR(__xludf.DUMMYFUNCTION("""COMPUTED_VALUE"""),"Done")</f>
        <v>Done</v>
      </c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>
      <c r="A175" s="82"/>
      <c r="B175" s="106" t="str">
        <f>IFERROR(__xludf.DUMMYFUNCTION("""COMPUTED_VALUE"""),"134")</f>
        <v>134</v>
      </c>
      <c r="C175" s="106" t="str">
        <f>IFERROR(__xludf.DUMMYFUNCTION("""COMPUTED_VALUE"""),"Jeni")</f>
        <v>Jeni</v>
      </c>
      <c r="D175" s="106" t="str">
        <f>IFERROR(__xludf.DUMMYFUNCTION("""COMPUTED_VALUE"""),"720732498")</f>
        <v>720732498</v>
      </c>
      <c r="E175" s="106" t="str">
        <f>IFERROR(__xludf.DUMMYFUNCTION("""COMPUTED_VALUE"""),"Y")</f>
        <v>Y</v>
      </c>
      <c r="F175" s="106" t="str">
        <f>IFERROR(__xludf.DUMMYFUNCTION("""COMPUTED_VALUE"""),"Livora Online Store")</f>
        <v>Livora Online Store</v>
      </c>
      <c r="G175" s="106" t="str">
        <f>IFERROR(__xludf.DUMMYFUNCTION("""COMPUTED_VALUE"""),"A3858169")</f>
        <v>A3858169</v>
      </c>
      <c r="H175" s="106" t="str">
        <f>IFERROR(__xludf.DUMMYFUNCTION("""COMPUTED_VALUE"""),"Arrange To Deliver Today")</f>
        <v>Arrange To Deliver Today</v>
      </c>
      <c r="I175" s="106" t="str">
        <f>IFERROR(__xludf.DUMMYFUNCTION("""COMPUTED_VALUE"""),"Anamaduwa")</f>
        <v>Anamaduwa</v>
      </c>
      <c r="J175" s="106" t="str">
        <f>IFERROR(__xludf.DUMMYFUNCTION("""COMPUTED_VALUE"""),"Dispatched To Destination")</f>
        <v>Dispatched To Destination</v>
      </c>
      <c r="K175" s="106" t="str">
        <f>IFERROR(__xludf.DUMMYFUNCTION("""COMPUTED_VALUE"""),"Branch Operations")</f>
        <v>Branch Operations</v>
      </c>
      <c r="L175" s="106" t="str">
        <f>IFERROR(__xludf.DUMMYFUNCTION("""COMPUTED_VALUE"""),"Still Not Received Branch")</f>
        <v>Still Not Received Branch</v>
      </c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>
      <c r="A176" s="82"/>
      <c r="B176" s="98" t="str">
        <f>IFERROR(__xludf.DUMMYFUNCTION("""COMPUTED_VALUE"""),"135")</f>
        <v>135</v>
      </c>
      <c r="C176" s="98" t="str">
        <f>IFERROR(__xludf.DUMMYFUNCTION("""COMPUTED_VALUE"""),"Jeni")</f>
        <v>Jeni</v>
      </c>
      <c r="D176" s="98" t="str">
        <f>IFERROR(__xludf.DUMMYFUNCTION("""COMPUTED_VALUE"""),"733532890")</f>
        <v>733532890</v>
      </c>
      <c r="E176" s="98" t="str">
        <f>IFERROR(__xludf.DUMMYFUNCTION("""COMPUTED_VALUE"""),"Y")</f>
        <v>Y</v>
      </c>
      <c r="F176" s="98" t="str">
        <f>IFERROR(__xludf.DUMMYFUNCTION("""COMPUTED_VALUE"""),"Bella Natural Wellness (Pvt) Ltd")</f>
        <v>Bella Natural Wellness (Pvt) Ltd</v>
      </c>
      <c r="G176" s="98" t="str">
        <f>IFERROR(__xludf.DUMMYFUNCTION("""COMPUTED_VALUE"""),"A4203380")</f>
        <v>A4203380</v>
      </c>
      <c r="H176" s="98" t="str">
        <f>IFERROR(__xludf.DUMMYFUNCTION("""COMPUTED_VALUE"""),"Re Deliver")</f>
        <v>Re Deliver</v>
      </c>
      <c r="I176" s="98" t="str">
        <f>IFERROR(__xludf.DUMMYFUNCTION("""COMPUTED_VALUE"""),"Batticaloa")</f>
        <v>Batticaloa</v>
      </c>
      <c r="J176" s="98" t="str">
        <f>IFERROR(__xludf.DUMMYFUNCTION("""COMPUTED_VALUE"""),"Returned To Branch Failed To Deliver")</f>
        <v>Returned To Branch Failed To Deliver</v>
      </c>
      <c r="K176" s="98" t="str">
        <f>IFERROR(__xludf.DUMMYFUNCTION("""COMPUTED_VALUE"""),"Branch Operations")</f>
        <v>Branch Operations</v>
      </c>
      <c r="L176" s="98" t="str">
        <f>IFERROR(__xludf.DUMMYFUNCTION("""COMPUTED_VALUE"""),"Customer Said Want To Change Addess -We Said Contact The Customer")</f>
        <v>Customer Said Want To Change Addess -We Said Contact The Customer</v>
      </c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>
      <c r="A177" s="82"/>
      <c r="B177" s="106" t="str">
        <f>IFERROR(__xludf.DUMMYFUNCTION("""COMPUTED_VALUE"""),"136")</f>
        <v>136</v>
      </c>
      <c r="C177" s="106" t="str">
        <f>IFERROR(__xludf.DUMMYFUNCTION("""COMPUTED_VALUE"""),"Jeni")</f>
        <v>Jeni</v>
      </c>
      <c r="D177" s="106" t="str">
        <f>IFERROR(__xludf.DUMMYFUNCTION("""COMPUTED_VALUE"""),"751988140")</f>
        <v>751988140</v>
      </c>
      <c r="E177" s="106" t="str">
        <f>IFERROR(__xludf.DUMMYFUNCTION("""COMPUTED_VALUE"""),"Y")</f>
        <v>Y</v>
      </c>
      <c r="F177" s="106" t="str">
        <f>IFERROR(__xludf.DUMMYFUNCTION("""COMPUTED_VALUE"""),"Samanali Products")</f>
        <v>Samanali Products</v>
      </c>
      <c r="G177" s="106" t="str">
        <f>IFERROR(__xludf.DUMMYFUNCTION("""COMPUTED_VALUE"""),"A4366980")</f>
        <v>A4366980</v>
      </c>
      <c r="H177" s="106" t="str">
        <f>IFERROR(__xludf.DUMMYFUNCTION("""COMPUTED_VALUE"""),"Order Status")</f>
        <v>Order Status</v>
      </c>
      <c r="I177" s="106" t="str">
        <f>IFERROR(__xludf.DUMMYFUNCTION("""COMPUTED_VALUE"""),"Morawaka")</f>
        <v>Morawaka</v>
      </c>
      <c r="J177" s="106" t="str">
        <f>IFERROR(__xludf.DUMMYFUNCTION("""COMPUTED_VALUE"""),"Dispatched To Destination")</f>
        <v>Dispatched To Destination</v>
      </c>
      <c r="K177" s="106" t="str">
        <f>IFERROR(__xludf.DUMMYFUNCTION("""COMPUTED_VALUE"""),"Branch Operations")</f>
        <v>Branch Operations</v>
      </c>
      <c r="L177" s="106" t="str">
        <f>IFERROR(__xludf.DUMMYFUNCTION("""COMPUTED_VALUE"""),"Still Not Received Branch")</f>
        <v>Still Not Received Branch</v>
      </c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>
      <c r="A178" s="82"/>
      <c r="B178" s="98" t="str">
        <f>IFERROR(__xludf.DUMMYFUNCTION("""COMPUTED_VALUE"""),"138")</f>
        <v>138</v>
      </c>
      <c r="C178" s="98" t="str">
        <f>IFERROR(__xludf.DUMMYFUNCTION("""COMPUTED_VALUE"""),"Jeni")</f>
        <v>Jeni</v>
      </c>
      <c r="D178" s="98" t="str">
        <f>IFERROR(__xludf.DUMMYFUNCTION("""COMPUTED_VALUE"""),"769749975")</f>
        <v>769749975</v>
      </c>
      <c r="E178" s="98" t="str">
        <f>IFERROR(__xludf.DUMMYFUNCTION("""COMPUTED_VALUE"""),"Y")</f>
        <v>Y</v>
      </c>
      <c r="F178" s="98" t="str">
        <f>IFERROR(__xludf.DUMMYFUNCTION("""COMPUTED_VALUE"""),"C&amp;L Markerting")</f>
        <v>C&amp;L Markerting</v>
      </c>
      <c r="G178" s="98" t="str">
        <f>IFERROR(__xludf.DUMMYFUNCTION("""COMPUTED_VALUE"""),"A4636218")</f>
        <v>A4636218</v>
      </c>
      <c r="H178" s="98" t="str">
        <f>IFERROR(__xludf.DUMMYFUNCTION("""COMPUTED_VALUE"""),"Re Deliver")</f>
        <v>Re Deliver</v>
      </c>
      <c r="I178" s="98" t="str">
        <f>IFERROR(__xludf.DUMMYFUNCTION("""COMPUTED_VALUE"""),"Mirigama")</f>
        <v>Mirigama</v>
      </c>
      <c r="J178" s="98" t="str">
        <f>IFERROR(__xludf.DUMMYFUNCTION("""COMPUTED_VALUE"""),"Returned To Branch Failed To Deliver")</f>
        <v>Returned To Branch Failed To Deliver</v>
      </c>
      <c r="K178" s="98" t="str">
        <f>IFERROR(__xludf.DUMMYFUNCTION("""COMPUTED_VALUE"""),"Customer Care")</f>
        <v>Customer Care</v>
      </c>
      <c r="L178" s="98" t="str">
        <f>IFERROR(__xludf.DUMMYFUNCTION("""COMPUTED_VALUE"""),"Done")</f>
        <v>Done</v>
      </c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>
      <c r="A179" s="82"/>
      <c r="B179" s="106" t="str">
        <f>IFERROR(__xludf.DUMMYFUNCTION("""COMPUTED_VALUE"""),"139")</f>
        <v>139</v>
      </c>
      <c r="C179" s="106" t="str">
        <f>IFERROR(__xludf.DUMMYFUNCTION("""COMPUTED_VALUE"""),"Jeni")</f>
        <v>Jeni</v>
      </c>
      <c r="D179" s="106" t="str">
        <f>IFERROR(__xludf.DUMMYFUNCTION("""COMPUTED_VALUE"""),"740904387")</f>
        <v>740904387</v>
      </c>
      <c r="E179" s="106" t="str">
        <f>IFERROR(__xludf.DUMMYFUNCTION("""COMPUTED_VALUE"""),"Y")</f>
        <v>Y</v>
      </c>
      <c r="F179" s="106" t="str">
        <f>IFERROR(__xludf.DUMMYFUNCTION("""COMPUTED_VALUE"""),"C&amp;L Markerting")</f>
        <v>C&amp;L Markerting</v>
      </c>
      <c r="G179" s="106" t="str">
        <f>IFERROR(__xludf.DUMMYFUNCTION("""COMPUTED_VALUE"""),"BA751829")</f>
        <v>BA751829</v>
      </c>
      <c r="H179" s="106" t="str">
        <f>IFERROR(__xludf.DUMMYFUNCTION("""COMPUTED_VALUE"""),"Re Deliver")</f>
        <v>Re Deliver</v>
      </c>
      <c r="I179" s="106" t="str">
        <f>IFERROR(__xludf.DUMMYFUNCTION("""COMPUTED_VALUE"""),"Mirigama")</f>
        <v>Mirigama</v>
      </c>
      <c r="J179" s="106" t="str">
        <f>IFERROR(__xludf.DUMMYFUNCTION("""COMPUTED_VALUE"""),"Returned To Branch Failed To Deliver")</f>
        <v>Returned To Branch Failed To Deliver</v>
      </c>
      <c r="K179" s="106" t="str">
        <f>IFERROR(__xludf.DUMMYFUNCTION("""COMPUTED_VALUE"""),"Customer Care")</f>
        <v>Customer Care</v>
      </c>
      <c r="L179" s="106" t="str">
        <f>IFERROR(__xludf.DUMMYFUNCTION("""COMPUTED_VALUE"""),"Done")</f>
        <v>Done</v>
      </c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>
      <c r="A180" s="82"/>
      <c r="B180" s="98" t="str">
        <f>IFERROR(__xludf.DUMMYFUNCTION("""COMPUTED_VALUE"""),"140")</f>
        <v>140</v>
      </c>
      <c r="C180" s="98" t="str">
        <f>IFERROR(__xludf.DUMMYFUNCTION("""COMPUTED_VALUE"""),"Jeni")</f>
        <v>Jeni</v>
      </c>
      <c r="D180" s="98" t="str">
        <f>IFERROR(__xludf.DUMMYFUNCTION("""COMPUTED_VALUE"""),"714997239")</f>
        <v>714997239</v>
      </c>
      <c r="E180" s="98" t="str">
        <f>IFERROR(__xludf.DUMMYFUNCTION("""COMPUTED_VALUE"""),"Y")</f>
        <v>Y</v>
      </c>
      <c r="F180" s="98" t="str">
        <f>IFERROR(__xludf.DUMMYFUNCTION("""COMPUTED_VALUE"""),"C&amp;L Markerting")</f>
        <v>C&amp;L Markerting</v>
      </c>
      <c r="G180" s="98" t="str">
        <f>IFERROR(__xludf.DUMMYFUNCTION("""COMPUTED_VALUE"""),"A4366972")</f>
        <v>A4366972</v>
      </c>
      <c r="H180" s="98" t="str">
        <f>IFERROR(__xludf.DUMMYFUNCTION("""COMPUTED_VALUE"""),"Re Deliver")</f>
        <v>Re Deliver</v>
      </c>
      <c r="I180" s="98" t="str">
        <f>IFERROR(__xludf.DUMMYFUNCTION("""COMPUTED_VALUE"""),"Mirigama")</f>
        <v>Mirigama</v>
      </c>
      <c r="J180" s="98" t="str">
        <f>IFERROR(__xludf.DUMMYFUNCTION("""COMPUTED_VALUE"""),"Returned To Branch Failed To Deliver")</f>
        <v>Returned To Branch Failed To Deliver</v>
      </c>
      <c r="K180" s="98" t="str">
        <f>IFERROR(__xludf.DUMMYFUNCTION("""COMPUTED_VALUE"""),"Customer Care")</f>
        <v>Customer Care</v>
      </c>
      <c r="L180" s="98" t="str">
        <f>IFERROR(__xludf.DUMMYFUNCTION("""COMPUTED_VALUE"""),"Done")</f>
        <v>Done</v>
      </c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>
      <c r="A181" s="82"/>
      <c r="B181" s="106" t="str">
        <f>IFERROR(__xludf.DUMMYFUNCTION("""COMPUTED_VALUE"""),"141")</f>
        <v>141</v>
      </c>
      <c r="C181" s="106" t="str">
        <f>IFERROR(__xludf.DUMMYFUNCTION("""COMPUTED_VALUE"""),"Jeni")</f>
        <v>Jeni</v>
      </c>
      <c r="D181" s="106" t="str">
        <f>IFERROR(__xludf.DUMMYFUNCTION("""COMPUTED_VALUE"""),"777373554")</f>
        <v>777373554</v>
      </c>
      <c r="E181" s="106" t="str">
        <f>IFERROR(__xludf.DUMMYFUNCTION("""COMPUTED_VALUE"""),"Y")</f>
        <v>Y</v>
      </c>
      <c r="F181" s="106" t="str">
        <f>IFERROR(__xludf.DUMMYFUNCTION("""COMPUTED_VALUE"""),"C&amp;L Markerting")</f>
        <v>C&amp;L Markerting</v>
      </c>
      <c r="G181" s="106" t="str">
        <f>IFERROR(__xludf.DUMMYFUNCTION("""COMPUTED_VALUE"""),"BA751890")</f>
        <v>BA751890</v>
      </c>
      <c r="H181" s="106" t="str">
        <f>IFERROR(__xludf.DUMMYFUNCTION("""COMPUTED_VALUE"""),"Re Deliver")</f>
        <v>Re Deliver</v>
      </c>
      <c r="I181" s="106" t="str">
        <f>IFERROR(__xludf.DUMMYFUNCTION("""COMPUTED_VALUE"""),"Mirigama")</f>
        <v>Mirigama</v>
      </c>
      <c r="J181" s="106" t="str">
        <f>IFERROR(__xludf.DUMMYFUNCTION("""COMPUTED_VALUE"""),"Returned To Branch Failed To Deliver")</f>
        <v>Returned To Branch Failed To Deliver</v>
      </c>
      <c r="K181" s="106" t="str">
        <f>IFERROR(__xludf.DUMMYFUNCTION("""COMPUTED_VALUE"""),"Customer Care")</f>
        <v>Customer Care</v>
      </c>
      <c r="L181" s="106" t="str">
        <f>IFERROR(__xludf.DUMMYFUNCTION("""COMPUTED_VALUE"""),"Done")</f>
        <v>Done</v>
      </c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>
      <c r="A182" s="82"/>
      <c r="B182" s="98" t="str">
        <f>IFERROR(__xludf.DUMMYFUNCTION("""COMPUTED_VALUE"""),"142")</f>
        <v>142</v>
      </c>
      <c r="C182" s="98" t="str">
        <f>IFERROR(__xludf.DUMMYFUNCTION("""COMPUTED_VALUE"""),"Jeni")</f>
        <v>Jeni</v>
      </c>
      <c r="D182" s="98" t="str">
        <f>IFERROR(__xludf.DUMMYFUNCTION("""COMPUTED_VALUE"""),"759644018")</f>
        <v>759644018</v>
      </c>
      <c r="E182" s="98" t="str">
        <f>IFERROR(__xludf.DUMMYFUNCTION("""COMPUTED_VALUE"""),"Y")</f>
        <v>Y</v>
      </c>
      <c r="F182" s="98" t="str">
        <f>IFERROR(__xludf.DUMMYFUNCTION("""COMPUTED_VALUE"""),"C&amp;L Markerting")</f>
        <v>C&amp;L Markerting</v>
      </c>
      <c r="G182" s="98" t="str">
        <f>IFERROR(__xludf.DUMMYFUNCTION("""COMPUTED_VALUE"""),"BE055649")</f>
        <v>BE055649</v>
      </c>
      <c r="H182" s="98" t="str">
        <f>IFERROR(__xludf.DUMMYFUNCTION("""COMPUTED_VALUE"""),"Re Deliver")</f>
        <v>Re Deliver</v>
      </c>
      <c r="I182" s="98" t="str">
        <f>IFERROR(__xludf.DUMMYFUNCTION("""COMPUTED_VALUE"""),"Mirigama")</f>
        <v>Mirigama</v>
      </c>
      <c r="J182" s="98" t="str">
        <f>IFERROR(__xludf.DUMMYFUNCTION("""COMPUTED_VALUE"""),"Returned To Branch Failed To Deliver")</f>
        <v>Returned To Branch Failed To Deliver</v>
      </c>
      <c r="K182" s="98" t="str">
        <f>IFERROR(__xludf.DUMMYFUNCTION("""COMPUTED_VALUE"""),"Customer Care")</f>
        <v>Customer Care</v>
      </c>
      <c r="L182" s="98" t="str">
        <f>IFERROR(__xludf.DUMMYFUNCTION("""COMPUTED_VALUE"""),"Done")</f>
        <v>Done</v>
      </c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>
      <c r="A183" s="82"/>
      <c r="B183" s="106" t="str">
        <f>IFERROR(__xludf.DUMMYFUNCTION("""COMPUTED_VALUE"""),"137")</f>
        <v>137</v>
      </c>
      <c r="C183" s="106" t="str">
        <f>IFERROR(__xludf.DUMMYFUNCTION("""COMPUTED_VALUE"""),"Jeni")</f>
        <v>Jeni</v>
      </c>
      <c r="D183" s="106" t="str">
        <f>IFERROR(__xludf.DUMMYFUNCTION("""COMPUTED_VALUE"""),"772877680")</f>
        <v>772877680</v>
      </c>
      <c r="E183" s="106" t="str">
        <f>IFERROR(__xludf.DUMMYFUNCTION("""COMPUTED_VALUE"""),"Y")</f>
        <v>Y</v>
      </c>
      <c r="F183" s="106" t="str">
        <f>IFERROR(__xludf.DUMMYFUNCTION("""COMPUTED_VALUE"""),"Dcl Marketing Pvt")</f>
        <v>Dcl Marketing Pvt</v>
      </c>
      <c r="G183" s="106" t="str">
        <f>IFERROR(__xludf.DUMMYFUNCTION("""COMPUTED_VALUE"""),"BA772727")</f>
        <v>BA772727</v>
      </c>
      <c r="H183" s="106" t="str">
        <f>IFERROR(__xludf.DUMMYFUNCTION("""COMPUTED_VALUE"""),"Re Deliver")</f>
        <v>Re Deliver</v>
      </c>
      <c r="I183" s="106" t="str">
        <f>IFERROR(__xludf.DUMMYFUNCTION("""COMPUTED_VALUE"""),"Kadawatha")</f>
        <v>Kadawatha</v>
      </c>
      <c r="J183" s="106" t="str">
        <f>IFERROR(__xludf.DUMMYFUNCTION("""COMPUTED_VALUE"""),"Returned To Branch Failed To Deliver")</f>
        <v>Returned To Branch Failed To Deliver</v>
      </c>
      <c r="K183" s="106" t="str">
        <f>IFERROR(__xludf.DUMMYFUNCTION("""COMPUTED_VALUE"""),"Branch Operations")</f>
        <v>Branch Operations</v>
      </c>
      <c r="L183" s="106" t="str">
        <f>IFERROR(__xludf.DUMMYFUNCTION("""COMPUTED_VALUE"""),"Customer No Answer")</f>
        <v>Customer No Answer</v>
      </c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>
      <c r="A184" s="82"/>
      <c r="B184" s="98" t="str">
        <f>IFERROR(__xludf.DUMMYFUNCTION("""COMPUTED_VALUE"""),"144")</f>
        <v>144</v>
      </c>
      <c r="C184" s="98" t="str">
        <f>IFERROR(__xludf.DUMMYFUNCTION("""COMPUTED_VALUE"""),"Jeni")</f>
        <v>Jeni</v>
      </c>
      <c r="D184" s="98" t="str">
        <f>IFERROR(__xludf.DUMMYFUNCTION("""COMPUTED_VALUE"""),"723873010")</f>
        <v>723873010</v>
      </c>
      <c r="E184" s="98" t="str">
        <f>IFERROR(__xludf.DUMMYFUNCTION("""COMPUTED_VALUE"""),"Y")</f>
        <v>Y</v>
      </c>
      <c r="F184" s="98" t="str">
        <f>IFERROR(__xludf.DUMMYFUNCTION("""COMPUTED_VALUE"""),"Royal Angels Online Business Pvt.Com")</f>
        <v>Royal Angels Online Business Pvt.Com</v>
      </c>
      <c r="G184" s="98" t="str">
        <f>IFERROR(__xludf.DUMMYFUNCTION("""COMPUTED_VALUE"""),"BE085788")</f>
        <v>BE085788</v>
      </c>
      <c r="H184" s="98" t="str">
        <f>IFERROR(__xludf.DUMMYFUNCTION("""COMPUTED_VALUE"""),"Re Deliver")</f>
        <v>Re Deliver</v>
      </c>
      <c r="I184" s="98" t="str">
        <f>IFERROR(__xludf.DUMMYFUNCTION("""COMPUTED_VALUE"""),"Wattala")</f>
        <v>Wattala</v>
      </c>
      <c r="J184" s="98" t="str">
        <f>IFERROR(__xludf.DUMMYFUNCTION("""COMPUTED_VALUE"""),"Returned To Branch Rescheduled")</f>
        <v>Returned To Branch Rescheduled</v>
      </c>
      <c r="K184" s="98" t="str">
        <f>IFERROR(__xludf.DUMMYFUNCTION("""COMPUTED_VALUE"""),"Customer Care")</f>
        <v>Customer Care</v>
      </c>
      <c r="L184" s="98" t="str">
        <f>IFERROR(__xludf.DUMMYFUNCTION("""COMPUTED_VALUE"""),"Done")</f>
        <v>Done</v>
      </c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>
      <c r="A185" s="82"/>
      <c r="B185" s="106" t="str">
        <f>IFERROR(__xludf.DUMMYFUNCTION("""COMPUTED_VALUE"""),"137")</f>
        <v>137</v>
      </c>
      <c r="C185" s="106" t="str">
        <f>IFERROR(__xludf.DUMMYFUNCTION("""COMPUTED_VALUE"""),"Jeni")</f>
        <v>Jeni</v>
      </c>
      <c r="D185" s="106" t="str">
        <f>IFERROR(__xludf.DUMMYFUNCTION("""COMPUTED_VALUE"""),"771308134")</f>
        <v>771308134</v>
      </c>
      <c r="E185" s="106" t="str">
        <f>IFERROR(__xludf.DUMMYFUNCTION("""COMPUTED_VALUE"""),"Y")</f>
        <v>Y</v>
      </c>
      <c r="F185" s="106" t="str">
        <f>IFERROR(__xludf.DUMMYFUNCTION("""COMPUTED_VALUE"""),"Dcl Marketing Pvt")</f>
        <v>Dcl Marketing Pvt</v>
      </c>
      <c r="G185" s="106" t="str">
        <f>IFERROR(__xludf.DUMMYFUNCTION("""COMPUTED_VALUE"""),"BA751144")</f>
        <v>BA751144</v>
      </c>
      <c r="H185" s="106" t="str">
        <f>IFERROR(__xludf.DUMMYFUNCTION("""COMPUTED_VALUE"""),"Re Deliver")</f>
        <v>Re Deliver</v>
      </c>
      <c r="I185" s="106" t="str">
        <f>IFERROR(__xludf.DUMMYFUNCTION("""COMPUTED_VALUE"""),"Maradana")</f>
        <v>Maradana</v>
      </c>
      <c r="J185" s="106" t="str">
        <f>IFERROR(__xludf.DUMMYFUNCTION("""COMPUTED_VALUE"""),"Returned To Branch Failed To Deliver")</f>
        <v>Returned To Branch Failed To Deliver</v>
      </c>
      <c r="K185" s="106" t="str">
        <f>IFERROR(__xludf.DUMMYFUNCTION("""COMPUTED_VALUE"""),"Branch Operations")</f>
        <v>Branch Operations</v>
      </c>
      <c r="L185" s="106" t="str">
        <f>IFERROR(__xludf.DUMMYFUNCTION("""COMPUTED_VALUE"""),"Customer No Answer")</f>
        <v>Customer No Answer</v>
      </c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>
      <c r="A186" s="82"/>
      <c r="B186" s="98" t="str">
        <f>IFERROR(__xludf.DUMMYFUNCTION("""COMPUTED_VALUE"""),"146")</f>
        <v>146</v>
      </c>
      <c r="C186" s="98" t="str">
        <f>IFERROR(__xludf.DUMMYFUNCTION("""COMPUTED_VALUE"""),"Jeni")</f>
        <v>Jeni</v>
      </c>
      <c r="D186" s="98" t="str">
        <f>IFERROR(__xludf.DUMMYFUNCTION("""COMPUTED_VALUE"""),"723755803")</f>
        <v>723755803</v>
      </c>
      <c r="E186" s="98" t="str">
        <f>IFERROR(__xludf.DUMMYFUNCTION("""COMPUTED_VALUE"""),"Y")</f>
        <v>Y</v>
      </c>
      <c r="F186" s="98" t="str">
        <f>IFERROR(__xludf.DUMMYFUNCTION("""COMPUTED_VALUE"""),"P &amp; S Help Investment Pvt(Ltd)")</f>
        <v>P &amp; S Help Investment Pvt(Ltd)</v>
      </c>
      <c r="G186" s="98" t="str">
        <f>IFERROR(__xludf.DUMMYFUNCTION("""COMPUTED_VALUE"""),"A4702117")</f>
        <v>A4702117</v>
      </c>
      <c r="H186" s="98" t="str">
        <f>IFERROR(__xludf.DUMMYFUNCTION("""COMPUTED_VALUE"""),"Client Want Return This Order")</f>
        <v>Client Want Return This Order</v>
      </c>
      <c r="I186" s="98" t="str">
        <f>IFERROR(__xludf.DUMMYFUNCTION("""COMPUTED_VALUE"""),"Rajagiriya")</f>
        <v>Rajagiriya</v>
      </c>
      <c r="J186" s="98" t="str">
        <f>IFERROR(__xludf.DUMMYFUNCTION("""COMPUTED_VALUE"""),"Delivered")</f>
        <v>Delivered</v>
      </c>
      <c r="K186" s="98" t="str">
        <f>IFERROR(__xludf.DUMMYFUNCTION("""COMPUTED_VALUE"""),"Customer Care")</f>
        <v>Customer Care</v>
      </c>
      <c r="L186" s="98" t="str">
        <f>IFERROR(__xludf.DUMMYFUNCTION("""COMPUTED_VALUE"""),"Its Delivered /Cant Back Return This Order")</f>
        <v>Its Delivered /Cant Back Return This Order</v>
      </c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>
      <c r="A187" s="82"/>
      <c r="B187" s="106" t="str">
        <f>IFERROR(__xludf.DUMMYFUNCTION("""COMPUTED_VALUE"""),"147")</f>
        <v>147</v>
      </c>
      <c r="C187" s="106" t="str">
        <f>IFERROR(__xludf.DUMMYFUNCTION("""COMPUTED_VALUE"""),"Jeni")</f>
        <v>Jeni</v>
      </c>
      <c r="D187" s="106" t="str">
        <f>IFERROR(__xludf.DUMMYFUNCTION("""COMPUTED_VALUE"""),"783078104")</f>
        <v>783078104</v>
      </c>
      <c r="E187" s="106" t="str">
        <f>IFERROR(__xludf.DUMMYFUNCTION("""COMPUTED_VALUE"""),"Y")</f>
        <v>Y</v>
      </c>
      <c r="F187" s="106" t="str">
        <f>IFERROR(__xludf.DUMMYFUNCTION("""COMPUTED_VALUE"""),"P &amp; S Help Investment Pvt(Ltd)")</f>
        <v>P &amp; S Help Investment Pvt(Ltd)</v>
      </c>
      <c r="G187" s="106" t="str">
        <f>IFERROR(__xludf.DUMMYFUNCTION("""COMPUTED_VALUE"""),"A4591385")</f>
        <v>A4591385</v>
      </c>
      <c r="H187" s="106" t="str">
        <f>IFERROR(__xludf.DUMMYFUNCTION("""COMPUTED_VALUE"""),"Re Deliver")</f>
        <v>Re Deliver</v>
      </c>
      <c r="I187" s="106" t="str">
        <f>IFERROR(__xludf.DUMMYFUNCTION("""COMPUTED_VALUE"""),"Rajagiriya")</f>
        <v>Rajagiriya</v>
      </c>
      <c r="J187" s="106" t="str">
        <f>IFERROR(__xludf.DUMMYFUNCTION("""COMPUTED_VALUE"""),"Delivered")</f>
        <v>Delivered</v>
      </c>
      <c r="K187" s="106" t="str">
        <f>IFERROR(__xludf.DUMMYFUNCTION("""COMPUTED_VALUE"""),"Customer Care")</f>
        <v>Customer Care</v>
      </c>
      <c r="L187" s="106" t="str">
        <f>IFERROR(__xludf.DUMMYFUNCTION("""COMPUTED_VALUE"""),"Done")</f>
        <v>Done</v>
      </c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>
      <c r="A188" s="82"/>
      <c r="B188" s="98" t="str">
        <f>IFERROR(__xludf.DUMMYFUNCTION("""COMPUTED_VALUE"""),"137")</f>
        <v>137</v>
      </c>
      <c r="C188" s="98" t="str">
        <f>IFERROR(__xludf.DUMMYFUNCTION("""COMPUTED_VALUE"""),"Jeni")</f>
        <v>Jeni</v>
      </c>
      <c r="D188" s="98" t="str">
        <f>IFERROR(__xludf.DUMMYFUNCTION("""COMPUTED_VALUE"""),"772283613")</f>
        <v>772283613</v>
      </c>
      <c r="E188" s="98" t="str">
        <f>IFERROR(__xludf.DUMMYFUNCTION("""COMPUTED_VALUE"""),"Y")</f>
        <v>Y</v>
      </c>
      <c r="F188" s="98" t="str">
        <f>IFERROR(__xludf.DUMMYFUNCTION("""COMPUTED_VALUE"""),"C&amp;L Markerting")</f>
        <v>C&amp;L Markerting</v>
      </c>
      <c r="G188" s="98" t="str">
        <f>IFERROR(__xludf.DUMMYFUNCTION("""COMPUTED_VALUE"""),"BA754114")</f>
        <v>BA754114</v>
      </c>
      <c r="H188" s="98" t="str">
        <f>IFERROR(__xludf.DUMMYFUNCTION("""COMPUTED_VALUE"""),"Re Deliver")</f>
        <v>Re Deliver</v>
      </c>
      <c r="I188" s="98" t="str">
        <f>IFERROR(__xludf.DUMMYFUNCTION("""COMPUTED_VALUE"""),"Mirigama")</f>
        <v>Mirigama</v>
      </c>
      <c r="J188" s="98" t="str">
        <f>IFERROR(__xludf.DUMMYFUNCTION("""COMPUTED_VALUE"""),"Returned To Branch Failed To Deliver")</f>
        <v>Returned To Branch Failed To Deliver</v>
      </c>
      <c r="K188" s="98" t="str">
        <f>IFERROR(__xludf.DUMMYFUNCTION("""COMPUTED_VALUE"""),"Branch Operations")</f>
        <v>Branch Operations</v>
      </c>
      <c r="L188" s="98" t="str">
        <f>IFERROR(__xludf.DUMMYFUNCTION("""COMPUTED_VALUE"""),"1St Number Busy / 2Nd Number No Answer")</f>
        <v>1St Number Busy / 2Nd Number No Answer</v>
      </c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>
      <c r="A189" s="82"/>
      <c r="B189" s="106" t="str">
        <f>IFERROR(__xludf.DUMMYFUNCTION("""COMPUTED_VALUE"""),"150")</f>
        <v>150</v>
      </c>
      <c r="C189" s="106" t="str">
        <f>IFERROR(__xludf.DUMMYFUNCTION("""COMPUTED_VALUE"""),"Jeni")</f>
        <v>Jeni</v>
      </c>
      <c r="D189" s="106" t="str">
        <f>IFERROR(__xludf.DUMMYFUNCTION("""COMPUTED_VALUE"""),"777949984")</f>
        <v>777949984</v>
      </c>
      <c r="E189" s="106" t="str">
        <f>IFERROR(__xludf.DUMMYFUNCTION("""COMPUTED_VALUE"""),"N")</f>
        <v>N</v>
      </c>
      <c r="F189" s="106" t="str">
        <f>IFERROR(__xludf.DUMMYFUNCTION("""COMPUTED_VALUE"""),"Baloreena")</f>
        <v>Baloreena</v>
      </c>
      <c r="G189" s="106" t="str">
        <f>IFERROR(__xludf.DUMMYFUNCTION("""COMPUTED_VALUE"""),"BA769381")</f>
        <v>BA769381</v>
      </c>
      <c r="H189" s="106" t="str">
        <f>IFERROR(__xludf.DUMMYFUNCTION("""COMPUTED_VALUE"""),"Order Status")</f>
        <v>Order Status</v>
      </c>
      <c r="I189" s="106" t="str">
        <f>IFERROR(__xludf.DUMMYFUNCTION("""COMPUTED_VALUE"""),"Kahawatta")</f>
        <v>Kahawatta</v>
      </c>
      <c r="J189" s="106" t="str">
        <f>IFERROR(__xludf.DUMMYFUNCTION("""COMPUTED_VALUE"""),"Dispatched To Destination")</f>
        <v>Dispatched To Destination</v>
      </c>
      <c r="K189" s="106" t="str">
        <f>IFERROR(__xludf.DUMMYFUNCTION("""COMPUTED_VALUE"""),"Branch Operations")</f>
        <v>Branch Operations</v>
      </c>
      <c r="L189" s="106" t="str">
        <f>IFERROR(__xludf.DUMMYFUNCTION("""COMPUTED_VALUE"""),"Still Not Received Branch")</f>
        <v>Still Not Received Branch</v>
      </c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>
      <c r="A190" s="82"/>
      <c r="B190" s="98" t="str">
        <f>IFERROR(__xludf.DUMMYFUNCTION("""COMPUTED_VALUE"""),"140")</f>
        <v>140</v>
      </c>
      <c r="C190" s="98" t="str">
        <f>IFERROR(__xludf.DUMMYFUNCTION("""COMPUTED_VALUE"""),"Jeni")</f>
        <v>Jeni</v>
      </c>
      <c r="D190" s="98" t="str">
        <f>IFERROR(__xludf.DUMMYFUNCTION("""COMPUTED_VALUE"""),"709104428")</f>
        <v>709104428</v>
      </c>
      <c r="E190" s="98" t="str">
        <f>IFERROR(__xludf.DUMMYFUNCTION("""COMPUTED_VALUE"""),"N")</f>
        <v>N</v>
      </c>
      <c r="F190" s="98" t="str">
        <f>IFERROR(__xludf.DUMMYFUNCTION("""COMPUTED_VALUE"""),"Baloreena")</f>
        <v>Baloreena</v>
      </c>
      <c r="G190" s="98" t="str">
        <f>IFERROR(__xludf.DUMMYFUNCTION("""COMPUTED_VALUE"""),"A4366972")</f>
        <v>A4366972</v>
      </c>
      <c r="H190" s="98" t="str">
        <f>IFERROR(__xludf.DUMMYFUNCTION("""COMPUTED_VALUE"""),"Re Deliver")</f>
        <v>Re Deliver</v>
      </c>
      <c r="I190" s="98" t="str">
        <f>IFERROR(__xludf.DUMMYFUNCTION("""COMPUTED_VALUE"""),"Kahawatta")</f>
        <v>Kahawatta</v>
      </c>
      <c r="J190" s="98" t="str">
        <f>IFERROR(__xludf.DUMMYFUNCTION("""COMPUTED_VALUE"""),"Dispatched To Destination")</f>
        <v>Dispatched To Destination</v>
      </c>
      <c r="K190" s="98" t="str">
        <f>IFERROR(__xludf.DUMMYFUNCTION("""COMPUTED_VALUE"""),"Customer Care")</f>
        <v>Customer Care</v>
      </c>
      <c r="L190" s="98" t="str">
        <f>IFERROR(__xludf.DUMMYFUNCTION("""COMPUTED_VALUE"""),"Done")</f>
        <v>Done</v>
      </c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>
      <c r="A191" s="82"/>
      <c r="B191" s="106" t="str">
        <f>IFERROR(__xludf.DUMMYFUNCTION("""COMPUTED_VALUE"""),"141")</f>
        <v>141</v>
      </c>
      <c r="C191" s="106" t="str">
        <f>IFERROR(__xludf.DUMMYFUNCTION("""COMPUTED_VALUE"""),"Jeni")</f>
        <v>Jeni</v>
      </c>
      <c r="D191" s="106" t="str">
        <f>IFERROR(__xludf.DUMMYFUNCTION("""COMPUTED_VALUE"""),"791484001")</f>
        <v>791484001</v>
      </c>
      <c r="E191" s="106" t="str">
        <f>IFERROR(__xludf.DUMMYFUNCTION("""COMPUTED_VALUE"""),"N")</f>
        <v>N</v>
      </c>
      <c r="F191" s="106" t="str">
        <f>IFERROR(__xludf.DUMMYFUNCTION("""COMPUTED_VALUE"""),"Baloreena")</f>
        <v>Baloreena</v>
      </c>
      <c r="G191" s="106" t="str">
        <f>IFERROR(__xludf.DUMMYFUNCTION("""COMPUTED_VALUE"""),"BA751890")</f>
        <v>BA751890</v>
      </c>
      <c r="H191" s="106" t="str">
        <f>IFERROR(__xludf.DUMMYFUNCTION("""COMPUTED_VALUE"""),"Re Deliver")</f>
        <v>Re Deliver</v>
      </c>
      <c r="I191" s="106" t="str">
        <f>IFERROR(__xludf.DUMMYFUNCTION("""COMPUTED_VALUE"""),"Kahawatta")</f>
        <v>Kahawatta</v>
      </c>
      <c r="J191" s="106" t="str">
        <f>IFERROR(__xludf.DUMMYFUNCTION("""COMPUTED_VALUE"""),"Dispatched To Destination")</f>
        <v>Dispatched To Destination</v>
      </c>
      <c r="K191" s="106" t="str">
        <f>IFERROR(__xludf.DUMMYFUNCTION("""COMPUTED_VALUE"""),"Customer Care")</f>
        <v>Customer Care</v>
      </c>
      <c r="L191" s="106" t="str">
        <f>IFERROR(__xludf.DUMMYFUNCTION("""COMPUTED_VALUE"""),"Done")</f>
        <v>Done</v>
      </c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>
      <c r="A192" s="82"/>
      <c r="B192" s="98" t="str">
        <f>IFERROR(__xludf.DUMMYFUNCTION("""COMPUTED_VALUE"""),"153")</f>
        <v>153</v>
      </c>
      <c r="C192" s="98" t="str">
        <f>IFERROR(__xludf.DUMMYFUNCTION("""COMPUTED_VALUE"""),"Jeni")</f>
        <v>Jeni</v>
      </c>
      <c r="D192" s="98" t="str">
        <f>IFERROR(__xludf.DUMMYFUNCTION("""COMPUTED_VALUE"""),"751681330")</f>
        <v>751681330</v>
      </c>
      <c r="E192" s="98" t="str">
        <f>IFERROR(__xludf.DUMMYFUNCTION("""COMPUTED_VALUE"""),"N")</f>
        <v>N</v>
      </c>
      <c r="F192" s="98" t="str">
        <f>IFERROR(__xludf.DUMMYFUNCTION("""COMPUTED_VALUE"""),"Dd Holding")</f>
        <v>Dd Holding</v>
      </c>
      <c r="G192" s="98" t="str">
        <f>IFERROR(__xludf.DUMMYFUNCTION("""COMPUTED_VALUE"""),"BE109206")</f>
        <v>BE109206</v>
      </c>
      <c r="H192" s="98" t="str">
        <f>IFERROR(__xludf.DUMMYFUNCTION("""COMPUTED_VALUE"""),"Customer Want Return This Order")</f>
        <v>Customer Want Return This Order</v>
      </c>
      <c r="I192" s="98" t="str">
        <f>IFERROR(__xludf.DUMMYFUNCTION("""COMPUTED_VALUE"""),"Horana")</f>
        <v>Horana</v>
      </c>
      <c r="J192" s="98" t="str">
        <f>IFERROR(__xludf.DUMMYFUNCTION("""COMPUTED_VALUE"""),"Delivered")</f>
        <v>Delivered</v>
      </c>
      <c r="K192" s="98" t="str">
        <f>IFERROR(__xludf.DUMMYFUNCTION("""COMPUTED_VALUE"""),"Customer Care")</f>
        <v>Customer Care</v>
      </c>
      <c r="L192" s="98" t="str">
        <f>IFERROR(__xludf.DUMMYFUNCTION("""COMPUTED_VALUE"""),"Informed Genzo Nethmi")</f>
        <v>Informed Genzo Nethmi</v>
      </c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>
      <c r="A193" s="82"/>
      <c r="B193" s="106" t="str">
        <f>IFERROR(__xludf.DUMMYFUNCTION("""COMPUTED_VALUE"""),"143")</f>
        <v>143</v>
      </c>
      <c r="C193" s="106" t="str">
        <f>IFERROR(__xludf.DUMMYFUNCTION("""COMPUTED_VALUE"""),"Jeni")</f>
        <v>Jeni</v>
      </c>
      <c r="D193" s="106" t="str">
        <f>IFERROR(__xludf.DUMMYFUNCTION("""COMPUTED_VALUE"""),"793482809")</f>
        <v>793482809</v>
      </c>
      <c r="E193" s="106" t="str">
        <f>IFERROR(__xludf.DUMMYFUNCTION("""COMPUTED_VALUE"""),"Y")</f>
        <v>Y</v>
      </c>
      <c r="F193" s="106" t="str">
        <f>IFERROR(__xludf.DUMMYFUNCTION("""COMPUTED_VALUE"""),"Royal Angels Online Business Pvt.Com")</f>
        <v>Royal Angels Online Business Pvt.Com</v>
      </c>
      <c r="G193" s="106" t="str">
        <f>IFERROR(__xludf.DUMMYFUNCTION("""COMPUTED_VALUE"""),"90060088")</f>
        <v>90060088</v>
      </c>
      <c r="H193" s="106" t="str">
        <f>IFERROR(__xludf.DUMMYFUNCTION("""COMPUTED_VALUE"""),"Arrange To Deliver Today")</f>
        <v>Arrange To Deliver Today</v>
      </c>
      <c r="I193" s="106" t="str">
        <f>IFERROR(__xludf.DUMMYFUNCTION("""COMPUTED_VALUE"""),"Mirigama")</f>
        <v>Mirigama</v>
      </c>
      <c r="J193" s="106" t="str">
        <f>IFERROR(__xludf.DUMMYFUNCTION("""COMPUTED_VALUE"""),"Returned To Branch Failed To Deliver")</f>
        <v>Returned To Branch Failed To Deliver</v>
      </c>
      <c r="K193" s="106" t="str">
        <f>IFERROR(__xludf.DUMMYFUNCTION("""COMPUTED_VALUE"""),"Branch Operations")</f>
        <v>Branch Operations</v>
      </c>
      <c r="L193" s="106" t="str">
        <f>IFERROR(__xludf.DUMMYFUNCTION("""COMPUTED_VALUE"""),"Informed Branch Number Via A Whatsapp")</f>
        <v>Informed Branch Number Via A Whatsapp</v>
      </c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>
      <c r="A194" s="82"/>
      <c r="B194" s="98" t="str">
        <f>IFERROR(__xludf.DUMMYFUNCTION("""COMPUTED_VALUE"""),"143")</f>
        <v>143</v>
      </c>
      <c r="C194" s="98" t="str">
        <f>IFERROR(__xludf.DUMMYFUNCTION("""COMPUTED_VALUE"""),"Jeni")</f>
        <v>Jeni</v>
      </c>
      <c r="D194" s="98" t="str">
        <f>IFERROR(__xludf.DUMMYFUNCTION("""COMPUTED_VALUE"""),"751864236")</f>
        <v>751864236</v>
      </c>
      <c r="E194" s="98" t="str">
        <f>IFERROR(__xludf.DUMMYFUNCTION("""COMPUTED_VALUE"""),"Y")</f>
        <v>Y</v>
      </c>
      <c r="F194" s="98" t="str">
        <f>IFERROR(__xludf.DUMMYFUNCTION("""COMPUTED_VALUE"""),"Royal Angels Online Business Pvt.Com")</f>
        <v>Royal Angels Online Business Pvt.Com</v>
      </c>
      <c r="G194" s="98" t="str">
        <f>IFERROR(__xludf.DUMMYFUNCTION("""COMPUTED_VALUE"""),"90060089")</f>
        <v>90060089</v>
      </c>
      <c r="H194" s="98" t="str">
        <f>IFERROR(__xludf.DUMMYFUNCTION("""COMPUTED_VALUE"""),"Arrange To Deliver Today")</f>
        <v>Arrange To Deliver Today</v>
      </c>
      <c r="I194" s="98" t="str">
        <f>IFERROR(__xludf.DUMMYFUNCTION("""COMPUTED_VALUE"""),"Mirigama")</f>
        <v>Mirigama</v>
      </c>
      <c r="J194" s="98" t="str">
        <f>IFERROR(__xludf.DUMMYFUNCTION("""COMPUTED_VALUE"""),"Returned To Branch Failed To Deliver")</f>
        <v>Returned To Branch Failed To Deliver</v>
      </c>
      <c r="K194" s="98" t="str">
        <f>IFERROR(__xludf.DUMMYFUNCTION("""COMPUTED_VALUE"""),"Branch Operations")</f>
        <v>Branch Operations</v>
      </c>
      <c r="L194" s="98" t="str">
        <f>IFERROR(__xludf.DUMMYFUNCTION("""COMPUTED_VALUE"""),"Informed Branch Supervisor Number Via A Whatsapp")</f>
        <v>Informed Branch Supervisor Number Via A Whatsapp</v>
      </c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>
      <c r="A195" s="82"/>
      <c r="B195" s="106" t="str">
        <f>IFERROR(__xludf.DUMMYFUNCTION("""COMPUTED_VALUE"""),"156")</f>
        <v>156</v>
      </c>
      <c r="C195" s="106" t="str">
        <f>IFERROR(__xludf.DUMMYFUNCTION("""COMPUTED_VALUE"""),"Jeni")</f>
        <v>Jeni</v>
      </c>
      <c r="D195" s="106" t="str">
        <f>IFERROR(__xludf.DUMMYFUNCTION("""COMPUTED_VALUE"""),"751681330")</f>
        <v>751681330</v>
      </c>
      <c r="E195" s="106" t="str">
        <f>IFERROR(__xludf.DUMMYFUNCTION("""COMPUTED_VALUE"""),"N")</f>
        <v>N</v>
      </c>
      <c r="F195" s="106" t="str">
        <f>IFERROR(__xludf.DUMMYFUNCTION("""COMPUTED_VALUE"""),"Dd Holding")</f>
        <v>Dd Holding</v>
      </c>
      <c r="G195" s="106" t="str">
        <f>IFERROR(__xludf.DUMMYFUNCTION("""COMPUTED_VALUE"""),"BE109206")</f>
        <v>BE109206</v>
      </c>
      <c r="H195" s="106" t="str">
        <f>IFERROR(__xludf.DUMMYFUNCTION("""COMPUTED_VALUE"""),"Customer Want Return This Order")</f>
        <v>Customer Want Return This Order</v>
      </c>
      <c r="I195" s="106" t="str">
        <f>IFERROR(__xludf.DUMMYFUNCTION("""COMPUTED_VALUE"""),"Kalutara")</f>
        <v>Kalutara</v>
      </c>
      <c r="J195" s="106" t="str">
        <f>IFERROR(__xludf.DUMMYFUNCTION("""COMPUTED_VALUE"""),"Delivered")</f>
        <v>Delivered</v>
      </c>
      <c r="K195" s="106" t="str">
        <f>IFERROR(__xludf.DUMMYFUNCTION("""COMPUTED_VALUE"""),"Customer Care")</f>
        <v>Customer Care</v>
      </c>
      <c r="L195" s="106" t="str">
        <f>IFERROR(__xludf.DUMMYFUNCTION("""COMPUTED_VALUE"""),"Informed Genzo Nethmi")</f>
        <v>Informed Genzo Nethmi</v>
      </c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>
      <c r="A196" s="82"/>
      <c r="B196" s="98" t="str">
        <f>IFERROR(__xludf.DUMMYFUNCTION("""COMPUTED_VALUE"""),"145")</f>
        <v>145</v>
      </c>
      <c r="C196" s="98" t="str">
        <f>IFERROR(__xludf.DUMMYFUNCTION("""COMPUTED_VALUE"""),"Jeni")</f>
        <v>Jeni</v>
      </c>
      <c r="D196" s="98" t="str">
        <f>IFERROR(__xludf.DUMMYFUNCTION("""COMPUTED_VALUE"""),"735856239")</f>
        <v>735856239</v>
      </c>
      <c r="E196" s="98" t="str">
        <f>IFERROR(__xludf.DUMMYFUNCTION("""COMPUTED_VALUE"""),"Y")</f>
        <v>Y</v>
      </c>
      <c r="F196" s="98" t="str">
        <f>IFERROR(__xludf.DUMMYFUNCTION("""COMPUTED_VALUE"""),"Oneshop")</f>
        <v>Oneshop</v>
      </c>
      <c r="G196" s="98" t="str">
        <f>IFERROR(__xludf.DUMMYFUNCTION("""COMPUTED_VALUE"""),"BA774761")</f>
        <v>BA774761</v>
      </c>
      <c r="H196" s="98" t="str">
        <f>IFERROR(__xludf.DUMMYFUNCTION("""COMPUTED_VALUE"""),"Re Deliver")</f>
        <v>Re Deliver</v>
      </c>
      <c r="I196" s="98" t="str">
        <f>IFERROR(__xludf.DUMMYFUNCTION("""COMPUTED_VALUE"""),"Mirigama")</f>
        <v>Mirigama</v>
      </c>
      <c r="J196" s="98" t="str">
        <f>IFERROR(__xludf.DUMMYFUNCTION("""COMPUTED_VALUE"""),"Returned To Branch Failed To Deliver")</f>
        <v>Returned To Branch Failed To Deliver</v>
      </c>
      <c r="K196" s="98" t="str">
        <f>IFERROR(__xludf.DUMMYFUNCTION("""COMPUTED_VALUE"""),"Branch Operations")</f>
        <v>Branch Operations</v>
      </c>
      <c r="L196" s="98" t="str">
        <f>IFERROR(__xludf.DUMMYFUNCTION("""COMPUTED_VALUE"""),"Customer Said Check And Call Back")</f>
        <v>Customer Said Check And Call Back</v>
      </c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>
      <c r="A197" s="82"/>
      <c r="B197" s="106" t="str">
        <f>IFERROR(__xludf.DUMMYFUNCTION("""COMPUTED_VALUE"""),"145")</f>
        <v>145</v>
      </c>
      <c r="C197" s="106" t="str">
        <f>IFERROR(__xludf.DUMMYFUNCTION("""COMPUTED_VALUE"""),"Jeni")</f>
        <v>Jeni</v>
      </c>
      <c r="D197" s="106" t="str">
        <f>IFERROR(__xludf.DUMMYFUNCTION("""COMPUTED_VALUE"""),"703594076")</f>
        <v>703594076</v>
      </c>
      <c r="E197" s="106" t="str">
        <f>IFERROR(__xludf.DUMMYFUNCTION("""COMPUTED_VALUE"""),"Y")</f>
        <v>Y</v>
      </c>
      <c r="F197" s="106" t="str">
        <f>IFERROR(__xludf.DUMMYFUNCTION("""COMPUTED_VALUE"""),"Oneshop")</f>
        <v>Oneshop</v>
      </c>
      <c r="G197" s="106" t="str">
        <f>IFERROR(__xludf.DUMMYFUNCTION("""COMPUTED_VALUE"""),"BA772017")</f>
        <v>BA772017</v>
      </c>
      <c r="H197" s="106" t="str">
        <f>IFERROR(__xludf.DUMMYFUNCTION("""COMPUTED_VALUE"""),"Re Deliver")</f>
        <v>Re Deliver</v>
      </c>
      <c r="I197" s="106" t="str">
        <f>IFERROR(__xludf.DUMMYFUNCTION("""COMPUTED_VALUE"""),"Bandarawela")</f>
        <v>Bandarawela</v>
      </c>
      <c r="J197" s="106" t="str">
        <f>IFERROR(__xludf.DUMMYFUNCTION("""COMPUTED_VALUE"""),"Returned To Branch Failed To Deliver")</f>
        <v>Returned To Branch Failed To Deliver</v>
      </c>
      <c r="K197" s="106" t="str">
        <f>IFERROR(__xludf.DUMMYFUNCTION("""COMPUTED_VALUE"""),"Branch Operations")</f>
        <v>Branch Operations</v>
      </c>
      <c r="L197" s="106" t="str">
        <f>IFERROR(__xludf.DUMMYFUNCTION("""COMPUTED_VALUE"""),"Customer Refused")</f>
        <v>Customer Refused</v>
      </c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>
      <c r="A198" s="82"/>
      <c r="B198" s="98" t="str">
        <f>IFERROR(__xludf.DUMMYFUNCTION("""COMPUTED_VALUE"""),"145")</f>
        <v>145</v>
      </c>
      <c r="C198" s="98" t="str">
        <f>IFERROR(__xludf.DUMMYFUNCTION("""COMPUTED_VALUE"""),"Jeni")</f>
        <v>Jeni</v>
      </c>
      <c r="D198" s="98" t="str">
        <f>IFERROR(__xludf.DUMMYFUNCTION("""COMPUTED_VALUE"""),"773865213")</f>
        <v>773865213</v>
      </c>
      <c r="E198" s="98" t="str">
        <f>IFERROR(__xludf.DUMMYFUNCTION("""COMPUTED_VALUE"""),"Y")</f>
        <v>Y</v>
      </c>
      <c r="F198" s="98" t="str">
        <f>IFERROR(__xludf.DUMMYFUNCTION("""COMPUTED_VALUE"""),"Oneshop")</f>
        <v>Oneshop</v>
      </c>
      <c r="G198" s="98" t="str">
        <f>IFERROR(__xludf.DUMMYFUNCTION("""COMPUTED_VALUE"""),"BA764231")</f>
        <v>BA764231</v>
      </c>
      <c r="H198" s="98" t="str">
        <f>IFERROR(__xludf.DUMMYFUNCTION("""COMPUTED_VALUE"""),"Re Deliver On Today")</f>
        <v>Re Deliver On Today</v>
      </c>
      <c r="I198" s="98" t="str">
        <f>IFERROR(__xludf.DUMMYFUNCTION("""COMPUTED_VALUE"""),"Rajagiriya")</f>
        <v>Rajagiriya</v>
      </c>
      <c r="J198" s="98" t="str">
        <f>IFERROR(__xludf.DUMMYFUNCTION("""COMPUTED_VALUE"""),"Returned To Branch Failed To Deliver")</f>
        <v>Returned To Branch Failed To Deliver</v>
      </c>
      <c r="K198" s="98" t="str">
        <f>IFERROR(__xludf.DUMMYFUNCTION("""COMPUTED_VALUE"""),"Branch Operations")</f>
        <v>Branch Operations</v>
      </c>
      <c r="L198" s="98" t="str">
        <f>IFERROR(__xludf.DUMMYFUNCTION("""COMPUTED_VALUE"""),"Informed Branch Supervisor Number Via A Whatsapp")</f>
        <v>Informed Branch Supervisor Number Via A Whatsapp</v>
      </c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>
      <c r="A199" s="82"/>
      <c r="B199" s="106" t="str">
        <f>IFERROR(__xludf.DUMMYFUNCTION("""COMPUTED_VALUE"""),"146")</f>
        <v>146</v>
      </c>
      <c r="C199" s="106" t="str">
        <f>IFERROR(__xludf.DUMMYFUNCTION("""COMPUTED_VALUE"""),"Jeni")</f>
        <v>Jeni</v>
      </c>
      <c r="D199" s="106" t="str">
        <f>IFERROR(__xludf.DUMMYFUNCTION("""COMPUTED_VALUE"""),"735017497")</f>
        <v>735017497</v>
      </c>
      <c r="E199" s="106" t="str">
        <f>IFERROR(__xludf.DUMMYFUNCTION("""COMPUTED_VALUE"""),"Y")</f>
        <v>Y</v>
      </c>
      <c r="F199" s="106" t="str">
        <f>IFERROR(__xludf.DUMMYFUNCTION("""COMPUTED_VALUE"""),"P &amp; S Help Investment Pvt(Ltd)")</f>
        <v>P &amp; S Help Investment Pvt(Ltd)</v>
      </c>
      <c r="G199" s="106" t="str">
        <f>IFERROR(__xludf.DUMMYFUNCTION("""COMPUTED_VALUE"""),"A4702117")</f>
        <v>A4702117</v>
      </c>
      <c r="H199" s="106" t="str">
        <f>IFERROR(__xludf.DUMMYFUNCTION("""COMPUTED_VALUE"""),"Client Want Return This Order")</f>
        <v>Client Want Return This Order</v>
      </c>
      <c r="I199" s="106" t="str">
        <f>IFERROR(__xludf.DUMMYFUNCTION("""COMPUTED_VALUE"""),"Wattala")</f>
        <v>Wattala</v>
      </c>
      <c r="J199" s="106" t="str">
        <f>IFERROR(__xludf.DUMMYFUNCTION("""COMPUTED_VALUE"""),"Returned To Branch Rescheduled")</f>
        <v>Returned To Branch Rescheduled</v>
      </c>
      <c r="K199" s="106" t="str">
        <f>IFERROR(__xludf.DUMMYFUNCTION("""COMPUTED_VALUE"""),"Customer Care")</f>
        <v>Customer Care</v>
      </c>
      <c r="L199" s="106" t="str">
        <f>IFERROR(__xludf.DUMMYFUNCTION("""COMPUTED_VALUE"""),"Its Delivered /Cant Back Return This Order")</f>
        <v>Its Delivered /Cant Back Return This Order</v>
      </c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>
      <c r="A200" s="82"/>
      <c r="B200" s="98" t="str">
        <f>IFERROR(__xludf.DUMMYFUNCTION("""COMPUTED_VALUE"""),"147")</f>
        <v>147</v>
      </c>
      <c r="C200" s="98" t="str">
        <f>IFERROR(__xludf.DUMMYFUNCTION("""COMPUTED_VALUE"""),"Jeni")</f>
        <v>Jeni</v>
      </c>
      <c r="D200" s="98" t="str">
        <f>IFERROR(__xludf.DUMMYFUNCTION("""COMPUTED_VALUE"""),"731517900")</f>
        <v>731517900</v>
      </c>
      <c r="E200" s="98" t="str">
        <f>IFERROR(__xludf.DUMMYFUNCTION("""COMPUTED_VALUE"""),"Y")</f>
        <v>Y</v>
      </c>
      <c r="F200" s="98" t="str">
        <f>IFERROR(__xludf.DUMMYFUNCTION("""COMPUTED_VALUE"""),"P &amp; S Help Investment Pvt(Ltd)")</f>
        <v>P &amp; S Help Investment Pvt(Ltd)</v>
      </c>
      <c r="G200" s="98" t="str">
        <f>IFERROR(__xludf.DUMMYFUNCTION("""COMPUTED_VALUE"""),"A4591385")</f>
        <v>A4591385</v>
      </c>
      <c r="H200" s="98" t="str">
        <f>IFERROR(__xludf.DUMMYFUNCTION("""COMPUTED_VALUE"""),"Re Deliver")</f>
        <v>Re Deliver</v>
      </c>
      <c r="I200" s="98" t="str">
        <f>IFERROR(__xludf.DUMMYFUNCTION("""COMPUTED_VALUE"""),"Wattala")</f>
        <v>Wattala</v>
      </c>
      <c r="J200" s="98" t="str">
        <f>IFERROR(__xludf.DUMMYFUNCTION("""COMPUTED_VALUE"""),"Returned To Branch Rescheduled")</f>
        <v>Returned To Branch Rescheduled</v>
      </c>
      <c r="K200" s="98" t="str">
        <f>IFERROR(__xludf.DUMMYFUNCTION("""COMPUTED_VALUE"""),"Customer Care")</f>
        <v>Customer Care</v>
      </c>
      <c r="L200" s="98" t="str">
        <f>IFERROR(__xludf.DUMMYFUNCTION("""COMPUTED_VALUE"""),"Done")</f>
        <v>Done</v>
      </c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>
      <c r="A201" s="82"/>
      <c r="B201" s="106" t="str">
        <f>IFERROR(__xludf.DUMMYFUNCTION("""COMPUTED_VALUE"""),"162")</f>
        <v>162</v>
      </c>
      <c r="C201" s="106" t="str">
        <f>IFERROR(__xludf.DUMMYFUNCTION("""COMPUTED_VALUE"""),"Jeni")</f>
        <v>Jeni</v>
      </c>
      <c r="D201" s="106" t="str">
        <f>IFERROR(__xludf.DUMMYFUNCTION("""COMPUTED_VALUE"""),"742614427")</f>
        <v>742614427</v>
      </c>
      <c r="E201" s="106" t="str">
        <f>IFERROR(__xludf.DUMMYFUNCTION("""COMPUTED_VALUE"""),"N")</f>
        <v>N</v>
      </c>
      <c r="F201" s="106" t="str">
        <f>IFERROR(__xludf.DUMMYFUNCTION("""COMPUTED_VALUE"""),"Sadana")</f>
        <v>Sadana</v>
      </c>
      <c r="G201" s="106" t="str">
        <f>IFERROR(__xludf.DUMMYFUNCTION("""COMPUTED_VALUE"""),"BE100619")</f>
        <v>BE100619</v>
      </c>
      <c r="H201" s="106" t="str">
        <f>IFERROR(__xludf.DUMMYFUNCTION("""COMPUTED_VALUE"""),"New Order ?")</f>
        <v>New Order ?</v>
      </c>
      <c r="I201" s="106" t="str">
        <f>IFERROR(__xludf.DUMMYFUNCTION("""COMPUTED_VALUE"""),"Monaragala")</f>
        <v>Monaragala</v>
      </c>
      <c r="J201" s="106" t="str">
        <f>IFERROR(__xludf.DUMMYFUNCTION("""COMPUTED_VALUE"""),"Out For Delivery")</f>
        <v>Out For Delivery</v>
      </c>
      <c r="K201" s="106" t="str">
        <f>IFERROR(__xludf.DUMMYFUNCTION("""COMPUTED_VALUE"""),"Customer Care")</f>
        <v>Customer Care</v>
      </c>
      <c r="L201" s="106" t="str">
        <f>IFERROR(__xludf.DUMMYFUNCTION("""COMPUTED_VALUE"""),"No")</f>
        <v>No</v>
      </c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>
      <c r="A202" s="82"/>
      <c r="B202" s="98" t="str">
        <f>IFERROR(__xludf.DUMMYFUNCTION("""COMPUTED_VALUE"""),"149")</f>
        <v>149</v>
      </c>
      <c r="C202" s="98" t="str">
        <f>IFERROR(__xludf.DUMMYFUNCTION("""COMPUTED_VALUE"""),"Jeni")</f>
        <v>Jeni</v>
      </c>
      <c r="D202" s="98" t="str">
        <f>IFERROR(__xludf.DUMMYFUNCTION("""COMPUTED_VALUE"""),"717267333")</f>
        <v>717267333</v>
      </c>
      <c r="E202" s="98" t="str">
        <f>IFERROR(__xludf.DUMMYFUNCTION("""COMPUTED_VALUE"""),"N")</f>
        <v>N</v>
      </c>
      <c r="F202" s="98" t="str">
        <f>IFERROR(__xludf.DUMMYFUNCTION("""COMPUTED_VALUE"""),"Golden House")</f>
        <v>Golden House</v>
      </c>
      <c r="G202" s="98" t="str">
        <f>IFERROR(__xludf.DUMMYFUNCTION("""COMPUTED_VALUE"""),"A4364655")</f>
        <v>A4364655</v>
      </c>
      <c r="H202" s="98" t="str">
        <f>IFERROR(__xludf.DUMMYFUNCTION("""COMPUTED_VALUE"""),"Order Status")</f>
        <v>Order Status</v>
      </c>
      <c r="I202" s="98" t="str">
        <f>IFERROR(__xludf.DUMMYFUNCTION("""COMPUTED_VALUE"""),"Kahawatta")</f>
        <v>Kahawatta</v>
      </c>
      <c r="J202" s="98" t="str">
        <f>IFERROR(__xludf.DUMMYFUNCTION("""COMPUTED_VALUE"""),"Dispatched To Destination")</f>
        <v>Dispatched To Destination</v>
      </c>
      <c r="K202" s="98" t="str">
        <f>IFERROR(__xludf.DUMMYFUNCTION("""COMPUTED_VALUE"""),"Branch Operations")</f>
        <v>Branch Operations</v>
      </c>
      <c r="L202" s="98" t="str">
        <f>IFERROR(__xludf.DUMMYFUNCTION("""COMPUTED_VALUE"""),"Still Not Received Branch")</f>
        <v>Still Not Received Branch</v>
      </c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>
      <c r="A203" s="82"/>
      <c r="B203" s="106" t="str">
        <f>IFERROR(__xludf.DUMMYFUNCTION("""COMPUTED_VALUE"""),"164")</f>
        <v>164</v>
      </c>
      <c r="C203" s="106" t="str">
        <f>IFERROR(__xludf.DUMMYFUNCTION("""COMPUTED_VALUE"""),"Jeni")</f>
        <v>Jeni</v>
      </c>
      <c r="D203" s="106" t="str">
        <f>IFERROR(__xludf.DUMMYFUNCTION("""COMPUTED_VALUE"""),"774868808")</f>
        <v>774868808</v>
      </c>
      <c r="E203" s="106" t="str">
        <f>IFERROR(__xludf.DUMMYFUNCTION("""COMPUTED_VALUE"""),"Y")</f>
        <v>Y</v>
      </c>
      <c r="F203" s="106" t="str">
        <f>IFERROR(__xludf.DUMMYFUNCTION("""COMPUTED_VALUE"""),"Elenorabyro")</f>
        <v>Elenorabyro</v>
      </c>
      <c r="G203" s="106" t="str">
        <f>IFERROR(__xludf.DUMMYFUNCTION("""COMPUTED_VALUE"""),"A3794234")</f>
        <v>A3794234</v>
      </c>
      <c r="H203" s="106" t="str">
        <f>IFERROR(__xludf.DUMMYFUNCTION("""COMPUTED_VALUE"""),"Re Deliver -Call Back 1 Pm")</f>
        <v>Re Deliver -Call Back 1 Pm</v>
      </c>
      <c r="I203" s="106" t="str">
        <f>IFERROR(__xludf.DUMMYFUNCTION("""COMPUTED_VALUE"""),"Jaffna")</f>
        <v>Jaffna</v>
      </c>
      <c r="J203" s="106" t="str">
        <f>IFERROR(__xludf.DUMMYFUNCTION("""COMPUTED_VALUE"""),"Received At Ho (Returned Item)")</f>
        <v>Received At Ho (Returned Item)</v>
      </c>
      <c r="K203" s="106" t="str">
        <f>IFERROR(__xludf.DUMMYFUNCTION("""COMPUTED_VALUE"""),"Return")</f>
        <v>Return</v>
      </c>
      <c r="L203" s="106" t="str">
        <f>IFERROR(__xludf.DUMMYFUNCTION("""COMPUTED_VALUE"""),"Client Said Already Contact About Return Departmnet They Will Said Re Arrange This Order")</f>
        <v>Client Said Already Contact About Return Departmnet They Will Said Re Arrange This Order</v>
      </c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>
      <c r="A204" s="82"/>
      <c r="B204" s="98" t="str">
        <f>IFERROR(__xludf.DUMMYFUNCTION("""COMPUTED_VALUE"""),"165")</f>
        <v>165</v>
      </c>
      <c r="C204" s="98" t="str">
        <f>IFERROR(__xludf.DUMMYFUNCTION("""COMPUTED_VALUE"""),"Jeni")</f>
        <v>Jeni</v>
      </c>
      <c r="D204" s="98" t="str">
        <f>IFERROR(__xludf.DUMMYFUNCTION("""COMPUTED_VALUE"""),"774868808")</f>
        <v>774868808</v>
      </c>
      <c r="E204" s="98" t="str">
        <f>IFERROR(__xludf.DUMMYFUNCTION("""COMPUTED_VALUE"""),"Y")</f>
        <v>Y</v>
      </c>
      <c r="F204" s="98" t="str">
        <f>IFERROR(__xludf.DUMMYFUNCTION("""COMPUTED_VALUE"""),"Elenorabyro")</f>
        <v>Elenorabyro</v>
      </c>
      <c r="G204" s="98" t="str">
        <f>IFERROR(__xludf.DUMMYFUNCTION("""COMPUTED_VALUE"""),"A3794234")</f>
        <v>A3794234</v>
      </c>
      <c r="H204" s="98" t="str">
        <f>IFERROR(__xludf.DUMMYFUNCTION("""COMPUTED_VALUE"""),"Asked Return Department No")</f>
        <v>Asked Return Department No</v>
      </c>
      <c r="I204" s="98" t="str">
        <f>IFERROR(__xludf.DUMMYFUNCTION("""COMPUTED_VALUE"""),"Jaffna")</f>
        <v>Jaffna</v>
      </c>
      <c r="J204" s="98" t="str">
        <f>IFERROR(__xludf.DUMMYFUNCTION("""COMPUTED_VALUE"""),"Received At Ho (Returned Item)")</f>
        <v>Received At Ho (Returned Item)</v>
      </c>
      <c r="K204" s="98" t="str">
        <f>IFERROR(__xludf.DUMMYFUNCTION("""COMPUTED_VALUE"""),"Return")</f>
        <v>Return</v>
      </c>
      <c r="L204" s="98" t="str">
        <f>IFERROR(__xludf.DUMMYFUNCTION("""COMPUTED_VALUE"""),"Given No")</f>
        <v>Given No</v>
      </c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>
      <c r="A205" s="82"/>
      <c r="B205" s="106" t="str">
        <f>IFERROR(__xludf.DUMMYFUNCTION("""COMPUTED_VALUE"""),"152")</f>
        <v>152</v>
      </c>
      <c r="C205" s="106" t="str">
        <f>IFERROR(__xludf.DUMMYFUNCTION("""COMPUTED_VALUE"""),"Jeni")</f>
        <v>Jeni</v>
      </c>
      <c r="D205" s="106" t="str">
        <f>IFERROR(__xludf.DUMMYFUNCTION("""COMPUTED_VALUE"""),"777385190")</f>
        <v>777385190</v>
      </c>
      <c r="E205" s="106" t="str">
        <f>IFERROR(__xludf.DUMMYFUNCTION("""COMPUTED_VALUE"""),"N")</f>
        <v>N</v>
      </c>
      <c r="F205" s="106" t="str">
        <f>IFERROR(__xludf.DUMMYFUNCTION("""COMPUTED_VALUE"""),"Sd Marketing")</f>
        <v>Sd Marketing</v>
      </c>
      <c r="G205" s="106" t="str">
        <f>IFERROR(__xludf.DUMMYFUNCTION("""COMPUTED_VALUE"""),"BE108807")</f>
        <v>BE108807</v>
      </c>
      <c r="H205" s="106" t="str">
        <f>IFERROR(__xludf.DUMMYFUNCTION("""COMPUTED_VALUE"""),"Re Deliver On Today")</f>
        <v>Re Deliver On Today</v>
      </c>
      <c r="I205" s="106" t="str">
        <f>IFERROR(__xludf.DUMMYFUNCTION("""COMPUTED_VALUE"""),"Horana")</f>
        <v>Horana</v>
      </c>
      <c r="J205" s="106" t="str">
        <f>IFERROR(__xludf.DUMMYFUNCTION("""COMPUTED_VALUE"""),"Returned To Branch Failed To Deliver")</f>
        <v>Returned To Branch Failed To Deliver</v>
      </c>
      <c r="K205" s="106" t="str">
        <f>IFERROR(__xludf.DUMMYFUNCTION("""COMPUTED_VALUE"""),"Branch Operations")</f>
        <v>Branch Operations</v>
      </c>
      <c r="L205" s="106" t="str">
        <f>IFERROR(__xludf.DUMMYFUNCTION("""COMPUTED_VALUE"""),"Informed Branch Number Via A Whatsapp")</f>
        <v>Informed Branch Number Via A Whatsapp</v>
      </c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>
      <c r="A206" s="82"/>
      <c r="B206" s="98" t="str">
        <f>IFERROR(__xludf.DUMMYFUNCTION("""COMPUTED_VALUE"""),"168")</f>
        <v>168</v>
      </c>
      <c r="C206" s="98" t="str">
        <f>IFERROR(__xludf.DUMMYFUNCTION("""COMPUTED_VALUE"""),"Jeni")</f>
        <v>Jeni</v>
      </c>
      <c r="D206" s="98" t="str">
        <f>IFERROR(__xludf.DUMMYFUNCTION("""COMPUTED_VALUE"""),"779449477")</f>
        <v>779449477</v>
      </c>
      <c r="E206" s="98" t="str">
        <f>IFERROR(__xludf.DUMMYFUNCTION("""COMPUTED_VALUE"""),"N")</f>
        <v>N</v>
      </c>
      <c r="F206" s="98" t="str">
        <f>IFERROR(__xludf.DUMMYFUNCTION("""COMPUTED_VALUE"""),"Golden House")</f>
        <v>Golden House</v>
      </c>
      <c r="G206" s="98" t="str">
        <f>IFERROR(__xludf.DUMMYFUNCTION("""COMPUTED_VALUE"""),"BE072786")</f>
        <v>BE072786</v>
      </c>
      <c r="H206" s="98" t="str">
        <f>IFERROR(__xludf.DUMMYFUNCTION("""COMPUTED_VALUE"""),"Answered")</f>
        <v>Answered</v>
      </c>
      <c r="I206" s="98" t="str">
        <f>IFERROR(__xludf.DUMMYFUNCTION("""COMPUTED_VALUE"""),"Ratmalana")</f>
        <v>Ratmalana</v>
      </c>
      <c r="J206" s="98" t="str">
        <f>IFERROR(__xludf.DUMMYFUNCTION("""COMPUTED_VALUE"""),"Out For Delivery")</f>
        <v>Out For Delivery</v>
      </c>
      <c r="K206" s="98" t="str">
        <f>IFERROR(__xludf.DUMMYFUNCTION("""COMPUTED_VALUE"""),"Customer Care")</f>
        <v>Customer Care</v>
      </c>
      <c r="L206" s="98" t="str">
        <f>IFERROR(__xludf.DUMMYFUNCTION("""COMPUTED_VALUE"""),"Line Disconnected")</f>
        <v>Line Disconnected</v>
      </c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>
      <c r="A207" s="82"/>
      <c r="B207" s="106" t="str">
        <f>IFERROR(__xludf.DUMMYFUNCTION("""COMPUTED_VALUE"""),"155")</f>
        <v>155</v>
      </c>
      <c r="C207" s="106" t="str">
        <f>IFERROR(__xludf.DUMMYFUNCTION("""COMPUTED_VALUE"""),"Jeni")</f>
        <v>Jeni</v>
      </c>
      <c r="D207" s="106" t="str">
        <f>IFERROR(__xludf.DUMMYFUNCTION("""COMPUTED_VALUE"""),"774306540")</f>
        <v>774306540</v>
      </c>
      <c r="E207" s="106" t="str">
        <f>IFERROR(__xludf.DUMMYFUNCTION("""COMPUTED_VALUE"""),"N")</f>
        <v>N</v>
      </c>
      <c r="F207" s="106" t="str">
        <f>IFERROR(__xludf.DUMMYFUNCTION("""COMPUTED_VALUE"""),"Ceylon Store")</f>
        <v>Ceylon Store</v>
      </c>
      <c r="G207" s="106" t="str">
        <f>IFERROR(__xludf.DUMMYFUNCTION("""COMPUTED_VALUE"""),"BE099303")</f>
        <v>BE099303</v>
      </c>
      <c r="H207" s="106" t="str">
        <f>IFERROR(__xludf.DUMMYFUNCTION("""COMPUTED_VALUE"""),"Arrange To Deliver Today")</f>
        <v>Arrange To Deliver Today</v>
      </c>
      <c r="I207" s="106" t="str">
        <f>IFERROR(__xludf.DUMMYFUNCTION("""COMPUTED_VALUE"""),"Kalutara")</f>
        <v>Kalutara</v>
      </c>
      <c r="J207" s="106" t="str">
        <f>IFERROR(__xludf.DUMMYFUNCTION("""COMPUTED_VALUE"""),"Returned To Branch Rescheduled")</f>
        <v>Returned To Branch Rescheduled</v>
      </c>
      <c r="K207" s="106" t="str">
        <f>IFERROR(__xludf.DUMMYFUNCTION("""COMPUTED_VALUE"""),"Branch Operations")</f>
        <v>Branch Operations</v>
      </c>
      <c r="L207" s="106" t="str">
        <f>IFERROR(__xludf.DUMMYFUNCTION("""COMPUTED_VALUE"""),"Informed Branch Number Via A Whatsapp")</f>
        <v>Informed Branch Number Via A Whatsapp</v>
      </c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>
      <c r="A208" s="82"/>
      <c r="B208" s="98" t="str">
        <f>IFERROR(__xludf.DUMMYFUNCTION("""COMPUTED_VALUE"""),"171")</f>
        <v>171</v>
      </c>
      <c r="C208" s="98" t="str">
        <f>IFERROR(__xludf.DUMMYFUNCTION("""COMPUTED_VALUE"""),"Jeni")</f>
        <v>Jeni</v>
      </c>
      <c r="D208" s="98" t="str">
        <f>IFERROR(__xludf.DUMMYFUNCTION("""COMPUTED_VALUE"""),"701967913")</f>
        <v>701967913</v>
      </c>
      <c r="E208" s="98" t="str">
        <f>IFERROR(__xludf.DUMMYFUNCTION("""COMPUTED_VALUE"""),"N")</f>
        <v>N</v>
      </c>
      <c r="F208" s="108" t="str">
        <f>IFERROR(__xludf.DUMMYFUNCTION("""COMPUTED_VALUE"""),"Clickify.Lk")</f>
        <v>Clickify.Lk</v>
      </c>
      <c r="G208" s="98" t="str">
        <f>IFERROR(__xludf.DUMMYFUNCTION("""COMPUTED_VALUE"""),"BE032098")</f>
        <v>BE032098</v>
      </c>
      <c r="H208" s="98" t="str">
        <f>IFERROR(__xludf.DUMMYFUNCTION("""COMPUTED_VALUE"""),"Customer Want Return This Order")</f>
        <v>Customer Want Return This Order</v>
      </c>
      <c r="I208" s="98" t="str">
        <f>IFERROR(__xludf.DUMMYFUNCTION("""COMPUTED_VALUE"""),"Ambalangoda")</f>
        <v>Ambalangoda</v>
      </c>
      <c r="J208" s="98" t="str">
        <f>IFERROR(__xludf.DUMMYFUNCTION("""COMPUTED_VALUE"""),"Delivered")</f>
        <v>Delivered</v>
      </c>
      <c r="K208" s="98" t="str">
        <f>IFERROR(__xludf.DUMMYFUNCTION("""COMPUTED_VALUE"""),"Customer Care")</f>
        <v>Customer Care</v>
      </c>
      <c r="L208" s="98" t="str">
        <f>IFERROR(__xludf.DUMMYFUNCTION("""COMPUTED_VALUE"""),"Informed Branch Number Via A Whatsapp")</f>
        <v>Informed Branch Number Via A Whatsapp</v>
      </c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>
      <c r="A209" s="82"/>
      <c r="B209" s="106" t="str">
        <f>IFERROR(__xludf.DUMMYFUNCTION("""COMPUTED_VALUE"""),"158")</f>
        <v>158</v>
      </c>
      <c r="C209" s="106" t="str">
        <f>IFERROR(__xludf.DUMMYFUNCTION("""COMPUTED_VALUE"""),"Jeni")</f>
        <v>Jeni</v>
      </c>
      <c r="D209" s="106" t="str">
        <f>IFERROR(__xludf.DUMMYFUNCTION("""COMPUTED_VALUE"""),"770305314")</f>
        <v>770305314</v>
      </c>
      <c r="E209" s="106" t="str">
        <f>IFERROR(__xludf.DUMMYFUNCTION("""COMPUTED_VALUE"""),"N")</f>
        <v>N</v>
      </c>
      <c r="F209" s="106" t="str">
        <f>IFERROR(__xludf.DUMMYFUNCTION("""COMPUTED_VALUE"""),"Memorybox")</f>
        <v>Memorybox</v>
      </c>
      <c r="G209" s="106" t="str">
        <f>IFERROR(__xludf.DUMMYFUNCTION("""COMPUTED_VALUE"""),"64298889")</f>
        <v>64298889</v>
      </c>
      <c r="H209" s="106" t="str">
        <f>IFERROR(__xludf.DUMMYFUNCTION("""COMPUTED_VALUE"""),"Top Urgent")</f>
        <v>Top Urgent</v>
      </c>
      <c r="I209" s="106" t="str">
        <f>IFERROR(__xludf.DUMMYFUNCTION("""COMPUTED_VALUE"""),"Wennappuwa")</f>
        <v>Wennappuwa</v>
      </c>
      <c r="J209" s="106" t="str">
        <f>IFERROR(__xludf.DUMMYFUNCTION("""COMPUTED_VALUE"""),"Out For Delivery")</f>
        <v>Out For Delivery</v>
      </c>
      <c r="K209" s="106" t="str">
        <f>IFERROR(__xludf.DUMMYFUNCTION("""COMPUTED_VALUE"""),"Branch Operations")</f>
        <v>Branch Operations</v>
      </c>
      <c r="L209" s="106" t="str">
        <f>IFERROR(__xludf.DUMMYFUNCTION("""COMPUTED_VALUE"""),"On Route")</f>
        <v>On Route</v>
      </c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>
      <c r="A210" s="82"/>
      <c r="B210" s="98" t="str">
        <f>IFERROR(__xludf.DUMMYFUNCTION("""COMPUTED_VALUE"""),"159")</f>
        <v>159</v>
      </c>
      <c r="C210" s="98" t="str">
        <f>IFERROR(__xludf.DUMMYFUNCTION("""COMPUTED_VALUE"""),"Jeni")</f>
        <v>Jeni</v>
      </c>
      <c r="D210" s="98" t="str">
        <f>IFERROR(__xludf.DUMMYFUNCTION("""COMPUTED_VALUE"""),"778749643")</f>
        <v>778749643</v>
      </c>
      <c r="E210" s="98" t="str">
        <f>IFERROR(__xludf.DUMMYFUNCTION("""COMPUTED_VALUE"""),"N")</f>
        <v>N</v>
      </c>
      <c r="F210" s="98" t="str">
        <f>IFERROR(__xludf.DUMMYFUNCTION("""COMPUTED_VALUE"""),"Bella Flower")</f>
        <v>Bella Flower</v>
      </c>
      <c r="G210" s="98" t="str">
        <f>IFERROR(__xludf.DUMMYFUNCTION("""COMPUTED_VALUE"""),"A4601910")</f>
        <v>A4601910</v>
      </c>
      <c r="H210" s="98" t="str">
        <f>IFERROR(__xludf.DUMMYFUNCTION("""COMPUTED_VALUE"""),"Arrange To Deliver Today")</f>
        <v>Arrange To Deliver Today</v>
      </c>
      <c r="I210" s="98" t="str">
        <f>IFERROR(__xludf.DUMMYFUNCTION("""COMPUTED_VALUE"""),"Ambalangoda")</f>
        <v>Ambalangoda</v>
      </c>
      <c r="J210" s="98" t="str">
        <f>IFERROR(__xludf.DUMMYFUNCTION("""COMPUTED_VALUE"""),"Dispatched To Destination")</f>
        <v>Dispatched To Destination</v>
      </c>
      <c r="K210" s="98" t="str">
        <f>IFERROR(__xludf.DUMMYFUNCTION("""COMPUTED_VALUE"""),"Branch Operations")</f>
        <v>Branch Operations</v>
      </c>
      <c r="L210" s="98" t="str">
        <f>IFERROR(__xludf.DUMMYFUNCTION("""COMPUTED_VALUE"""),"Still Not Received Branch")</f>
        <v>Still Not Received Branch</v>
      </c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>
      <c r="A211" s="82"/>
      <c r="B211" s="106" t="str">
        <f>IFERROR(__xludf.DUMMYFUNCTION("""COMPUTED_VALUE"""),"165")</f>
        <v>165</v>
      </c>
      <c r="C211" s="106" t="str">
        <f>IFERROR(__xludf.DUMMYFUNCTION("""COMPUTED_VALUE"""),"Jeni")</f>
        <v>Jeni</v>
      </c>
      <c r="D211" s="106" t="str">
        <f>IFERROR(__xludf.DUMMYFUNCTION("""COMPUTED_VALUE"""),"774868808")</f>
        <v>774868808</v>
      </c>
      <c r="E211" s="106" t="str">
        <f>IFERROR(__xludf.DUMMYFUNCTION("""COMPUTED_VALUE"""),"Y")</f>
        <v>Y</v>
      </c>
      <c r="F211" s="106" t="str">
        <f>IFERROR(__xludf.DUMMYFUNCTION("""COMPUTED_VALUE"""),"Elenorabyro")</f>
        <v>Elenorabyro</v>
      </c>
      <c r="G211" s="106" t="str">
        <f>IFERROR(__xludf.DUMMYFUNCTION("""COMPUTED_VALUE"""),"A3794234")</f>
        <v>A3794234</v>
      </c>
      <c r="H211" s="106" t="str">
        <f>IFERROR(__xludf.DUMMYFUNCTION("""COMPUTED_VALUE"""),"Asked Return Department No")</f>
        <v>Asked Return Department No</v>
      </c>
      <c r="I211" s="106" t="str">
        <f>IFERROR(__xludf.DUMMYFUNCTION("""COMPUTED_VALUE"""),"Wennappuwa")</f>
        <v>Wennappuwa</v>
      </c>
      <c r="J211" s="106" t="str">
        <f>IFERROR(__xludf.DUMMYFUNCTION("""COMPUTED_VALUE"""),"Received At Ho (Returned Item)")</f>
        <v>Received At Ho (Returned Item)</v>
      </c>
      <c r="K211" s="106" t="str">
        <f>IFERROR(__xludf.DUMMYFUNCTION("""COMPUTED_VALUE"""),"Return")</f>
        <v>Return</v>
      </c>
      <c r="L211" s="106" t="str">
        <f>IFERROR(__xludf.DUMMYFUNCTION("""COMPUTED_VALUE"""),"Given No")</f>
        <v>Given No</v>
      </c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>
      <c r="A212" s="82"/>
      <c r="B212" s="98" t="str">
        <f>IFERROR(__xludf.DUMMYFUNCTION("""COMPUTED_VALUE"""),"161")</f>
        <v>161</v>
      </c>
      <c r="C212" s="98" t="str">
        <f>IFERROR(__xludf.DUMMYFUNCTION("""COMPUTED_VALUE"""),"Jeni")</f>
        <v>Jeni</v>
      </c>
      <c r="D212" s="98" t="str">
        <f>IFERROR(__xludf.DUMMYFUNCTION("""COMPUTED_VALUE"""),"742968007")</f>
        <v>742968007</v>
      </c>
      <c r="E212" s="98" t="str">
        <f>IFERROR(__xludf.DUMMYFUNCTION("""COMPUTED_VALUE"""),"N")</f>
        <v>N</v>
      </c>
      <c r="F212" s="108" t="str">
        <f>IFERROR(__xludf.DUMMYFUNCTION("""COMPUTED_VALUE"""),"Helloherb.Lk")</f>
        <v>Helloherb.Lk</v>
      </c>
      <c r="G212" s="98" t="str">
        <f>IFERROR(__xludf.DUMMYFUNCTION("""COMPUTED_VALUE"""),"BE100619")</f>
        <v>BE100619</v>
      </c>
      <c r="H212" s="98" t="str">
        <f>IFERROR(__xludf.DUMMYFUNCTION("""COMPUTED_VALUE"""),"Order Status")</f>
        <v>Order Status</v>
      </c>
      <c r="I212" s="98" t="str">
        <f>IFERROR(__xludf.DUMMYFUNCTION("""COMPUTED_VALUE"""),"Monaragala")</f>
        <v>Monaragala</v>
      </c>
      <c r="J212" s="98" t="str">
        <f>IFERROR(__xludf.DUMMYFUNCTION("""COMPUTED_VALUE"""),"Out For Delivery")</f>
        <v>Out For Delivery</v>
      </c>
      <c r="K212" s="98" t="str">
        <f>IFERROR(__xludf.DUMMYFUNCTION("""COMPUTED_VALUE"""),"Branch Operations")</f>
        <v>Branch Operations</v>
      </c>
      <c r="L212" s="98" t="str">
        <f>IFERROR(__xludf.DUMMYFUNCTION("""COMPUTED_VALUE"""),"On Route")</f>
        <v>On Route</v>
      </c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>
      <c r="A213" s="82"/>
      <c r="B213" s="106" t="str">
        <f>IFERROR(__xludf.DUMMYFUNCTION("""COMPUTED_VALUE"""),"176")</f>
        <v>176</v>
      </c>
      <c r="C213" s="106" t="str">
        <f>IFERROR(__xludf.DUMMYFUNCTION("""COMPUTED_VALUE"""),"Jeni")</f>
        <v>Jeni</v>
      </c>
      <c r="D213" s="106" t="str">
        <f>IFERROR(__xludf.DUMMYFUNCTION("""COMPUTED_VALUE"""),"715245677")</f>
        <v>715245677</v>
      </c>
      <c r="E213" s="106" t="str">
        <f>IFERROR(__xludf.DUMMYFUNCTION("""COMPUTED_VALUE"""),"N")</f>
        <v>N</v>
      </c>
      <c r="F213" s="106" t="str">
        <f>IFERROR(__xludf.DUMMYFUNCTION("""COMPUTED_VALUE"""),"Ziponlilne")</f>
        <v>Ziponlilne</v>
      </c>
      <c r="G213" s="106" t="str">
        <f>IFERROR(__xludf.DUMMYFUNCTION("""COMPUTED_VALUE"""),"BE065549")</f>
        <v>BE065549</v>
      </c>
      <c r="H213" s="106" t="str">
        <f>IFERROR(__xludf.DUMMYFUNCTION("""COMPUTED_VALUE"""),"Customer Want Return This Order")</f>
        <v>Customer Want Return This Order</v>
      </c>
      <c r="I213" s="106" t="str">
        <f>IFERROR(__xludf.DUMMYFUNCTION("""COMPUTED_VALUE"""),"Mathugama")</f>
        <v>Mathugama</v>
      </c>
      <c r="J213" s="106" t="str">
        <f>IFERROR(__xludf.DUMMYFUNCTION("""COMPUTED_VALUE"""),"Delivered")</f>
        <v>Delivered</v>
      </c>
      <c r="K213" s="106" t="str">
        <f>IFERROR(__xludf.DUMMYFUNCTION("""COMPUTED_VALUE"""),"Customer Care")</f>
        <v>Customer Care</v>
      </c>
      <c r="L213" s="106" t="str">
        <f>IFERROR(__xludf.DUMMYFUNCTION("""COMPUTED_VALUE"""),"Informed Branch Number Via A Whatsapp")</f>
        <v>Informed Branch Number Via A Whatsapp</v>
      </c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>
      <c r="A214" s="82"/>
      <c r="B214" s="98" t="str">
        <f>IFERROR(__xludf.DUMMYFUNCTION("""COMPUTED_VALUE"""),"168")</f>
        <v>168</v>
      </c>
      <c r="C214" s="98" t="str">
        <f>IFERROR(__xludf.DUMMYFUNCTION("""COMPUTED_VALUE"""),"Jeni")</f>
        <v>Jeni</v>
      </c>
      <c r="D214" s="98" t="str">
        <f>IFERROR(__xludf.DUMMYFUNCTION("""COMPUTED_VALUE"""),"779449477")</f>
        <v>779449477</v>
      </c>
      <c r="E214" s="98" t="str">
        <f>IFERROR(__xludf.DUMMYFUNCTION("""COMPUTED_VALUE"""),"N")</f>
        <v>N</v>
      </c>
      <c r="F214" s="98" t="str">
        <f>IFERROR(__xludf.DUMMYFUNCTION("""COMPUTED_VALUE"""),"Golden House")</f>
        <v>Golden House</v>
      </c>
      <c r="G214" s="98" t="str">
        <f>IFERROR(__xludf.DUMMYFUNCTION("""COMPUTED_VALUE"""),"BE072786")</f>
        <v>BE072786</v>
      </c>
      <c r="H214" s="98" t="str">
        <f>IFERROR(__xludf.DUMMYFUNCTION("""COMPUTED_VALUE"""),"Answered")</f>
        <v>Answered</v>
      </c>
      <c r="I214" s="98" t="str">
        <f>IFERROR(__xludf.DUMMYFUNCTION("""COMPUTED_VALUE"""),"Jaffna")</f>
        <v>Jaffna</v>
      </c>
      <c r="J214" s="98" t="str">
        <f>IFERROR(__xludf.DUMMYFUNCTION("""COMPUTED_VALUE"""),"Out For Delivery")</f>
        <v>Out For Delivery</v>
      </c>
      <c r="K214" s="98" t="str">
        <f>IFERROR(__xludf.DUMMYFUNCTION("""COMPUTED_VALUE"""),"Customer Care")</f>
        <v>Customer Care</v>
      </c>
      <c r="L214" s="98" t="str">
        <f>IFERROR(__xludf.DUMMYFUNCTION("""COMPUTED_VALUE"""),"Line Disconnected")</f>
        <v>Line Disconnected</v>
      </c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>
      <c r="A215" s="82"/>
      <c r="B215" s="106" t="str">
        <f>IFERROR(__xludf.DUMMYFUNCTION("""COMPUTED_VALUE"""),"178")</f>
        <v>178</v>
      </c>
      <c r="C215" s="106" t="str">
        <f>IFERROR(__xludf.DUMMYFUNCTION("""COMPUTED_VALUE"""),"Jeni")</f>
        <v>Jeni</v>
      </c>
      <c r="D215" s="106" t="str">
        <f>IFERROR(__xludf.DUMMYFUNCTION("""COMPUTED_VALUE"""),"774868808")</f>
        <v>774868808</v>
      </c>
      <c r="E215" s="106" t="str">
        <f>IFERROR(__xludf.DUMMYFUNCTION("""COMPUTED_VALUE"""),"Y")</f>
        <v>Y</v>
      </c>
      <c r="F215" s="106" t="str">
        <f>IFERROR(__xludf.DUMMYFUNCTION("""COMPUTED_VALUE"""),"Elenorabyro")</f>
        <v>Elenorabyro</v>
      </c>
      <c r="G215" s="106" t="str">
        <f>IFERROR(__xludf.DUMMYFUNCTION("""COMPUTED_VALUE"""),"A3794234")</f>
        <v>A3794234</v>
      </c>
      <c r="H215" s="106" t="str">
        <f>IFERROR(__xludf.DUMMYFUNCTION("""COMPUTED_VALUE"""),"Re Deliver")</f>
        <v>Re Deliver</v>
      </c>
      <c r="I215" s="106" t="str">
        <f>IFERROR(__xludf.DUMMYFUNCTION("""COMPUTED_VALUE"""),"Wennappuwa")</f>
        <v>Wennappuwa</v>
      </c>
      <c r="J215" s="106" t="str">
        <f>IFERROR(__xludf.DUMMYFUNCTION("""COMPUTED_VALUE"""),"Received At Ho (Returned Item)")</f>
        <v>Received At Ho (Returned Item)</v>
      </c>
      <c r="K215" s="106" t="str">
        <f>IFERROR(__xludf.DUMMYFUNCTION("""COMPUTED_VALUE"""),"Return")</f>
        <v>Return</v>
      </c>
      <c r="L215" s="106" t="str">
        <f>IFERROR(__xludf.DUMMYFUNCTION("""COMPUTED_VALUE"""),"Client Said Already Contact About Return Departmnet They Will Said Re Arrange This Order")</f>
        <v>Client Said Already Contact About Return Departmnet They Will Said Re Arrange This Order</v>
      </c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>
      <c r="A216" s="82"/>
      <c r="B216" s="98" t="str">
        <f>IFERROR(__xludf.DUMMYFUNCTION("""COMPUTED_VALUE"""),"166")</f>
        <v>166</v>
      </c>
      <c r="C216" s="98" t="str">
        <f>IFERROR(__xludf.DUMMYFUNCTION("""COMPUTED_VALUE"""),"Jeni")</f>
        <v>Jeni</v>
      </c>
      <c r="D216" s="98" t="str">
        <f>IFERROR(__xludf.DUMMYFUNCTION("""COMPUTED_VALUE"""),"706972689")</f>
        <v>706972689</v>
      </c>
      <c r="E216" s="98" t="str">
        <f>IFERROR(__xludf.DUMMYFUNCTION("""COMPUTED_VALUE"""),"Y")</f>
        <v>Y</v>
      </c>
      <c r="F216" s="98" t="str">
        <f>IFERROR(__xludf.DUMMYFUNCTION("""COMPUTED_VALUE"""),"Nd Clothing")</f>
        <v>Nd Clothing</v>
      </c>
      <c r="G216" s="98" t="str">
        <f>IFERROR(__xludf.DUMMYFUNCTION("""COMPUTED_VALUE"""),"A3149166")</f>
        <v>A3149166</v>
      </c>
      <c r="H216" s="98" t="str">
        <f>IFERROR(__xludf.DUMMYFUNCTION("""COMPUTED_VALUE"""),"Arrange To Deliver Today /Top Urgent")</f>
        <v>Arrange To Deliver Today /Top Urgent</v>
      </c>
      <c r="I216" s="98" t="str">
        <f>IFERROR(__xludf.DUMMYFUNCTION("""COMPUTED_VALUE"""),"Monaragala")</f>
        <v>Monaragala</v>
      </c>
      <c r="J216" s="98" t="str">
        <f>IFERROR(__xludf.DUMMYFUNCTION("""COMPUTED_VALUE"""),"Out For Delivery")</f>
        <v>Out For Delivery</v>
      </c>
      <c r="K216" s="98" t="str">
        <f>IFERROR(__xludf.DUMMYFUNCTION("""COMPUTED_VALUE"""),"Branch Operations")</f>
        <v>Branch Operations</v>
      </c>
      <c r="L216" s="98" t="str">
        <f>IFERROR(__xludf.DUMMYFUNCTION("""COMPUTED_VALUE"""),"Informed Branch Incharge Via A Whatsapp")</f>
        <v>Informed Branch Incharge Via A Whatsapp</v>
      </c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>
      <c r="A217" s="82"/>
      <c r="B217" s="106" t="str">
        <f>IFERROR(__xludf.DUMMYFUNCTION("""COMPUTED_VALUE"""),"167")</f>
        <v>167</v>
      </c>
      <c r="C217" s="106" t="str">
        <f>IFERROR(__xludf.DUMMYFUNCTION("""COMPUTED_VALUE"""),"Jeni")</f>
        <v>Jeni</v>
      </c>
      <c r="D217" s="106" t="str">
        <f>IFERROR(__xludf.DUMMYFUNCTION("""COMPUTED_VALUE"""),"779781609")</f>
        <v>779781609</v>
      </c>
      <c r="E217" s="106" t="str">
        <f>IFERROR(__xludf.DUMMYFUNCTION("""COMPUTED_VALUE"""),"N")</f>
        <v>N</v>
      </c>
      <c r="F217" s="106" t="str">
        <f>IFERROR(__xludf.DUMMYFUNCTION("""COMPUTED_VALUE"""),"Neha Skin")</f>
        <v>Neha Skin</v>
      </c>
      <c r="G217" s="106" t="str">
        <f>IFERROR(__xludf.DUMMYFUNCTION("""COMPUTED_VALUE"""),"BE072786")</f>
        <v>BE072786</v>
      </c>
      <c r="H217" s="106" t="str">
        <f>IFERROR(__xludf.DUMMYFUNCTION("""COMPUTED_VALUE"""),"Order Status")</f>
        <v>Order Status</v>
      </c>
      <c r="I217" s="106" t="str">
        <f>IFERROR(__xludf.DUMMYFUNCTION("""COMPUTED_VALUE"""),"Ratmalana")</f>
        <v>Ratmalana</v>
      </c>
      <c r="J217" s="106" t="str">
        <f>IFERROR(__xludf.DUMMYFUNCTION("""COMPUTED_VALUE"""),"Out For Delivery")</f>
        <v>Out For Delivery</v>
      </c>
      <c r="K217" s="106" t="str">
        <f>IFERROR(__xludf.DUMMYFUNCTION("""COMPUTED_VALUE"""),"Branch Operations")</f>
        <v>Branch Operations</v>
      </c>
      <c r="L217" s="106" t="str">
        <f>IFERROR(__xludf.DUMMYFUNCTION("""COMPUTED_VALUE"""),"On Route")</f>
        <v>On Route</v>
      </c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>
      <c r="A218" s="82"/>
      <c r="B218" s="98" t="str">
        <f>IFERROR(__xludf.DUMMYFUNCTION("""COMPUTED_VALUE"""),"183")</f>
        <v>183</v>
      </c>
      <c r="C218" s="98" t="str">
        <f>IFERROR(__xludf.DUMMYFUNCTION("""COMPUTED_VALUE"""),"Jeni")</f>
        <v>Jeni</v>
      </c>
      <c r="D218" s="98" t="str">
        <f>IFERROR(__xludf.DUMMYFUNCTION("""COMPUTED_VALUE"""),"768804852")</f>
        <v>768804852</v>
      </c>
      <c r="E218" s="98" t="str">
        <f>IFERROR(__xludf.DUMMYFUNCTION("""COMPUTED_VALUE"""),"N")</f>
        <v>N</v>
      </c>
      <c r="F218" s="98" t="str">
        <f>IFERROR(__xludf.DUMMYFUNCTION("""COMPUTED_VALUE"""),"Ziponlilne")</f>
        <v>Ziponlilne</v>
      </c>
      <c r="G218" s="98" t="str">
        <f>IFERROR(__xludf.DUMMYFUNCTION("""COMPUTED_VALUE"""),"BE017200")</f>
        <v>BE017200</v>
      </c>
      <c r="H218" s="98" t="str">
        <f>IFERROR(__xludf.DUMMYFUNCTION("""COMPUTED_VALUE"""),"Customer Want Return This Order")</f>
        <v>Customer Want Return This Order</v>
      </c>
      <c r="I218" s="98" t="str">
        <f>IFERROR(__xludf.DUMMYFUNCTION("""COMPUTED_VALUE"""),"Dambulla")</f>
        <v>Dambulla</v>
      </c>
      <c r="J218" s="98" t="str">
        <f>IFERROR(__xludf.DUMMYFUNCTION("""COMPUTED_VALUE"""),"Delivered")</f>
        <v>Delivered</v>
      </c>
      <c r="K218" s="98" t="str">
        <f>IFERROR(__xludf.DUMMYFUNCTION("""COMPUTED_VALUE"""),"Customer Care")</f>
        <v>Customer Care</v>
      </c>
      <c r="L218" s="98" t="str">
        <f>IFERROR(__xludf.DUMMYFUNCTION("""COMPUTED_VALUE"""),"Informed The Client Via A Whatsapp")</f>
        <v>Informed The Client Via A Whatsapp</v>
      </c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>
      <c r="A219" s="82"/>
      <c r="B219" s="106" t="str">
        <f>IFERROR(__xludf.DUMMYFUNCTION("""COMPUTED_VALUE"""),"170")</f>
        <v>170</v>
      </c>
      <c r="C219" s="106" t="str">
        <f>IFERROR(__xludf.DUMMYFUNCTION("""COMPUTED_VALUE"""),"Jeni")</f>
        <v>Jeni</v>
      </c>
      <c r="D219" s="106" t="str">
        <f>IFERROR(__xludf.DUMMYFUNCTION("""COMPUTED_VALUE"""),"710761576")</f>
        <v>710761576</v>
      </c>
      <c r="E219" s="106" t="str">
        <f>IFERROR(__xludf.DUMMYFUNCTION("""COMPUTED_VALUE"""),"N")</f>
        <v>N</v>
      </c>
      <c r="F219" s="106" t="str">
        <f>IFERROR(__xludf.DUMMYFUNCTION("""COMPUTED_VALUE"""),"Winpro Holdings")</f>
        <v>Winpro Holdings</v>
      </c>
      <c r="G219" s="106" t="str">
        <f>IFERROR(__xludf.DUMMYFUNCTION("""COMPUTED_VALUE"""),"BE096418")</f>
        <v>BE096418</v>
      </c>
      <c r="H219" s="106" t="str">
        <f>IFERROR(__xludf.DUMMYFUNCTION("""COMPUTED_VALUE"""),"Order Status")</f>
        <v>Order Status</v>
      </c>
      <c r="I219" s="106" t="str">
        <f>IFERROR(__xludf.DUMMYFUNCTION("""COMPUTED_VALUE"""),"Ambalangoda")</f>
        <v>Ambalangoda</v>
      </c>
      <c r="J219" s="106" t="str">
        <f>IFERROR(__xludf.DUMMYFUNCTION("""COMPUTED_VALUE"""),"Out For Delivery")</f>
        <v>Out For Delivery</v>
      </c>
      <c r="K219" s="106" t="str">
        <f>IFERROR(__xludf.DUMMYFUNCTION("""COMPUTED_VALUE"""),"Branch Operations")</f>
        <v>Branch Operations</v>
      </c>
      <c r="L219" s="106" t="str">
        <f>IFERROR(__xludf.DUMMYFUNCTION("""COMPUTED_VALUE"""),"On Route")</f>
        <v>On Route</v>
      </c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>
      <c r="A220" s="82"/>
      <c r="B220" s="98" t="str">
        <f>IFERROR(__xludf.DUMMYFUNCTION("""COMPUTED_VALUE"""),"185")</f>
        <v>185</v>
      </c>
      <c r="C220" s="98" t="str">
        <f>IFERROR(__xludf.DUMMYFUNCTION("""COMPUTED_VALUE"""),"Jeni")</f>
        <v>Jeni</v>
      </c>
      <c r="D220" s="98" t="str">
        <f>IFERROR(__xludf.DUMMYFUNCTION("""COMPUTED_VALUE"""),"703333441")</f>
        <v>703333441</v>
      </c>
      <c r="E220" s="98" t="str">
        <f>IFERROR(__xludf.DUMMYFUNCTION("""COMPUTED_VALUE"""),"Y")</f>
        <v>Y</v>
      </c>
      <c r="F220" s="108" t="str">
        <f>IFERROR(__xludf.DUMMYFUNCTION("""COMPUTED_VALUE"""),"Shopq.Lk")</f>
        <v>Shopq.Lk</v>
      </c>
      <c r="G220" s="98" t="str">
        <f>IFERROR(__xludf.DUMMYFUNCTION("""COMPUTED_VALUE"""),"BE062660")</f>
        <v>BE062660</v>
      </c>
      <c r="H220" s="98" t="str">
        <f>IFERROR(__xludf.DUMMYFUNCTION("""COMPUTED_VALUE"""),"Cant Find Tracking No")</f>
        <v>Cant Find Tracking No</v>
      </c>
      <c r="I220" s="98" t="str">
        <f>IFERROR(__xludf.DUMMYFUNCTION("""COMPUTED_VALUE"""),"Jaffna")</f>
        <v>Jaffna</v>
      </c>
      <c r="J220" s="98" t="str">
        <f>IFERROR(__xludf.DUMMYFUNCTION("""COMPUTED_VALUE"""),"Returned To Branch Rescheduled")</f>
        <v>Returned To Branch Rescheduled</v>
      </c>
      <c r="K220" s="98" t="str">
        <f>IFERROR(__xludf.DUMMYFUNCTION("""COMPUTED_VALUE"""),"Customer Care")</f>
        <v>Customer Care</v>
      </c>
      <c r="L220" s="98" t="str">
        <f>IFERROR(__xludf.DUMMYFUNCTION("""COMPUTED_VALUE"""),"Client Said Send Details On Wp")</f>
        <v>Client Said Send Details On Wp</v>
      </c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>
      <c r="A221" s="82"/>
      <c r="B221" s="106" t="str">
        <f>IFERROR(__xludf.DUMMYFUNCTION("""COMPUTED_VALUE"""),"186")</f>
        <v>186</v>
      </c>
      <c r="C221" s="106" t="str">
        <f>IFERROR(__xludf.DUMMYFUNCTION("""COMPUTED_VALUE"""),"Jeni")</f>
        <v>Jeni</v>
      </c>
      <c r="D221" s="106" t="str">
        <f>IFERROR(__xludf.DUMMYFUNCTION("""COMPUTED_VALUE"""),"772172443")</f>
        <v>772172443</v>
      </c>
      <c r="E221" s="106" t="str">
        <f>IFERROR(__xludf.DUMMYFUNCTION("""COMPUTED_VALUE"""),"N")</f>
        <v>N</v>
      </c>
      <c r="F221" s="106" t="str">
        <f>IFERROR(__xludf.DUMMYFUNCTION("""COMPUTED_VALUE"""),"The Perfume Stories")</f>
        <v>The Perfume Stories</v>
      </c>
      <c r="G221" s="106" t="str">
        <f>IFERROR(__xludf.DUMMYFUNCTION("""COMPUTED_VALUE"""),"A3965626")</f>
        <v>A3965626</v>
      </c>
      <c r="H221" s="106" t="str">
        <f>IFERROR(__xludf.DUMMYFUNCTION("""COMPUTED_VALUE"""),"Order Status")</f>
        <v>Order Status</v>
      </c>
      <c r="I221" s="106" t="str">
        <f>IFERROR(__xludf.DUMMYFUNCTION("""COMPUTED_VALUE"""),"Jaffna")</f>
        <v>Jaffna</v>
      </c>
      <c r="J221" s="106" t="str">
        <f>IFERROR(__xludf.DUMMYFUNCTION("""COMPUTED_VALUE"""),"Return To Ho (Invalid Destination)")</f>
        <v>Return To Ho (Invalid Destination)</v>
      </c>
      <c r="K221" s="106" t="str">
        <f>IFERROR(__xludf.DUMMYFUNCTION("""COMPUTED_VALUE"""),"Return")</f>
        <v>Return</v>
      </c>
      <c r="L221" s="106" t="str">
        <f>IFERROR(__xludf.DUMMYFUNCTION("""COMPUTED_VALUE"""),"Dd Order")</f>
        <v>Dd Order</v>
      </c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>
      <c r="A222" s="82"/>
      <c r="B222" s="98" t="str">
        <f>IFERROR(__xludf.DUMMYFUNCTION("""COMPUTED_VALUE"""),"173")</f>
        <v>173</v>
      </c>
      <c r="C222" s="98" t="str">
        <f>IFERROR(__xludf.DUMMYFUNCTION("""COMPUTED_VALUE"""),"Jeni")</f>
        <v>Jeni</v>
      </c>
      <c r="D222" s="98" t="str">
        <f>IFERROR(__xludf.DUMMYFUNCTION("""COMPUTED_VALUE"""),"776170867")</f>
        <v>776170867</v>
      </c>
      <c r="E222" s="98" t="str">
        <f>IFERROR(__xludf.DUMMYFUNCTION("""COMPUTED_VALUE"""),"N")</f>
        <v>N</v>
      </c>
      <c r="F222" s="98" t="str">
        <f>IFERROR(__xludf.DUMMYFUNCTION("""COMPUTED_VALUE"""),"Elegant Bags")</f>
        <v>Elegant Bags</v>
      </c>
      <c r="G222" s="98" t="str">
        <f>IFERROR(__xludf.DUMMYFUNCTION("""COMPUTED_VALUE"""),"A4293204")</f>
        <v>A4293204</v>
      </c>
      <c r="H222" s="98" t="str">
        <f>IFERROR(__xludf.DUMMYFUNCTION("""COMPUTED_VALUE"""),"Order Status")</f>
        <v>Order Status</v>
      </c>
      <c r="I222" s="98" t="str">
        <f>IFERROR(__xludf.DUMMYFUNCTION("""COMPUTED_VALUE"""),"Wattala")</f>
        <v>Wattala</v>
      </c>
      <c r="J222" s="98" t="str">
        <f>IFERROR(__xludf.DUMMYFUNCTION("""COMPUTED_VALUE"""),"Out For Delivery")</f>
        <v>Out For Delivery</v>
      </c>
      <c r="K222" s="98" t="str">
        <f>IFERROR(__xludf.DUMMYFUNCTION("""COMPUTED_VALUE"""),"Branch Operations")</f>
        <v>Branch Operations</v>
      </c>
      <c r="L222" s="98" t="str">
        <f>IFERROR(__xludf.DUMMYFUNCTION("""COMPUTED_VALUE"""),"On Route")</f>
        <v>On Route</v>
      </c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>
      <c r="A223" s="82"/>
      <c r="B223" s="106" t="str">
        <f>IFERROR(__xludf.DUMMYFUNCTION("""COMPUTED_VALUE"""),"188")</f>
        <v>188</v>
      </c>
      <c r="C223" s="106" t="str">
        <f>IFERROR(__xludf.DUMMYFUNCTION("""COMPUTED_VALUE"""),"Jeni")</f>
        <v>Jeni</v>
      </c>
      <c r="D223" s="106" t="str">
        <f>IFERROR(__xludf.DUMMYFUNCTION("""COMPUTED_VALUE"""),"759686432")</f>
        <v>759686432</v>
      </c>
      <c r="E223" s="106" t="str">
        <f>IFERROR(__xludf.DUMMYFUNCTION("""COMPUTED_VALUE"""),"N")</f>
        <v>N</v>
      </c>
      <c r="F223" s="106" t="str">
        <f>IFERROR(__xludf.DUMMYFUNCTION("""COMPUTED_VALUE"""),"Dd Holding")</f>
        <v>Dd Holding</v>
      </c>
      <c r="G223" s="106" t="str">
        <f>IFERROR(__xludf.DUMMYFUNCTION("""COMPUTED_VALUE"""),"BE109206")</f>
        <v>BE109206</v>
      </c>
      <c r="H223" s="106" t="str">
        <f>IFERROR(__xludf.DUMMYFUNCTION("""COMPUTED_VALUE"""),"Customer Want Return This Order")</f>
        <v>Customer Want Return This Order</v>
      </c>
      <c r="I223" s="106" t="str">
        <f>IFERROR(__xludf.DUMMYFUNCTION("""COMPUTED_VALUE"""),"Kilinochchi")</f>
        <v>Kilinochchi</v>
      </c>
      <c r="J223" s="106" t="str">
        <f>IFERROR(__xludf.DUMMYFUNCTION("""COMPUTED_VALUE"""),"Delivered")</f>
        <v>Delivered</v>
      </c>
      <c r="K223" s="106" t="str">
        <f>IFERROR(__xludf.DUMMYFUNCTION("""COMPUTED_VALUE"""),"Customer Care")</f>
        <v>Customer Care</v>
      </c>
      <c r="L223" s="106" t="str">
        <f>IFERROR(__xludf.DUMMYFUNCTION("""COMPUTED_VALUE"""),"Informed Genzo Nethmi")</f>
        <v>Informed Genzo Nethmi</v>
      </c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>
      <c r="A224" s="82"/>
      <c r="B224" s="98" t="str">
        <f>IFERROR(__xludf.DUMMYFUNCTION("""COMPUTED_VALUE"""),"189")</f>
        <v>189</v>
      </c>
      <c r="C224" s="98" t="str">
        <f>IFERROR(__xludf.DUMMYFUNCTION("""COMPUTED_VALUE"""),"Jeni")</f>
        <v>Jeni</v>
      </c>
      <c r="D224" s="98" t="str">
        <f>IFERROR(__xludf.DUMMYFUNCTION("""COMPUTED_VALUE"""),"722590507")</f>
        <v>722590507</v>
      </c>
      <c r="E224" s="98" t="str">
        <f>IFERROR(__xludf.DUMMYFUNCTION("""COMPUTED_VALUE"""),"N")</f>
        <v>N</v>
      </c>
      <c r="F224" s="98" t="str">
        <f>IFERROR(__xludf.DUMMYFUNCTION("""COMPUTED_VALUE"""),"Flexi Store")</f>
        <v>Flexi Store</v>
      </c>
      <c r="G224" s="98" t="str">
        <f>IFERROR(__xludf.DUMMYFUNCTION("""COMPUTED_VALUE"""),"BE081097")</f>
        <v>BE081097</v>
      </c>
      <c r="H224" s="98" t="str">
        <f>IFERROR(__xludf.DUMMYFUNCTION("""COMPUTED_VALUE"""),"Order Status")</f>
        <v>Order Status</v>
      </c>
      <c r="I224" s="98" t="str">
        <f>IFERROR(__xludf.DUMMYFUNCTION("""COMPUTED_VALUE"""),"Kilinochchi")</f>
        <v>Kilinochchi</v>
      </c>
      <c r="J224" s="98" t="str">
        <f>IFERROR(__xludf.DUMMYFUNCTION("""COMPUTED_VALUE"""),"Collect From Return Shuttle")</f>
        <v>Collect From Return Shuttle</v>
      </c>
      <c r="K224" s="98" t="str">
        <f>IFERROR(__xludf.DUMMYFUNCTION("""COMPUTED_VALUE"""),"Return")</f>
        <v>Return</v>
      </c>
      <c r="L224" s="98" t="str">
        <f>IFERROR(__xludf.DUMMYFUNCTION("""COMPUTED_VALUE"""),"Already Return Item")</f>
        <v>Already Return Item</v>
      </c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>
      <c r="A225" s="82"/>
      <c r="B225" s="106" t="str">
        <f>IFERROR(__xludf.DUMMYFUNCTION("""COMPUTED_VALUE"""),"177")</f>
        <v>177</v>
      </c>
      <c r="C225" s="106" t="str">
        <f>IFERROR(__xludf.DUMMYFUNCTION("""COMPUTED_VALUE"""),"Jeni")</f>
        <v>Jeni</v>
      </c>
      <c r="D225" s="106" t="str">
        <f>IFERROR(__xludf.DUMMYFUNCTION("""COMPUTED_VALUE"""),"322254795")</f>
        <v>322254795</v>
      </c>
      <c r="E225" s="106" t="str">
        <f>IFERROR(__xludf.DUMMYFUNCTION("""COMPUTED_VALUE"""),"N")</f>
        <v>N</v>
      </c>
      <c r="F225" s="106" t="str">
        <f>IFERROR(__xludf.DUMMYFUNCTION("""COMPUTED_VALUE"""),"Lotus Beauty")</f>
        <v>Lotus Beauty</v>
      </c>
      <c r="G225" s="106" t="str">
        <f>IFERROR(__xludf.DUMMYFUNCTION("""COMPUTED_VALUE"""),"WD336453")</f>
        <v>WD336453</v>
      </c>
      <c r="H225" s="106" t="str">
        <f>IFERROR(__xludf.DUMMYFUNCTION("""COMPUTED_VALUE"""),"Arrange To Deliver Today /Top Urgent")</f>
        <v>Arrange To Deliver Today /Top Urgent</v>
      </c>
      <c r="I225" s="106" t="str">
        <f>IFERROR(__xludf.DUMMYFUNCTION("""COMPUTED_VALUE"""),"Wennappuwa")</f>
        <v>Wennappuwa</v>
      </c>
      <c r="J225" s="106" t="str">
        <f>IFERROR(__xludf.DUMMYFUNCTION("""COMPUTED_VALUE"""),"Received At Destination")</f>
        <v>Received At Destination</v>
      </c>
      <c r="K225" s="106" t="str">
        <f>IFERROR(__xludf.DUMMYFUNCTION("""COMPUTED_VALUE"""),"Domestic")</f>
        <v>Domestic</v>
      </c>
      <c r="L225" s="106" t="str">
        <f>IFERROR(__xludf.DUMMYFUNCTION("""COMPUTED_VALUE"""),"Informed")</f>
        <v>Informed</v>
      </c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>
      <c r="A226" s="82"/>
      <c r="B226" s="98" t="str">
        <f>IFERROR(__xludf.DUMMYFUNCTION("""COMPUTED_VALUE"""),"179")</f>
        <v>179</v>
      </c>
      <c r="C226" s="98" t="str">
        <f>IFERROR(__xludf.DUMMYFUNCTION("""COMPUTED_VALUE"""),"Jeni")</f>
        <v>Jeni</v>
      </c>
      <c r="D226" s="98" t="str">
        <f>IFERROR(__xludf.DUMMYFUNCTION("""COMPUTED_VALUE"""),"763326339")</f>
        <v>763326339</v>
      </c>
      <c r="E226" s="98" t="str">
        <f>IFERROR(__xludf.DUMMYFUNCTION("""COMPUTED_VALUE"""),"N")</f>
        <v>N</v>
      </c>
      <c r="F226" s="98" t="str">
        <f>IFERROR(__xludf.DUMMYFUNCTION("""COMPUTED_VALUE"""),"Sumexholding")</f>
        <v>Sumexholding</v>
      </c>
      <c r="G226" s="98" t="str">
        <f>IFERROR(__xludf.DUMMYFUNCTION("""COMPUTED_VALUE"""),"BE105042")</f>
        <v>BE105042</v>
      </c>
      <c r="H226" s="98" t="str">
        <f>IFERROR(__xludf.DUMMYFUNCTION("""COMPUTED_VALUE"""),"Order Status")</f>
        <v>Order Status</v>
      </c>
      <c r="I226" s="98" t="str">
        <f>IFERROR(__xludf.DUMMYFUNCTION("""COMPUTED_VALUE"""),"Panadura")</f>
        <v>Panadura</v>
      </c>
      <c r="J226" s="98" t="str">
        <f>IFERROR(__xludf.DUMMYFUNCTION("""COMPUTED_VALUE"""),"Out For Delivery")</f>
        <v>Out For Delivery</v>
      </c>
      <c r="K226" s="98" t="str">
        <f>IFERROR(__xludf.DUMMYFUNCTION("""COMPUTED_VALUE"""),"Branch Operations")</f>
        <v>Branch Operations</v>
      </c>
      <c r="L226" s="98" t="str">
        <f>IFERROR(__xludf.DUMMYFUNCTION("""COMPUTED_VALUE"""),"On Route")</f>
        <v>On Route</v>
      </c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>
      <c r="A227" s="82"/>
      <c r="B227" s="106" t="str">
        <f>IFERROR(__xludf.DUMMYFUNCTION("""COMPUTED_VALUE"""),"185")</f>
        <v>185</v>
      </c>
      <c r="C227" s="106" t="str">
        <f>IFERROR(__xludf.DUMMYFUNCTION("""COMPUTED_VALUE"""),"Jeni")</f>
        <v>Jeni</v>
      </c>
      <c r="D227" s="106" t="str">
        <f>IFERROR(__xludf.DUMMYFUNCTION("""COMPUTED_VALUE"""),"703333441")</f>
        <v>703333441</v>
      </c>
      <c r="E227" s="106" t="str">
        <f>IFERROR(__xludf.DUMMYFUNCTION("""COMPUTED_VALUE"""),"Y")</f>
        <v>Y</v>
      </c>
      <c r="F227" s="106" t="str">
        <f>IFERROR(__xludf.DUMMYFUNCTION("""COMPUTED_VALUE"""),"Beauty Miss &amp; Mrs")</f>
        <v>Beauty Miss &amp; Mrs</v>
      </c>
      <c r="G227" s="106" t="str">
        <f>IFERROR(__xludf.DUMMYFUNCTION("""COMPUTED_VALUE"""),"BE084359")</f>
        <v>BE084359</v>
      </c>
      <c r="H227" s="106" t="str">
        <f>IFERROR(__xludf.DUMMYFUNCTION("""COMPUTED_VALUE"""),"Cant Find Tracking No")</f>
        <v>Cant Find Tracking No</v>
      </c>
      <c r="I227" s="106" t="str">
        <f>IFERROR(__xludf.DUMMYFUNCTION("""COMPUTED_VALUE"""),"Kalutara")</f>
        <v>Kalutara</v>
      </c>
      <c r="J227" s="106" t="str">
        <f>IFERROR(__xludf.DUMMYFUNCTION("""COMPUTED_VALUE"""),"Out For Delivery")</f>
        <v>Out For Delivery</v>
      </c>
      <c r="K227" s="106" t="str">
        <f>IFERROR(__xludf.DUMMYFUNCTION("""COMPUTED_VALUE"""),"Customer Care")</f>
        <v>Customer Care</v>
      </c>
      <c r="L227" s="106" t="str">
        <f>IFERROR(__xludf.DUMMYFUNCTION("""COMPUTED_VALUE"""),"Client Said Send Details On Wp")</f>
        <v>Client Said Send Details On Wp</v>
      </c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>
      <c r="A228" s="82"/>
      <c r="B228" s="98" t="str">
        <f>IFERROR(__xludf.DUMMYFUNCTION("""COMPUTED_VALUE"""),"181")</f>
        <v>181</v>
      </c>
      <c r="C228" s="98" t="str">
        <f>IFERROR(__xludf.DUMMYFUNCTION("""COMPUTED_VALUE"""),"Jeni")</f>
        <v>Jeni</v>
      </c>
      <c r="D228" s="98" t="str">
        <f>IFERROR(__xludf.DUMMYFUNCTION("""COMPUTED_VALUE"""),"755171711")</f>
        <v>755171711</v>
      </c>
      <c r="E228" s="98" t="str">
        <f>IFERROR(__xludf.DUMMYFUNCTION("""COMPUTED_VALUE"""),"Y")</f>
        <v>Y</v>
      </c>
      <c r="F228" s="98" t="str">
        <f>IFERROR(__xludf.DUMMYFUNCTION("""COMPUTED_VALUE"""),"Colour Eyes")</f>
        <v>Colour Eyes</v>
      </c>
      <c r="G228" s="98" t="str">
        <f>IFERROR(__xludf.DUMMYFUNCTION("""COMPUTED_VALUE"""),"A4595241")</f>
        <v>A4595241</v>
      </c>
      <c r="H228" s="98" t="str">
        <f>IFERROR(__xludf.DUMMYFUNCTION("""COMPUTED_VALUE"""),"Arrange To Deliver Today /Top Urgent")</f>
        <v>Arrange To Deliver Today /Top Urgent</v>
      </c>
      <c r="I228" s="98" t="str">
        <f>IFERROR(__xludf.DUMMYFUNCTION("""COMPUTED_VALUE"""),"Colombo Metro")</f>
        <v>Colombo Metro</v>
      </c>
      <c r="J228" s="98" t="str">
        <f>IFERROR(__xludf.DUMMYFUNCTION("""COMPUTED_VALUE"""),"Received At Destination")</f>
        <v>Received At Destination</v>
      </c>
      <c r="K228" s="98" t="str">
        <f>IFERROR(__xludf.DUMMYFUNCTION("""COMPUTED_VALUE"""),"Branch Operations")</f>
        <v>Branch Operations</v>
      </c>
      <c r="L228" s="98" t="str">
        <f>IFERROR(__xludf.DUMMYFUNCTION("""COMPUTED_VALUE"""),"Informed Branch Number Via A Whatsapp")</f>
        <v>Informed Branch Number Via A Whatsapp</v>
      </c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>
      <c r="A229" s="82"/>
      <c r="B229" s="106" t="str">
        <f>IFERROR(__xludf.DUMMYFUNCTION("""COMPUTED_VALUE"""),"196")</f>
        <v>196</v>
      </c>
      <c r="C229" s="106" t="str">
        <f>IFERROR(__xludf.DUMMYFUNCTION("""COMPUTED_VALUE"""),"Jeni")</f>
        <v>Jeni</v>
      </c>
      <c r="D229" s="106" t="str">
        <f>IFERROR(__xludf.DUMMYFUNCTION("""COMPUTED_VALUE"""),"763081103")</f>
        <v>763081103</v>
      </c>
      <c r="E229" s="106" t="str">
        <f>IFERROR(__xludf.DUMMYFUNCTION("""COMPUTED_VALUE"""),"N")</f>
        <v>N</v>
      </c>
      <c r="F229" s="106" t="str">
        <f>IFERROR(__xludf.DUMMYFUNCTION("""COMPUTED_VALUE"""),"Sd Marketing")</f>
        <v>Sd Marketing</v>
      </c>
      <c r="G229" s="106" t="str">
        <f>IFERROR(__xludf.DUMMYFUNCTION("""COMPUTED_VALUE"""),"BD993595")</f>
        <v>BD993595</v>
      </c>
      <c r="H229" s="106" t="str">
        <f>IFERROR(__xludf.DUMMYFUNCTION("""COMPUTED_VALUE"""),"Customer Want Return This Order")</f>
        <v>Customer Want Return This Order</v>
      </c>
      <c r="I229" s="106" t="str">
        <f>IFERROR(__xludf.DUMMYFUNCTION("""COMPUTED_VALUE"""),"Dambulla")</f>
        <v>Dambulla</v>
      </c>
      <c r="J229" s="106" t="str">
        <f>IFERROR(__xludf.DUMMYFUNCTION("""COMPUTED_VALUE"""),"Delivered")</f>
        <v>Delivered</v>
      </c>
      <c r="K229" s="106" t="str">
        <f>IFERROR(__xludf.DUMMYFUNCTION("""COMPUTED_VALUE"""),"Customer Care")</f>
        <v>Customer Care</v>
      </c>
      <c r="L229" s="106" t="str">
        <f>IFERROR(__xludf.DUMMYFUNCTION("""COMPUTED_VALUE"""),"Informed Branch Number Via A Whatsapp")</f>
        <v>Informed Branch Number Via A Whatsapp</v>
      </c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>
      <c r="A230" s="82"/>
      <c r="B230" s="98" t="str">
        <f>IFERROR(__xludf.DUMMYFUNCTION("""COMPUTED_VALUE"""),"188")</f>
        <v>188</v>
      </c>
      <c r="C230" s="98" t="str">
        <f>IFERROR(__xludf.DUMMYFUNCTION("""COMPUTED_VALUE"""),"Jeni")</f>
        <v>Jeni</v>
      </c>
      <c r="D230" s="98" t="str">
        <f>IFERROR(__xludf.DUMMYFUNCTION("""COMPUTED_VALUE"""),"759686432")</f>
        <v>759686432</v>
      </c>
      <c r="E230" s="98" t="str">
        <f>IFERROR(__xludf.DUMMYFUNCTION("""COMPUTED_VALUE"""),"N")</f>
        <v>N</v>
      </c>
      <c r="F230" s="98" t="str">
        <f>IFERROR(__xludf.DUMMYFUNCTION("""COMPUTED_VALUE"""),"Dd Holding")</f>
        <v>Dd Holding</v>
      </c>
      <c r="G230" s="98" t="str">
        <f>IFERROR(__xludf.DUMMYFUNCTION("""COMPUTED_VALUE"""),"BE109206")</f>
        <v>BE109206</v>
      </c>
      <c r="H230" s="98" t="str">
        <f>IFERROR(__xludf.DUMMYFUNCTION("""COMPUTED_VALUE"""),"Customer Want Return This Order")</f>
        <v>Customer Want Return This Order</v>
      </c>
      <c r="I230" s="98" t="str">
        <f>IFERROR(__xludf.DUMMYFUNCTION("""COMPUTED_VALUE"""),"Dambulla")</f>
        <v>Dambulla</v>
      </c>
      <c r="J230" s="98" t="str">
        <f>IFERROR(__xludf.DUMMYFUNCTION("""COMPUTED_VALUE"""),"Delivered")</f>
        <v>Delivered</v>
      </c>
      <c r="K230" s="98" t="str">
        <f>IFERROR(__xludf.DUMMYFUNCTION("""COMPUTED_VALUE"""),"Customer Care")</f>
        <v>Customer Care</v>
      </c>
      <c r="L230" s="98" t="str">
        <f>IFERROR(__xludf.DUMMYFUNCTION("""COMPUTED_VALUE"""),"Informed Genzo Nethmi")</f>
        <v>Informed Genzo Nethmi</v>
      </c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>
      <c r="A231" s="82"/>
      <c r="B231" s="106" t="str">
        <f>IFERROR(__xludf.DUMMYFUNCTION("""COMPUTED_VALUE"""),"198")</f>
        <v>198</v>
      </c>
      <c r="C231" s="106" t="str">
        <f>IFERROR(__xludf.DUMMYFUNCTION("""COMPUTED_VALUE"""),"Jeni")</f>
        <v>Jeni</v>
      </c>
      <c r="D231" s="106" t="str">
        <f>IFERROR(__xludf.DUMMYFUNCTION("""COMPUTED_VALUE"""),"716239041")</f>
        <v>716239041</v>
      </c>
      <c r="E231" s="106" t="str">
        <f>IFERROR(__xludf.DUMMYFUNCTION("""COMPUTED_VALUE"""),"Y")</f>
        <v>Y</v>
      </c>
      <c r="F231" s="106" t="str">
        <f>IFERROR(__xludf.DUMMYFUNCTION("""COMPUTED_VALUE"""),"Beauty Miss &amp; Mrs")</f>
        <v>Beauty Miss &amp; Mrs</v>
      </c>
      <c r="G231" s="106" t="str">
        <f>IFERROR(__xludf.DUMMYFUNCTION("""COMPUTED_VALUE"""),"BE084359")</f>
        <v>BE084359</v>
      </c>
      <c r="H231" s="106" t="str">
        <f>IFERROR(__xludf.DUMMYFUNCTION("""COMPUTED_VALUE"""),"Re Deliver")</f>
        <v>Re Deliver</v>
      </c>
      <c r="I231" s="106" t="str">
        <f>IFERROR(__xludf.DUMMYFUNCTION("""COMPUTED_VALUE"""),"Kalutara")</f>
        <v>Kalutara</v>
      </c>
      <c r="J231" s="106" t="str">
        <f>IFERROR(__xludf.DUMMYFUNCTION("""COMPUTED_VALUE"""),"Out For Delivery")</f>
        <v>Out For Delivery</v>
      </c>
      <c r="K231" s="106" t="str">
        <f>IFERROR(__xludf.DUMMYFUNCTION("""COMPUTED_VALUE"""),"Customer Care")</f>
        <v>Customer Care</v>
      </c>
      <c r="L231" s="106" t="str">
        <f>IFERROR(__xludf.DUMMYFUNCTION("""COMPUTED_VALUE"""),"Done")</f>
        <v>Done</v>
      </c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>
      <c r="A232" s="82"/>
      <c r="B232" s="98" t="str">
        <f>IFERROR(__xludf.DUMMYFUNCTION("""COMPUTED_VALUE"""),"200")</f>
        <v>200</v>
      </c>
      <c r="C232" s="98" t="str">
        <f>IFERROR(__xludf.DUMMYFUNCTION("""COMPUTED_VALUE"""),"Jeni")</f>
        <v>Jeni</v>
      </c>
      <c r="D232" s="98" t="str">
        <f>IFERROR(__xludf.DUMMYFUNCTION("""COMPUTED_VALUE"""),"737015917")</f>
        <v>737015917</v>
      </c>
      <c r="E232" s="98" t="str">
        <f>IFERROR(__xludf.DUMMYFUNCTION("""COMPUTED_VALUE"""),"Y")</f>
        <v>Y</v>
      </c>
      <c r="F232" s="98" t="str">
        <f>IFERROR(__xludf.DUMMYFUNCTION("""COMPUTED_VALUE"""),"Faith Store")</f>
        <v>Faith Store</v>
      </c>
      <c r="G232" s="98" t="str">
        <f>IFERROR(__xludf.DUMMYFUNCTION("""COMPUTED_VALUE"""),"A4432497")</f>
        <v>A4432497</v>
      </c>
      <c r="H232" s="98" t="str">
        <f>IFERROR(__xludf.DUMMYFUNCTION("""COMPUTED_VALUE"""),"Re Deliver")</f>
        <v>Re Deliver</v>
      </c>
      <c r="I232" s="98" t="str">
        <f>IFERROR(__xludf.DUMMYFUNCTION("""COMPUTED_VALUE"""),"Wennappuwa")</f>
        <v>Wennappuwa</v>
      </c>
      <c r="J232" s="98" t="str">
        <f>IFERROR(__xludf.DUMMYFUNCTION("""COMPUTED_VALUE"""),"Returned To Ho")</f>
        <v>Returned To Ho</v>
      </c>
      <c r="K232" s="98" t="str">
        <f>IFERROR(__xludf.DUMMYFUNCTION("""COMPUTED_VALUE"""),"Return")</f>
        <v>Return</v>
      </c>
      <c r="L232" s="98" t="str">
        <f>IFERROR(__xludf.DUMMYFUNCTION("""COMPUTED_VALUE"""),"Damage Item")</f>
        <v>Damage Item</v>
      </c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>
      <c r="A233" s="82"/>
      <c r="B233" s="106" t="str">
        <f>IFERROR(__xludf.DUMMYFUNCTION("""COMPUTED_VALUE"""),"192")</f>
        <v>192</v>
      </c>
      <c r="C233" s="106" t="str">
        <f>IFERROR(__xludf.DUMMYFUNCTION("""COMPUTED_VALUE"""),"Jeni")</f>
        <v>Jeni</v>
      </c>
      <c r="D233" s="106" t="str">
        <f>IFERROR(__xludf.DUMMYFUNCTION("""COMPUTED_VALUE"""),"704092215")</f>
        <v>704092215</v>
      </c>
      <c r="E233" s="106" t="str">
        <f>IFERROR(__xludf.DUMMYFUNCTION("""COMPUTED_VALUE"""),"N")</f>
        <v>N</v>
      </c>
      <c r="F233" s="106" t="str">
        <f>IFERROR(__xludf.DUMMYFUNCTION("""COMPUTED_VALUE"""),"360° Online.Lk")</f>
        <v>360° Online.Lk</v>
      </c>
      <c r="G233" s="106" t="str">
        <f>IFERROR(__xludf.DUMMYFUNCTION("""COMPUTED_VALUE"""),"BE119595")</f>
        <v>BE119595</v>
      </c>
      <c r="H233" s="106" t="str">
        <f>IFERROR(__xludf.DUMMYFUNCTION("""COMPUTED_VALUE"""),"Asked Some Details")</f>
        <v>Asked Some Details</v>
      </c>
      <c r="I233" s="106" t="str">
        <f>IFERROR(__xludf.DUMMYFUNCTION("""COMPUTED_VALUE"""),"Dambulla")</f>
        <v>Dambulla</v>
      </c>
      <c r="J233" s="106" t="str">
        <f>IFERROR(__xludf.DUMMYFUNCTION("""COMPUTED_VALUE"""),"Out For Delivery")</f>
        <v>Out For Delivery</v>
      </c>
      <c r="K233" s="106" t="str">
        <f>IFERROR(__xludf.DUMMYFUNCTION("""COMPUTED_VALUE"""),"Customer Care")</f>
        <v>Customer Care</v>
      </c>
      <c r="L233" s="106" t="str">
        <f>IFERROR(__xludf.DUMMYFUNCTION("""COMPUTED_VALUE"""),"Given Details")</f>
        <v>Given Details</v>
      </c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>
      <c r="A234" s="82"/>
      <c r="B234" s="98" t="str">
        <f>IFERROR(__xludf.DUMMYFUNCTION("""COMPUTED_VALUE"""),"189")</f>
        <v>189</v>
      </c>
      <c r="C234" s="98" t="str">
        <f>IFERROR(__xludf.DUMMYFUNCTION("""COMPUTED_VALUE"""),"Jeni")</f>
        <v>Jeni</v>
      </c>
      <c r="D234" s="98" t="str">
        <f>IFERROR(__xludf.DUMMYFUNCTION("""COMPUTED_VALUE"""),"722590507")</f>
        <v>722590507</v>
      </c>
      <c r="E234" s="98" t="str">
        <f>IFERROR(__xludf.DUMMYFUNCTION("""COMPUTED_VALUE"""),"N")</f>
        <v>N</v>
      </c>
      <c r="F234" s="98" t="str">
        <f>IFERROR(__xludf.DUMMYFUNCTION("""COMPUTED_VALUE"""),"Flexi Store")</f>
        <v>Flexi Store</v>
      </c>
      <c r="G234" s="98" t="str">
        <f>IFERROR(__xludf.DUMMYFUNCTION("""COMPUTED_VALUE"""),"BE081097")</f>
        <v>BE081097</v>
      </c>
      <c r="H234" s="98" t="str">
        <f>IFERROR(__xludf.DUMMYFUNCTION("""COMPUTED_VALUE"""),"Order Status")</f>
        <v>Order Status</v>
      </c>
      <c r="I234" s="98" t="str">
        <f>IFERROR(__xludf.DUMMYFUNCTION("""COMPUTED_VALUE"""),"Jaffna")</f>
        <v>Jaffna</v>
      </c>
      <c r="J234" s="98" t="str">
        <f>IFERROR(__xludf.DUMMYFUNCTION("""COMPUTED_VALUE"""),"Returned To Branch Rescheduled")</f>
        <v>Returned To Branch Rescheduled</v>
      </c>
      <c r="K234" s="98" t="str">
        <f>IFERROR(__xludf.DUMMYFUNCTION("""COMPUTED_VALUE"""),"Return")</f>
        <v>Return</v>
      </c>
      <c r="L234" s="98" t="str">
        <f>IFERROR(__xludf.DUMMYFUNCTION("""COMPUTED_VALUE"""),"Already Return Item")</f>
        <v>Already Return Item</v>
      </c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>
      <c r="A235" s="82"/>
      <c r="B235" s="106" t="str">
        <f>IFERROR(__xludf.DUMMYFUNCTION("""COMPUTED_VALUE"""),"190")</f>
        <v>190</v>
      </c>
      <c r="C235" s="106" t="str">
        <f>IFERROR(__xludf.DUMMYFUNCTION("""COMPUTED_VALUE"""),"Jeni")</f>
        <v>Jeni</v>
      </c>
      <c r="D235" s="106" t="str">
        <f>IFERROR(__xludf.DUMMYFUNCTION("""COMPUTED_VALUE"""),"778291778")</f>
        <v>778291778</v>
      </c>
      <c r="E235" s="106" t="str">
        <f>IFERROR(__xludf.DUMMYFUNCTION("""COMPUTED_VALUE"""),"N")</f>
        <v>N</v>
      </c>
      <c r="F235" s="106" t="str">
        <f>IFERROR(__xludf.DUMMYFUNCTION("""COMPUTED_VALUE"""),"Miraci Holdings")</f>
        <v>Miraci Holdings</v>
      </c>
      <c r="G235" s="106" t="str">
        <f>IFERROR(__xludf.DUMMYFUNCTION("""COMPUTED_VALUE"""),"BE123801")</f>
        <v>BE123801</v>
      </c>
      <c r="H235" s="106" t="str">
        <f>IFERROR(__xludf.DUMMYFUNCTION("""COMPUTED_VALUE"""),"Customer Want Return This Order")</f>
        <v>Customer Want Return This Order</v>
      </c>
      <c r="I235" s="106" t="str">
        <f>IFERROR(__xludf.DUMMYFUNCTION("""COMPUTED_VALUE"""),"Negombo")</f>
        <v>Negombo</v>
      </c>
      <c r="J235" s="106" t="str">
        <f>IFERROR(__xludf.DUMMYFUNCTION("""COMPUTED_VALUE"""),"Out For Delivery")</f>
        <v>Out For Delivery</v>
      </c>
      <c r="K235" s="106" t="str">
        <f>IFERROR(__xludf.DUMMYFUNCTION("""COMPUTED_VALUE"""),"Branch Operations")</f>
        <v>Branch Operations</v>
      </c>
      <c r="L235" s="106" t="str">
        <f>IFERROR(__xludf.DUMMYFUNCTION("""COMPUTED_VALUE"""),"Informed Genzo Amanthi")</f>
        <v>Informed Genzo Amanthi</v>
      </c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>
      <c r="A236" s="82"/>
      <c r="B236" s="98" t="str">
        <f>IFERROR(__xludf.DUMMYFUNCTION("""COMPUTED_VALUE"""),"191")</f>
        <v>191</v>
      </c>
      <c r="C236" s="98" t="str">
        <f>IFERROR(__xludf.DUMMYFUNCTION("""COMPUTED_VALUE"""),"Jeni")</f>
        <v>Jeni</v>
      </c>
      <c r="D236" s="98" t="str">
        <f>IFERROR(__xludf.DUMMYFUNCTION("""COMPUTED_VALUE"""),"728389232")</f>
        <v>728389232</v>
      </c>
      <c r="E236" s="98" t="str">
        <f>IFERROR(__xludf.DUMMYFUNCTION("""COMPUTED_VALUE"""),"N")</f>
        <v>N</v>
      </c>
      <c r="F236" s="98" t="str">
        <f>IFERROR(__xludf.DUMMYFUNCTION("""COMPUTED_VALUE"""),"360° Online.Lk")</f>
        <v>360° Online.Lk</v>
      </c>
      <c r="G236" s="98" t="str">
        <f>IFERROR(__xludf.DUMMYFUNCTION("""COMPUTED_VALUE"""),"BE119595")</f>
        <v>BE119595</v>
      </c>
      <c r="H236" s="98" t="str">
        <f>IFERROR(__xludf.DUMMYFUNCTION("""COMPUTED_VALUE"""),"Customer Want Return This Order")</f>
        <v>Customer Want Return This Order</v>
      </c>
      <c r="I236" s="98" t="str">
        <f>IFERROR(__xludf.DUMMYFUNCTION("""COMPUTED_VALUE"""),"Akuressa")</f>
        <v>Akuressa</v>
      </c>
      <c r="J236" s="98" t="str">
        <f>IFERROR(__xludf.DUMMYFUNCTION("""COMPUTED_VALUE"""),"Out For Delivery")</f>
        <v>Out For Delivery</v>
      </c>
      <c r="K236" s="98" t="str">
        <f>IFERROR(__xludf.DUMMYFUNCTION("""COMPUTED_VALUE"""),"Branch Operations")</f>
        <v>Branch Operations</v>
      </c>
      <c r="L236" s="98" t="str">
        <f>IFERROR(__xludf.DUMMYFUNCTION("""COMPUTED_VALUE"""),"Informed Genzo Deepika")</f>
        <v>Informed Genzo Deepika</v>
      </c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>
      <c r="A237" s="82"/>
      <c r="B237" s="106" t="str">
        <f>IFERROR(__xludf.DUMMYFUNCTION("""COMPUTED_VALUE"""),"193")</f>
        <v>193</v>
      </c>
      <c r="C237" s="106" t="str">
        <f>IFERROR(__xludf.DUMMYFUNCTION("""COMPUTED_VALUE"""),"Jeni")</f>
        <v>Jeni</v>
      </c>
      <c r="D237" s="106" t="str">
        <f>IFERROR(__xludf.DUMMYFUNCTION("""COMPUTED_VALUE"""),"764300731")</f>
        <v>764300731</v>
      </c>
      <c r="E237" s="106" t="str">
        <f>IFERROR(__xludf.DUMMYFUNCTION("""COMPUTED_VALUE"""),"N")</f>
        <v>N</v>
      </c>
      <c r="F237" s="107" t="str">
        <f>IFERROR(__xludf.DUMMYFUNCTION("""COMPUTED_VALUE"""),"Plusmart.Lk")</f>
        <v>Plusmart.Lk</v>
      </c>
      <c r="G237" s="106" t="str">
        <f>IFERROR(__xludf.DUMMYFUNCTION("""COMPUTED_VALUE"""),"BE039645")</f>
        <v>BE039645</v>
      </c>
      <c r="H237" s="106" t="str">
        <f>IFERROR(__xludf.DUMMYFUNCTION("""COMPUTED_VALUE"""),"Arrange To Deliver Today /Top Urgent")</f>
        <v>Arrange To Deliver Today /Top Urgent</v>
      </c>
      <c r="I237" s="106" t="str">
        <f>IFERROR(__xludf.DUMMYFUNCTION("""COMPUTED_VALUE"""),"Thalawathugoda")</f>
        <v>Thalawathugoda</v>
      </c>
      <c r="J237" s="106" t="str">
        <f>IFERROR(__xludf.DUMMYFUNCTION("""COMPUTED_VALUE"""),"Re-Delivery")</f>
        <v>Re-Delivery</v>
      </c>
      <c r="K237" s="106" t="str">
        <f>IFERROR(__xludf.DUMMYFUNCTION("""COMPUTED_VALUE"""),"Branch Operations")</f>
        <v>Branch Operations</v>
      </c>
      <c r="L237" s="106" t="str">
        <f>IFERROR(__xludf.DUMMYFUNCTION("""COMPUTED_VALUE"""),"Informed Branch Supervisor Number Via A Whatsapp")</f>
        <v>Informed Branch Supervisor Number Via A Whatsapp</v>
      </c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>
      <c r="A238" s="82"/>
      <c r="B238" s="98" t="str">
        <f>IFERROR(__xludf.DUMMYFUNCTION("""COMPUTED_VALUE"""),"194")</f>
        <v>194</v>
      </c>
      <c r="C238" s="98" t="str">
        <f>IFERROR(__xludf.DUMMYFUNCTION("""COMPUTED_VALUE"""),"Jeni")</f>
        <v>Jeni</v>
      </c>
      <c r="D238" s="98" t="str">
        <f>IFERROR(__xludf.DUMMYFUNCTION("""COMPUTED_VALUE"""),"776059873")</f>
        <v>776059873</v>
      </c>
      <c r="E238" s="98" t="str">
        <f>IFERROR(__xludf.DUMMYFUNCTION("""COMPUTED_VALUE"""),"Y")</f>
        <v>Y</v>
      </c>
      <c r="F238" s="98" t="str">
        <f>IFERROR(__xludf.DUMMYFUNCTION("""COMPUTED_VALUE"""),"Future Home Electronics")</f>
        <v>Future Home Electronics</v>
      </c>
      <c r="G238" s="98" t="str">
        <f>IFERROR(__xludf.DUMMYFUNCTION("""COMPUTED_VALUE"""),"A4364264")</f>
        <v>A4364264</v>
      </c>
      <c r="H238" s="98" t="str">
        <f>IFERROR(__xludf.DUMMYFUNCTION("""COMPUTED_VALUE"""),"Top Urgent -Call Request Management")</f>
        <v>Top Urgent -Call Request Management</v>
      </c>
      <c r="I238" s="98" t="str">
        <f>IFERROR(__xludf.DUMMYFUNCTION("""COMPUTED_VALUE"""),"Dambulla")</f>
        <v>Dambulla</v>
      </c>
      <c r="J238" s="98" t="str">
        <f>IFERROR(__xludf.DUMMYFUNCTION("""COMPUTED_VALUE"""),"Received At Destination")</f>
        <v>Received At Destination</v>
      </c>
      <c r="K238" s="98" t="str">
        <f>IFERROR(__xludf.DUMMYFUNCTION("""COMPUTED_VALUE"""),"Branch Operations")</f>
        <v>Branch Operations</v>
      </c>
      <c r="L238" s="98" t="str">
        <f>IFERROR(__xludf.DUMMYFUNCTION("""COMPUTED_VALUE"""),"Informed /Transfered Call")</f>
        <v>Informed /Transfered Call</v>
      </c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>
      <c r="A239" s="82"/>
      <c r="B239" s="106" t="str">
        <f>IFERROR(__xludf.DUMMYFUNCTION("""COMPUTED_VALUE"""),"200")</f>
        <v>200</v>
      </c>
      <c r="C239" s="106" t="str">
        <f>IFERROR(__xludf.DUMMYFUNCTION("""COMPUTED_VALUE"""),"Jeni")</f>
        <v>Jeni</v>
      </c>
      <c r="D239" s="106" t="str">
        <f>IFERROR(__xludf.DUMMYFUNCTION("""COMPUTED_VALUE"""),"732720424")</f>
        <v>732720424</v>
      </c>
      <c r="E239" s="106" t="str">
        <f>IFERROR(__xludf.DUMMYFUNCTION("""COMPUTED_VALUE"""),"Y")</f>
        <v>Y</v>
      </c>
      <c r="F239" s="106" t="str">
        <f>IFERROR(__xludf.DUMMYFUNCTION("""COMPUTED_VALUE"""),"Faith Store")</f>
        <v>Faith Store</v>
      </c>
      <c r="G239" s="106" t="str">
        <f>IFERROR(__xludf.DUMMYFUNCTION("""COMPUTED_VALUE"""),"A4161018")</f>
        <v>A4161018</v>
      </c>
      <c r="H239" s="106" t="str">
        <f>IFERROR(__xludf.DUMMYFUNCTION("""COMPUTED_VALUE"""),"Order Status")</f>
        <v>Order Status</v>
      </c>
      <c r="I239" s="106" t="str">
        <f>IFERROR(__xludf.DUMMYFUNCTION("""COMPUTED_VALUE"""),"Negombo")</f>
        <v>Negombo</v>
      </c>
      <c r="J239" s="106" t="str">
        <f>IFERROR(__xludf.DUMMYFUNCTION("""COMPUTED_VALUE"""),"Received At Ho (Returned Item)")</f>
        <v>Received At Ho (Returned Item)</v>
      </c>
      <c r="K239" s="106" t="str">
        <f>IFERROR(__xludf.DUMMYFUNCTION("""COMPUTED_VALUE"""),"Return")</f>
        <v>Return</v>
      </c>
      <c r="L239" s="106" t="str">
        <f>IFERROR(__xludf.DUMMYFUNCTION("""COMPUTED_VALUE"""),"Return Item")</f>
        <v>Return Item</v>
      </c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>
      <c r="A240" s="82"/>
      <c r="B240" s="98" t="str">
        <f>IFERROR(__xludf.DUMMYFUNCTION("""COMPUTED_VALUE"""),"200")</f>
        <v>200</v>
      </c>
      <c r="C240" s="98" t="str">
        <f>IFERROR(__xludf.DUMMYFUNCTION("""COMPUTED_VALUE"""),"Jeni")</f>
        <v>Jeni</v>
      </c>
      <c r="D240" s="98" t="str">
        <f>IFERROR(__xludf.DUMMYFUNCTION("""COMPUTED_VALUE"""),"714857187")</f>
        <v>714857187</v>
      </c>
      <c r="E240" s="98" t="str">
        <f>IFERROR(__xludf.DUMMYFUNCTION("""COMPUTED_VALUE"""),"Y")</f>
        <v>Y</v>
      </c>
      <c r="F240" s="98" t="str">
        <f>IFERROR(__xludf.DUMMYFUNCTION("""COMPUTED_VALUE"""),"Faith Store")</f>
        <v>Faith Store</v>
      </c>
      <c r="G240" s="98" t="str">
        <f>IFERROR(__xludf.DUMMYFUNCTION("""COMPUTED_VALUE"""),"A4432392")</f>
        <v>A4432392</v>
      </c>
      <c r="H240" s="98" t="str">
        <f>IFERROR(__xludf.DUMMYFUNCTION("""COMPUTED_VALUE"""),"Re Deliver")</f>
        <v>Re Deliver</v>
      </c>
      <c r="I240" s="98" t="str">
        <f>IFERROR(__xludf.DUMMYFUNCTION("""COMPUTED_VALUE"""),"Dambulla")</f>
        <v>Dambulla</v>
      </c>
      <c r="J240" s="98" t="str">
        <f>IFERROR(__xludf.DUMMYFUNCTION("""COMPUTED_VALUE"""),"Returned To Client")</f>
        <v>Returned To Client</v>
      </c>
      <c r="K240" s="98" t="str">
        <f>IFERROR(__xludf.DUMMYFUNCTION("""COMPUTED_VALUE"""),"Return")</f>
        <v>Return</v>
      </c>
      <c r="L240" s="98" t="str">
        <f>IFERROR(__xludf.DUMMYFUNCTION("""COMPUTED_VALUE"""),"Return Item")</f>
        <v>Return Item</v>
      </c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>
      <c r="A241" s="82"/>
      <c r="B241" s="106" t="str">
        <f>IFERROR(__xludf.DUMMYFUNCTION("""COMPUTED_VALUE"""),"200")</f>
        <v>200</v>
      </c>
      <c r="C241" s="106" t="str">
        <f>IFERROR(__xludf.DUMMYFUNCTION("""COMPUTED_VALUE"""),"Jeni")</f>
        <v>Jeni</v>
      </c>
      <c r="D241" s="106" t="str">
        <f>IFERROR(__xludf.DUMMYFUNCTION("""COMPUTED_VALUE"""),"789038779")</f>
        <v>789038779</v>
      </c>
      <c r="E241" s="106" t="str">
        <f>IFERROR(__xludf.DUMMYFUNCTION("""COMPUTED_VALUE"""),"Y")</f>
        <v>Y</v>
      </c>
      <c r="F241" s="106" t="str">
        <f>IFERROR(__xludf.DUMMYFUNCTION("""COMPUTED_VALUE"""),"Faith Store")</f>
        <v>Faith Store</v>
      </c>
      <c r="G241" s="106" t="str">
        <f>IFERROR(__xludf.DUMMYFUNCTION("""COMPUTED_VALUE"""),"A4432025")</f>
        <v>A4432025</v>
      </c>
      <c r="H241" s="106" t="str">
        <f>IFERROR(__xludf.DUMMYFUNCTION("""COMPUTED_VALUE"""),"Re Deliver")</f>
        <v>Re Deliver</v>
      </c>
      <c r="I241" s="106" t="str">
        <f>IFERROR(__xludf.DUMMYFUNCTION("""COMPUTED_VALUE"""),"Dambulla")</f>
        <v>Dambulla</v>
      </c>
      <c r="J241" s="106" t="str">
        <f>IFERROR(__xludf.DUMMYFUNCTION("""COMPUTED_VALUE"""),"Returned To Client")</f>
        <v>Returned To Client</v>
      </c>
      <c r="K241" s="106" t="str">
        <f>IFERROR(__xludf.DUMMYFUNCTION("""COMPUTED_VALUE"""),"Return")</f>
        <v>Return</v>
      </c>
      <c r="L241" s="106" t="str">
        <f>IFERROR(__xludf.DUMMYFUNCTION("""COMPUTED_VALUE"""),"Return Item")</f>
        <v>Return Item</v>
      </c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>
      <c r="A242" s="82"/>
      <c r="B242" s="98" t="str">
        <f>IFERROR(__xludf.DUMMYFUNCTION("""COMPUTED_VALUE"""),"200")</f>
        <v>200</v>
      </c>
      <c r="C242" s="98" t="str">
        <f>IFERROR(__xludf.DUMMYFUNCTION("""COMPUTED_VALUE"""),"Jeni")</f>
        <v>Jeni</v>
      </c>
      <c r="D242" s="98" t="str">
        <f>IFERROR(__xludf.DUMMYFUNCTION("""COMPUTED_VALUE"""),"775672980")</f>
        <v>775672980</v>
      </c>
      <c r="E242" s="98" t="str">
        <f>IFERROR(__xludf.DUMMYFUNCTION("""COMPUTED_VALUE"""),"Y")</f>
        <v>Y</v>
      </c>
      <c r="F242" s="98" t="str">
        <f>IFERROR(__xludf.DUMMYFUNCTION("""COMPUTED_VALUE"""),"Faith Store")</f>
        <v>Faith Store</v>
      </c>
      <c r="G242" s="98" t="str">
        <f>IFERROR(__xludf.DUMMYFUNCTION("""COMPUTED_VALUE"""),"A4431681")</f>
        <v>A4431681</v>
      </c>
      <c r="H242" s="98" t="str">
        <f>IFERROR(__xludf.DUMMYFUNCTION("""COMPUTED_VALUE"""),"Re Deliver")</f>
        <v>Re Deliver</v>
      </c>
      <c r="I242" s="98" t="str">
        <f>IFERROR(__xludf.DUMMYFUNCTION("""COMPUTED_VALUE"""),"Dambulla")</f>
        <v>Dambulla</v>
      </c>
      <c r="J242" s="98" t="str">
        <f>IFERROR(__xludf.DUMMYFUNCTION("""COMPUTED_VALUE"""),"Returned To Client")</f>
        <v>Returned To Client</v>
      </c>
      <c r="K242" s="98" t="str">
        <f>IFERROR(__xludf.DUMMYFUNCTION("""COMPUTED_VALUE"""),"Return")</f>
        <v>Return</v>
      </c>
      <c r="L242" s="98" t="str">
        <f>IFERROR(__xludf.DUMMYFUNCTION("""COMPUTED_VALUE"""),"Return Item")</f>
        <v>Return Item</v>
      </c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>
      <c r="A243" s="82"/>
      <c r="B243" s="106" t="str">
        <f>IFERROR(__xludf.DUMMYFUNCTION("""COMPUTED_VALUE"""),"200")</f>
        <v>200</v>
      </c>
      <c r="C243" s="106" t="str">
        <f>IFERROR(__xludf.DUMMYFUNCTION("""COMPUTED_VALUE"""),"Jeni")</f>
        <v>Jeni</v>
      </c>
      <c r="D243" s="106" t="str">
        <f>IFERROR(__xludf.DUMMYFUNCTION("""COMPUTED_VALUE"""),"774926166")</f>
        <v>774926166</v>
      </c>
      <c r="E243" s="106" t="str">
        <f>IFERROR(__xludf.DUMMYFUNCTION("""COMPUTED_VALUE"""),"Y")</f>
        <v>Y</v>
      </c>
      <c r="F243" s="106" t="str">
        <f>IFERROR(__xludf.DUMMYFUNCTION("""COMPUTED_VALUE"""),"Faith Store")</f>
        <v>Faith Store</v>
      </c>
      <c r="G243" s="106" t="str">
        <f>IFERROR(__xludf.DUMMYFUNCTION("""COMPUTED_VALUE"""),"A4432282")</f>
        <v>A4432282</v>
      </c>
      <c r="H243" s="106" t="str">
        <f>IFERROR(__xludf.DUMMYFUNCTION("""COMPUTED_VALUE"""),"Re Deliver")</f>
        <v>Re Deliver</v>
      </c>
      <c r="I243" s="106" t="str">
        <f>IFERROR(__xludf.DUMMYFUNCTION("""COMPUTED_VALUE"""),"Dambulla")</f>
        <v>Dambulla</v>
      </c>
      <c r="J243" s="106" t="str">
        <f>IFERROR(__xludf.DUMMYFUNCTION("""COMPUTED_VALUE"""),"Returned To Ho")</f>
        <v>Returned To Ho</v>
      </c>
      <c r="K243" s="106" t="str">
        <f>IFERROR(__xludf.DUMMYFUNCTION("""COMPUTED_VALUE"""),"Recovery")</f>
        <v>Recovery</v>
      </c>
      <c r="L243" s="106" t="str">
        <f>IFERROR(__xludf.DUMMYFUNCTION("""COMPUTED_VALUE"""),"Already Returned Order")</f>
        <v>Already Returned Order</v>
      </c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>
      <c r="A244" s="82"/>
      <c r="B244" s="98" t="str">
        <f>IFERROR(__xludf.DUMMYFUNCTION("""COMPUTED_VALUE"""),"200")</f>
        <v>200</v>
      </c>
      <c r="C244" s="98" t="str">
        <f>IFERROR(__xludf.DUMMYFUNCTION("""COMPUTED_VALUE"""),"Jeni")</f>
        <v>Jeni</v>
      </c>
      <c r="D244" s="98" t="str">
        <f>IFERROR(__xludf.DUMMYFUNCTION("""COMPUTED_VALUE"""),"714842001")</f>
        <v>714842001</v>
      </c>
      <c r="E244" s="98" t="str">
        <f>IFERROR(__xludf.DUMMYFUNCTION("""COMPUTED_VALUE"""),"Y")</f>
        <v>Y</v>
      </c>
      <c r="F244" s="98" t="str">
        <f>IFERROR(__xludf.DUMMYFUNCTION("""COMPUTED_VALUE"""),"Faith Store")</f>
        <v>Faith Store</v>
      </c>
      <c r="G244" s="98" t="str">
        <f>IFERROR(__xludf.DUMMYFUNCTION("""COMPUTED_VALUE"""),"A4432175")</f>
        <v>A4432175</v>
      </c>
      <c r="H244" s="98" t="str">
        <f>IFERROR(__xludf.DUMMYFUNCTION("""COMPUTED_VALUE"""),"Re Deliver")</f>
        <v>Re Deliver</v>
      </c>
      <c r="I244" s="98" t="str">
        <f>IFERROR(__xludf.DUMMYFUNCTION("""COMPUTED_VALUE"""),"Dambulla")</f>
        <v>Dambulla</v>
      </c>
      <c r="J244" s="98" t="str">
        <f>IFERROR(__xludf.DUMMYFUNCTION("""COMPUTED_VALUE"""),"Returned To Client")</f>
        <v>Returned To Client</v>
      </c>
      <c r="K244" s="98" t="str">
        <f>IFERROR(__xludf.DUMMYFUNCTION("""COMPUTED_VALUE"""),"Return")</f>
        <v>Return</v>
      </c>
      <c r="L244" s="98" t="str">
        <f>IFERROR(__xludf.DUMMYFUNCTION("""COMPUTED_VALUE"""),"Return Item")</f>
        <v>Return Item</v>
      </c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>
      <c r="A245" s="82"/>
      <c r="B245" s="106" t="str">
        <f>IFERROR(__xludf.DUMMYFUNCTION("""COMPUTED_VALUE"""),"200")</f>
        <v>200</v>
      </c>
      <c r="C245" s="106" t="str">
        <f>IFERROR(__xludf.DUMMYFUNCTION("""COMPUTED_VALUE"""),"Jeni")</f>
        <v>Jeni</v>
      </c>
      <c r="D245" s="106" t="str">
        <f>IFERROR(__xludf.DUMMYFUNCTION("""COMPUTED_VALUE"""),"745233940")</f>
        <v>745233940</v>
      </c>
      <c r="E245" s="106" t="str">
        <f>IFERROR(__xludf.DUMMYFUNCTION("""COMPUTED_VALUE"""),"Y")</f>
        <v>Y</v>
      </c>
      <c r="F245" s="106" t="str">
        <f>IFERROR(__xludf.DUMMYFUNCTION("""COMPUTED_VALUE"""),"Faith Store")</f>
        <v>Faith Store</v>
      </c>
      <c r="G245" s="106" t="str">
        <f>IFERROR(__xludf.DUMMYFUNCTION("""COMPUTED_VALUE"""),"A4431757")</f>
        <v>A4431757</v>
      </c>
      <c r="H245" s="106" t="str">
        <f>IFERROR(__xludf.DUMMYFUNCTION("""COMPUTED_VALUE"""),"Order Status")</f>
        <v>Order Status</v>
      </c>
      <c r="I245" s="106" t="str">
        <f>IFERROR(__xludf.DUMMYFUNCTION("""COMPUTED_VALUE"""),"Dambulla")</f>
        <v>Dambulla</v>
      </c>
      <c r="J245" s="106" t="str">
        <f>IFERROR(__xludf.DUMMYFUNCTION("""COMPUTED_VALUE"""),"Returned To Client")</f>
        <v>Returned To Client</v>
      </c>
      <c r="K245" s="106" t="str">
        <f>IFERROR(__xludf.DUMMYFUNCTION("""COMPUTED_VALUE"""),"Customer Care")</f>
        <v>Customer Care</v>
      </c>
      <c r="L245" s="106" t="str">
        <f>IFERROR(__xludf.DUMMYFUNCTION("""COMPUTED_VALUE"""),"Delivered")</f>
        <v>Delivered</v>
      </c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>
      <c r="A246" s="82"/>
      <c r="B246" s="98" t="str">
        <f>IFERROR(__xludf.DUMMYFUNCTION("""COMPUTED_VALUE"""),"201")</f>
        <v>201</v>
      </c>
      <c r="C246" s="98" t="str">
        <f>IFERROR(__xludf.DUMMYFUNCTION("""COMPUTED_VALUE"""),"Jeni")</f>
        <v>Jeni</v>
      </c>
      <c r="D246" s="98" t="str">
        <f>IFERROR(__xludf.DUMMYFUNCTION("""COMPUTED_VALUE"""),"764621033")</f>
        <v>764621033</v>
      </c>
      <c r="E246" s="98" t="str">
        <f>IFERROR(__xludf.DUMMYFUNCTION("""COMPUTED_VALUE"""),"Y")</f>
        <v>Y</v>
      </c>
      <c r="F246" s="98" t="str">
        <f>IFERROR(__xludf.DUMMYFUNCTION("""COMPUTED_VALUE"""),"Faith Store")</f>
        <v>Faith Store</v>
      </c>
      <c r="G246" s="98" t="str">
        <f>IFERROR(__xludf.DUMMYFUNCTION("""COMPUTED_VALUE"""),"A1106394")</f>
        <v>A1106394</v>
      </c>
      <c r="H246" s="98" t="str">
        <f>IFERROR(__xludf.DUMMYFUNCTION("""COMPUTED_VALUE"""),"Re Deliver")</f>
        <v>Re Deliver</v>
      </c>
      <c r="I246" s="98" t="str">
        <f>IFERROR(__xludf.DUMMYFUNCTION("""COMPUTED_VALUE"""),"Dambulla")</f>
        <v>Dambulla</v>
      </c>
      <c r="J246" s="98" t="str">
        <f>IFERROR(__xludf.DUMMYFUNCTION("""COMPUTED_VALUE"""),"Returned To Client")</f>
        <v>Returned To Client</v>
      </c>
      <c r="K246" s="98" t="str">
        <f>IFERROR(__xludf.DUMMYFUNCTION("""COMPUTED_VALUE"""),"Customer Care")</f>
        <v>Customer Care</v>
      </c>
      <c r="L246" s="98" t="str">
        <f>IFERROR(__xludf.DUMMYFUNCTION("""COMPUTED_VALUE"""),"Done")</f>
        <v>Done</v>
      </c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>
      <c r="A247" s="82"/>
      <c r="B247" s="106" t="str">
        <f>IFERROR(__xludf.DUMMYFUNCTION("""COMPUTED_VALUE"""),"202")</f>
        <v>202</v>
      </c>
      <c r="C247" s="106" t="str">
        <f>IFERROR(__xludf.DUMMYFUNCTION("""COMPUTED_VALUE"""),"Jeni")</f>
        <v>Jeni</v>
      </c>
      <c r="D247" s="106" t="str">
        <f>IFERROR(__xludf.DUMMYFUNCTION("""COMPUTED_VALUE"""),"796746379")</f>
        <v>796746379</v>
      </c>
      <c r="E247" s="106" t="str">
        <f>IFERROR(__xludf.DUMMYFUNCTION("""COMPUTED_VALUE"""),"Y")</f>
        <v>Y</v>
      </c>
      <c r="F247" s="106" t="str">
        <f>IFERROR(__xludf.DUMMYFUNCTION("""COMPUTED_VALUE"""),"Faith Store")</f>
        <v>Faith Store</v>
      </c>
      <c r="G247" s="106" t="str">
        <f>IFERROR(__xludf.DUMMYFUNCTION("""COMPUTED_VALUE"""),"BE015822")</f>
        <v>BE015822</v>
      </c>
      <c r="H247" s="106" t="str">
        <f>IFERROR(__xludf.DUMMYFUNCTION("""COMPUTED_VALUE"""),"Re Deliver")</f>
        <v>Re Deliver</v>
      </c>
      <c r="I247" s="106" t="str">
        <f>IFERROR(__xludf.DUMMYFUNCTION("""COMPUTED_VALUE"""),"Nuwara Eliya")</f>
        <v>Nuwara Eliya</v>
      </c>
      <c r="J247" s="106" t="str">
        <f>IFERROR(__xludf.DUMMYFUNCTION("""COMPUTED_VALUE"""),"Delivered")</f>
        <v>Delivered</v>
      </c>
      <c r="K247" s="106" t="str">
        <f>IFERROR(__xludf.DUMMYFUNCTION("""COMPUTED_VALUE"""),"Customer Care")</f>
        <v>Customer Care</v>
      </c>
      <c r="L247" s="106" t="str">
        <f>IFERROR(__xludf.DUMMYFUNCTION("""COMPUTED_VALUE"""),"Done")</f>
        <v>Done</v>
      </c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>
      <c r="A248" s="82"/>
      <c r="B248" s="98" t="str">
        <f>IFERROR(__xludf.DUMMYFUNCTION("""COMPUTED_VALUE"""),"203")</f>
        <v>203</v>
      </c>
      <c r="C248" s="98" t="str">
        <f>IFERROR(__xludf.DUMMYFUNCTION("""COMPUTED_VALUE"""),"Jeni")</f>
        <v>Jeni</v>
      </c>
      <c r="D248" s="98" t="str">
        <f>IFERROR(__xludf.DUMMYFUNCTION("""COMPUTED_VALUE"""),"746842840")</f>
        <v>746842840</v>
      </c>
      <c r="E248" s="98" t="str">
        <f>IFERROR(__xludf.DUMMYFUNCTION("""COMPUTED_VALUE"""),"Y")</f>
        <v>Y</v>
      </c>
      <c r="F248" s="98" t="str">
        <f>IFERROR(__xludf.DUMMYFUNCTION("""COMPUTED_VALUE"""),"Lansa Express")</f>
        <v>Lansa Express</v>
      </c>
      <c r="G248" s="98" t="str">
        <f>IFERROR(__xludf.DUMMYFUNCTION("""COMPUTED_VALUE"""),"BE031429")</f>
        <v>BE031429</v>
      </c>
      <c r="H248" s="98" t="str">
        <f>IFERROR(__xludf.DUMMYFUNCTION("""COMPUTED_VALUE"""),"Re Deliver")</f>
        <v>Re Deliver</v>
      </c>
      <c r="I248" s="98" t="str">
        <f>IFERROR(__xludf.DUMMYFUNCTION("""COMPUTED_VALUE"""),"Dambulla")</f>
        <v>Dambulla</v>
      </c>
      <c r="J248" s="98" t="str">
        <f>IFERROR(__xludf.DUMMYFUNCTION("""COMPUTED_VALUE"""),"Returned To Client")</f>
        <v>Returned To Client</v>
      </c>
      <c r="K248" s="98" t="str">
        <f>IFERROR(__xludf.DUMMYFUNCTION("""COMPUTED_VALUE"""),"Return")</f>
        <v>Return</v>
      </c>
      <c r="L248" s="98" t="str">
        <f>IFERROR(__xludf.DUMMYFUNCTION("""COMPUTED_VALUE"""),"Return Item")</f>
        <v>Return Item</v>
      </c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>
      <c r="A249" s="82"/>
      <c r="B249" s="106" t="str">
        <f>IFERROR(__xludf.DUMMYFUNCTION("""COMPUTED_VALUE"""),"205")</f>
        <v>205</v>
      </c>
      <c r="C249" s="106" t="str">
        <f>IFERROR(__xludf.DUMMYFUNCTION("""COMPUTED_VALUE"""),"Jeni")</f>
        <v>Jeni</v>
      </c>
      <c r="D249" s="106" t="str">
        <f>IFERROR(__xludf.DUMMYFUNCTION("""COMPUTED_VALUE"""),"763359700")</f>
        <v>763359700</v>
      </c>
      <c r="E249" s="106" t="str">
        <f>IFERROR(__xludf.DUMMYFUNCTION("""COMPUTED_VALUE"""),"Y")</f>
        <v>Y</v>
      </c>
      <c r="F249" s="106" t="str">
        <f>IFERROR(__xludf.DUMMYFUNCTION("""COMPUTED_VALUE"""),"Mahaovita Hela Osu")</f>
        <v>Mahaovita Hela Osu</v>
      </c>
      <c r="G249" s="106" t="str">
        <f>IFERROR(__xludf.DUMMYFUNCTION("""COMPUTED_VALUE"""),"A3698576")</f>
        <v>A3698576</v>
      </c>
      <c r="H249" s="106" t="str">
        <f>IFERROR(__xludf.DUMMYFUNCTION("""COMPUTED_VALUE"""),"Cleint Want Return Order")</f>
        <v>Cleint Want Return Order</v>
      </c>
      <c r="I249" s="106" t="str">
        <f>IFERROR(__xludf.DUMMYFUNCTION("""COMPUTED_VALUE"""),"Ratmalana")</f>
        <v>Ratmalana</v>
      </c>
      <c r="J249" s="106" t="str">
        <f>IFERROR(__xludf.DUMMYFUNCTION("""COMPUTED_VALUE"""),"Delivered")</f>
        <v>Delivered</v>
      </c>
      <c r="K249" s="106" t="str">
        <f>IFERROR(__xludf.DUMMYFUNCTION("""COMPUTED_VALUE"""),"Return")</f>
        <v>Return</v>
      </c>
      <c r="L249" s="106" t="str">
        <f>IFERROR(__xludf.DUMMYFUNCTION("""COMPUTED_VALUE"""),"Already Branch Put Return To Ho Update")</f>
        <v>Already Branch Put Return To Ho Update</v>
      </c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>
      <c r="A250" s="82"/>
      <c r="B250" s="98" t="str">
        <f>IFERROR(__xludf.DUMMYFUNCTION("""COMPUTED_VALUE"""),"205")</f>
        <v>205</v>
      </c>
      <c r="C250" s="98" t="str">
        <f>IFERROR(__xludf.DUMMYFUNCTION("""COMPUTED_VALUE"""),"Jeni")</f>
        <v>Jeni</v>
      </c>
      <c r="D250" s="98" t="str">
        <f>IFERROR(__xludf.DUMMYFUNCTION("""COMPUTED_VALUE"""),"728675590")</f>
        <v>728675590</v>
      </c>
      <c r="E250" s="98" t="str">
        <f>IFERROR(__xludf.DUMMYFUNCTION("""COMPUTED_VALUE"""),"Y")</f>
        <v>Y</v>
      </c>
      <c r="F250" s="98" t="str">
        <f>IFERROR(__xludf.DUMMYFUNCTION("""COMPUTED_VALUE"""),"Faith Store")</f>
        <v>Faith Store</v>
      </c>
      <c r="G250" s="98" t="str">
        <f>IFERROR(__xludf.DUMMYFUNCTION("""COMPUTED_VALUE"""),"A1106394")</f>
        <v>A1106394</v>
      </c>
      <c r="H250" s="98" t="str">
        <f>IFERROR(__xludf.DUMMYFUNCTION("""COMPUTED_VALUE"""),"Re Deliver")</f>
        <v>Re Deliver</v>
      </c>
      <c r="I250" s="98" t="str">
        <f>IFERROR(__xludf.DUMMYFUNCTION("""COMPUTED_VALUE"""),"Ratmalana")</f>
        <v>Ratmalana</v>
      </c>
      <c r="J250" s="98" t="str">
        <f>IFERROR(__xludf.DUMMYFUNCTION("""COMPUTED_VALUE"""),"Delivered")</f>
        <v>Delivered</v>
      </c>
      <c r="K250" s="98" t="str">
        <f>IFERROR(__xludf.DUMMYFUNCTION("""COMPUTED_VALUE"""),"Return")</f>
        <v>Return</v>
      </c>
      <c r="L250" s="98" t="str">
        <f>IFERROR(__xludf.DUMMYFUNCTION("""COMPUTED_VALUE"""),"Already Branch Put Return To Ho Update")</f>
        <v>Already Branch Put Return To Ho Update</v>
      </c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>
      <c r="A251" s="82"/>
      <c r="B251" s="106" t="str">
        <f>IFERROR(__xludf.DUMMYFUNCTION("""COMPUTED_VALUE"""),"207")</f>
        <v>207</v>
      </c>
      <c r="C251" s="106" t="str">
        <f>IFERROR(__xludf.DUMMYFUNCTION("""COMPUTED_VALUE"""),"Jeni")</f>
        <v>Jeni</v>
      </c>
      <c r="D251" s="106" t="str">
        <f>IFERROR(__xludf.DUMMYFUNCTION("""COMPUTED_VALUE"""),"704593632")</f>
        <v>704593632</v>
      </c>
      <c r="E251" s="106" t="str">
        <f>IFERROR(__xludf.DUMMYFUNCTION("""COMPUTED_VALUE"""),"Y")</f>
        <v>Y</v>
      </c>
      <c r="F251" s="106" t="str">
        <f>IFERROR(__xludf.DUMMYFUNCTION("""COMPUTED_VALUE"""),"Faith Store")</f>
        <v>Faith Store</v>
      </c>
      <c r="G251" s="106" t="str">
        <f>IFERROR(__xludf.DUMMYFUNCTION("""COMPUTED_VALUE"""),"BE015822")</f>
        <v>BE015822</v>
      </c>
      <c r="H251" s="106" t="str">
        <f>IFERROR(__xludf.DUMMYFUNCTION("""COMPUTED_VALUE"""),"Re Deliver")</f>
        <v>Re Deliver</v>
      </c>
      <c r="I251" s="106" t="str">
        <f>IFERROR(__xludf.DUMMYFUNCTION("""COMPUTED_VALUE"""),"Nuwara Eliya")</f>
        <v>Nuwara Eliya</v>
      </c>
      <c r="J251" s="106" t="str">
        <f>IFERROR(__xludf.DUMMYFUNCTION("""COMPUTED_VALUE"""),"Delivered")</f>
        <v>Delivered</v>
      </c>
      <c r="K251" s="106" t="str">
        <f>IFERROR(__xludf.DUMMYFUNCTION("""COMPUTED_VALUE"""),"Customer Care")</f>
        <v>Customer Care</v>
      </c>
      <c r="L251" s="106" t="str">
        <f>IFERROR(__xludf.DUMMYFUNCTION("""COMPUTED_VALUE"""),"Done")</f>
        <v>Done</v>
      </c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>
      <c r="A252" s="82"/>
      <c r="B252" s="98" t="str">
        <f>IFERROR(__xludf.DUMMYFUNCTION("""COMPUTED_VALUE"""),"200")</f>
        <v>200</v>
      </c>
      <c r="C252" s="98" t="str">
        <f>IFERROR(__xludf.DUMMYFUNCTION("""COMPUTED_VALUE"""),"Jeni")</f>
        <v>Jeni</v>
      </c>
      <c r="D252" s="98" t="str">
        <f>IFERROR(__xludf.DUMMYFUNCTION("""COMPUTED_VALUE"""),"719078286")</f>
        <v>719078286</v>
      </c>
      <c r="E252" s="98" t="str">
        <f>IFERROR(__xludf.DUMMYFUNCTION("""COMPUTED_VALUE"""),"Y")</f>
        <v>Y</v>
      </c>
      <c r="F252" s="98" t="str">
        <f>IFERROR(__xludf.DUMMYFUNCTION("""COMPUTED_VALUE"""),"Faith Store")</f>
        <v>Faith Store</v>
      </c>
      <c r="G252" s="98" t="str">
        <f>IFERROR(__xludf.DUMMYFUNCTION("""COMPUTED_VALUE"""),"A4432454")</f>
        <v>A4432454</v>
      </c>
      <c r="H252" s="98" t="str">
        <f>IFERROR(__xludf.DUMMYFUNCTION("""COMPUTED_VALUE"""),"Re Deliver On Friday")</f>
        <v>Re Deliver On Friday</v>
      </c>
      <c r="I252" s="98" t="str">
        <f>IFERROR(__xludf.DUMMYFUNCTION("""COMPUTED_VALUE"""),"Kegalle")</f>
        <v>Kegalle</v>
      </c>
      <c r="J252" s="98" t="str">
        <f>IFERROR(__xludf.DUMMYFUNCTION("""COMPUTED_VALUE"""),"Out For Delivery")</f>
        <v>Out For Delivery</v>
      </c>
      <c r="K252" s="98" t="str">
        <f>IFERROR(__xludf.DUMMYFUNCTION("""COMPUTED_VALUE"""),"Branch Operations")</f>
        <v>Branch Operations</v>
      </c>
      <c r="L252" s="98" t="str">
        <f>IFERROR(__xludf.DUMMYFUNCTION("""COMPUTED_VALUE"""),"Informed Branch Number Via A Whatsapp")</f>
        <v>Informed Branch Number Via A Whatsapp</v>
      </c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>
      <c r="A253" s="82"/>
      <c r="B253" s="106" t="str">
        <f>IFERROR(__xludf.DUMMYFUNCTION("""COMPUTED_VALUE"""),"207")</f>
        <v>207</v>
      </c>
      <c r="C253" s="106" t="str">
        <f>IFERROR(__xludf.DUMMYFUNCTION("""COMPUTED_VALUE"""),"Jeni")</f>
        <v>Jeni</v>
      </c>
      <c r="D253" s="106" t="str">
        <f>IFERROR(__xludf.DUMMYFUNCTION("""COMPUTED_VALUE"""),"733356561")</f>
        <v>733356561</v>
      </c>
      <c r="E253" s="106" t="str">
        <f>IFERROR(__xludf.DUMMYFUNCTION("""COMPUTED_VALUE"""),"N")</f>
        <v>N</v>
      </c>
      <c r="F253" s="106" t="str">
        <f>IFERROR(__xludf.DUMMYFUNCTION("""COMPUTED_VALUE"""),"Nexwin")</f>
        <v>Nexwin</v>
      </c>
      <c r="G253" s="106" t="str">
        <f>IFERROR(__xludf.DUMMYFUNCTION("""COMPUTED_VALUE"""),"BE081708")</f>
        <v>BE081708</v>
      </c>
      <c r="H253" s="106" t="str">
        <f>IFERROR(__xludf.DUMMYFUNCTION("""COMPUTED_VALUE"""),"Re Deliver")</f>
        <v>Re Deliver</v>
      </c>
      <c r="I253" s="106" t="str">
        <f>IFERROR(__xludf.DUMMYFUNCTION("""COMPUTED_VALUE"""),"Pilimathlawa")</f>
        <v>Pilimathlawa</v>
      </c>
      <c r="J253" s="106" t="str">
        <f>IFERROR(__xludf.DUMMYFUNCTION("""COMPUTED_VALUE"""),"Returned To Branch Rescheduled")</f>
        <v>Returned To Branch Rescheduled</v>
      </c>
      <c r="K253" s="106" t="str">
        <f>IFERROR(__xludf.DUMMYFUNCTION("""COMPUTED_VALUE"""),"Customer Care")</f>
        <v>Customer Care</v>
      </c>
      <c r="L253" s="106" t="str">
        <f>IFERROR(__xludf.DUMMYFUNCTION("""COMPUTED_VALUE"""),"Done")</f>
        <v>Done</v>
      </c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>
      <c r="A254" s="82"/>
      <c r="B254" s="98" t="str">
        <f>IFERROR(__xludf.DUMMYFUNCTION("""COMPUTED_VALUE"""),"210")</f>
        <v>210</v>
      </c>
      <c r="C254" s="98" t="str">
        <f>IFERROR(__xludf.DUMMYFUNCTION("""COMPUTED_VALUE"""),"Jeni")</f>
        <v>Jeni</v>
      </c>
      <c r="D254" s="98" t="str">
        <f>IFERROR(__xludf.DUMMYFUNCTION("""COMPUTED_VALUE"""),"735332100")</f>
        <v>735332100</v>
      </c>
      <c r="E254" s="98" t="str">
        <f>IFERROR(__xludf.DUMMYFUNCTION("""COMPUTED_VALUE"""),"Y")</f>
        <v>Y</v>
      </c>
      <c r="F254" s="98" t="str">
        <f>IFERROR(__xludf.DUMMYFUNCTION("""COMPUTED_VALUE"""),"74 008 3702")</f>
        <v>74 008 3702</v>
      </c>
      <c r="G254" s="98" t="str">
        <f>IFERROR(__xludf.DUMMYFUNCTION("""COMPUTED_VALUE"""),"BE131495")</f>
        <v>BE131495</v>
      </c>
      <c r="H254" s="98" t="str">
        <f>IFERROR(__xludf.DUMMYFUNCTION("""COMPUTED_VALUE"""),"Cant Loggin System")</f>
        <v>Cant Loggin System</v>
      </c>
      <c r="I254" s="98" t="str">
        <f>IFERROR(__xludf.DUMMYFUNCTION("""COMPUTED_VALUE"""),"Pilimathlawa")</f>
        <v>Pilimathlawa</v>
      </c>
      <c r="J254" s="98" t="str">
        <f>IFERROR(__xludf.DUMMYFUNCTION("""COMPUTED_VALUE"""),"Returned To Branch Rescheduled")</f>
        <v>Returned To Branch Rescheduled</v>
      </c>
      <c r="K254" s="98" t="str">
        <f>IFERROR(__xludf.DUMMYFUNCTION("""COMPUTED_VALUE"""),"Sales")</f>
        <v>Sales</v>
      </c>
      <c r="L254" s="98" t="str">
        <f>IFERROR(__xludf.DUMMYFUNCTION("""COMPUTED_VALUE"""),"Given Details")</f>
        <v>Given Details</v>
      </c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>
      <c r="A255" s="82"/>
      <c r="B255" s="106" t="str">
        <f>IFERROR(__xludf.DUMMYFUNCTION("""COMPUTED_VALUE"""),"211")</f>
        <v>211</v>
      </c>
      <c r="C255" s="106" t="str">
        <f>IFERROR(__xludf.DUMMYFUNCTION("""COMPUTED_VALUE"""),"Jeni")</f>
        <v>Jeni</v>
      </c>
      <c r="D255" s="106" t="str">
        <f>IFERROR(__xludf.DUMMYFUNCTION("""COMPUTED_VALUE"""),"730313763")</f>
        <v>730313763</v>
      </c>
      <c r="E255" s="106" t="str">
        <f>IFERROR(__xludf.DUMMYFUNCTION("""COMPUTED_VALUE"""),"Y")</f>
        <v>Y</v>
      </c>
      <c r="F255" s="106" t="str">
        <f>IFERROR(__xludf.DUMMYFUNCTION("""COMPUTED_VALUE"""),"72 244 8617")</f>
        <v>72 244 8617</v>
      </c>
      <c r="G255" s="106" t="str">
        <f>IFERROR(__xludf.DUMMYFUNCTION("""COMPUTED_VALUE"""),"BE131495")</f>
        <v>BE131495</v>
      </c>
      <c r="H255" s="106" t="str">
        <f>IFERROR(__xludf.DUMMYFUNCTION("""COMPUTED_VALUE"""),"Asked Some Details")</f>
        <v>Asked Some Details</v>
      </c>
      <c r="I255" s="106" t="str">
        <f>IFERROR(__xludf.DUMMYFUNCTION("""COMPUTED_VALUE"""),"Pilimathlawa")</f>
        <v>Pilimathlawa</v>
      </c>
      <c r="J255" s="106" t="str">
        <f>IFERROR(__xludf.DUMMYFUNCTION("""COMPUTED_VALUE"""),"Returned To Branch Rescheduled")</f>
        <v>Returned To Branch Rescheduled</v>
      </c>
      <c r="K255" s="106" t="str">
        <f>IFERROR(__xludf.DUMMYFUNCTION("""COMPUTED_VALUE"""),"Customer Care")</f>
        <v>Customer Care</v>
      </c>
      <c r="L255" s="106" t="str">
        <f>IFERROR(__xludf.DUMMYFUNCTION("""COMPUTED_VALUE"""),"Given Details")</f>
        <v>Given Details</v>
      </c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>
      <c r="A256" s="82"/>
      <c r="B256" s="98" t="str">
        <f>IFERROR(__xludf.DUMMYFUNCTION("""COMPUTED_VALUE"""),"210")</f>
        <v>210</v>
      </c>
      <c r="C256" s="98" t="str">
        <f>IFERROR(__xludf.DUMMYFUNCTION("""COMPUTED_VALUE"""),"Jeni")</f>
        <v>Jeni</v>
      </c>
      <c r="D256" s="98" t="str">
        <f>IFERROR(__xludf.DUMMYFUNCTION("""COMPUTED_VALUE"""),"776257430")</f>
        <v>776257430</v>
      </c>
      <c r="E256" s="98" t="str">
        <f>IFERROR(__xludf.DUMMYFUNCTION("""COMPUTED_VALUE"""),"Y")</f>
        <v>Y</v>
      </c>
      <c r="F256" s="98" t="str">
        <f>IFERROR(__xludf.DUMMYFUNCTION("""COMPUTED_VALUE"""),"74 008 3702")</f>
        <v>74 008 3702</v>
      </c>
      <c r="G256" s="98" t="str">
        <f>IFERROR(__xludf.DUMMYFUNCTION("""COMPUTED_VALUE"""),"BE131495")</f>
        <v>BE131495</v>
      </c>
      <c r="H256" s="98" t="str">
        <f>IFERROR(__xludf.DUMMYFUNCTION("""COMPUTED_VALUE"""),"Cant Loggin System")</f>
        <v>Cant Loggin System</v>
      </c>
      <c r="I256" s="98" t="str">
        <f>IFERROR(__xludf.DUMMYFUNCTION("""COMPUTED_VALUE"""),"Kegalle")</f>
        <v>Kegalle</v>
      </c>
      <c r="J256" s="98" t="str">
        <f>IFERROR(__xludf.DUMMYFUNCTION("""COMPUTED_VALUE"""),"Out For Delivery")</f>
        <v>Out For Delivery</v>
      </c>
      <c r="K256" s="98" t="str">
        <f>IFERROR(__xludf.DUMMYFUNCTION("""COMPUTED_VALUE"""),"Sales")</f>
        <v>Sales</v>
      </c>
      <c r="L256" s="98" t="str">
        <f>IFERROR(__xludf.DUMMYFUNCTION("""COMPUTED_VALUE"""),"Given Details")</f>
        <v>Given Details</v>
      </c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>
      <c r="A257" s="82"/>
      <c r="B257" s="106" t="str">
        <f>IFERROR(__xludf.DUMMYFUNCTION("""COMPUTED_VALUE"""),"211")</f>
        <v>211</v>
      </c>
      <c r="C257" s="106" t="str">
        <f>IFERROR(__xludf.DUMMYFUNCTION("""COMPUTED_VALUE"""),"Jeni")</f>
        <v>Jeni</v>
      </c>
      <c r="D257" s="106" t="str">
        <f>IFERROR(__xludf.DUMMYFUNCTION("""COMPUTED_VALUE"""),"760146963")</f>
        <v>760146963</v>
      </c>
      <c r="E257" s="106" t="str">
        <f>IFERROR(__xludf.DUMMYFUNCTION("""COMPUTED_VALUE"""),"Y")</f>
        <v>Y</v>
      </c>
      <c r="F257" s="106" t="str">
        <f>IFERROR(__xludf.DUMMYFUNCTION("""COMPUTED_VALUE"""),"72 244 8617")</f>
        <v>72 244 8617</v>
      </c>
      <c r="G257" s="106" t="str">
        <f>IFERROR(__xludf.DUMMYFUNCTION("""COMPUTED_VALUE"""),"BE131495")</f>
        <v>BE131495</v>
      </c>
      <c r="H257" s="106" t="str">
        <f>IFERROR(__xludf.DUMMYFUNCTION("""COMPUTED_VALUE"""),"Asked Some Details")</f>
        <v>Asked Some Details</v>
      </c>
      <c r="I257" s="106" t="str">
        <f>IFERROR(__xludf.DUMMYFUNCTION("""COMPUTED_VALUE"""),"Kegalle")</f>
        <v>Kegalle</v>
      </c>
      <c r="J257" s="106" t="str">
        <f>IFERROR(__xludf.DUMMYFUNCTION("""COMPUTED_VALUE"""),"Out For Delivery")</f>
        <v>Out For Delivery</v>
      </c>
      <c r="K257" s="106" t="str">
        <f>IFERROR(__xludf.DUMMYFUNCTION("""COMPUTED_VALUE"""),"Customer Care")</f>
        <v>Customer Care</v>
      </c>
      <c r="L257" s="106" t="str">
        <f>IFERROR(__xludf.DUMMYFUNCTION("""COMPUTED_VALUE"""),"Given Details")</f>
        <v>Given Details</v>
      </c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>
      <c r="A258" s="82"/>
      <c r="B258" s="98" t="str">
        <f>IFERROR(__xludf.DUMMYFUNCTION("""COMPUTED_VALUE"""),"212")</f>
        <v>212</v>
      </c>
      <c r="C258" s="98" t="str">
        <f>IFERROR(__xludf.DUMMYFUNCTION("""COMPUTED_VALUE"""),"Jeni")</f>
        <v>Jeni</v>
      </c>
      <c r="D258" s="98" t="str">
        <f>IFERROR(__xludf.DUMMYFUNCTION("""COMPUTED_VALUE"""),"795132602")</f>
        <v>795132602</v>
      </c>
      <c r="E258" s="98" t="str">
        <f>IFERROR(__xludf.DUMMYFUNCTION("""COMPUTED_VALUE"""),"N")</f>
        <v>N</v>
      </c>
      <c r="F258" s="98" t="str">
        <f>IFERROR(__xludf.DUMMYFUNCTION("""COMPUTED_VALUE"""),"Nexwin")</f>
        <v>Nexwin</v>
      </c>
      <c r="G258" s="98" t="str">
        <f>IFERROR(__xludf.DUMMYFUNCTION("""COMPUTED_VALUE"""),"BE079034")</f>
        <v>BE079034</v>
      </c>
      <c r="H258" s="98" t="str">
        <f>IFERROR(__xludf.DUMMYFUNCTION("""COMPUTED_VALUE"""),"Re Deliver")</f>
        <v>Re Deliver</v>
      </c>
      <c r="I258" s="98" t="str">
        <f>IFERROR(__xludf.DUMMYFUNCTION("""COMPUTED_VALUE"""),"Pilimathlawa")</f>
        <v>Pilimathlawa</v>
      </c>
      <c r="J258" s="98" t="str">
        <f>IFERROR(__xludf.DUMMYFUNCTION("""COMPUTED_VALUE"""),"Returned To Branch Rescheduled")</f>
        <v>Returned To Branch Rescheduled</v>
      </c>
      <c r="K258" s="98" t="str">
        <f>IFERROR(__xludf.DUMMYFUNCTION("""COMPUTED_VALUE"""),"Ware House - Kurunegala")</f>
        <v>Ware House - Kurunegala</v>
      </c>
      <c r="L258" s="98" t="str">
        <f>IFERROR(__xludf.DUMMYFUNCTION("""COMPUTED_VALUE"""),"Still Hol,D Warehouse")</f>
        <v>Still Hol,D Warehouse</v>
      </c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>
      <c r="A259" s="82"/>
      <c r="B259" s="106" t="str">
        <f>IFERROR(__xludf.DUMMYFUNCTION("""COMPUTED_VALUE"""),"200")</f>
        <v>200</v>
      </c>
      <c r="C259" s="106" t="str">
        <f>IFERROR(__xludf.DUMMYFUNCTION("""COMPUTED_VALUE"""),"Jeni")</f>
        <v>Jeni</v>
      </c>
      <c r="D259" s="106" t="str">
        <f>IFERROR(__xludf.DUMMYFUNCTION("""COMPUTED_VALUE"""),"727039656")</f>
        <v>727039656</v>
      </c>
      <c r="E259" s="106" t="str">
        <f>IFERROR(__xludf.DUMMYFUNCTION("""COMPUTED_VALUE"""),"N")</f>
        <v>N</v>
      </c>
      <c r="F259" s="106" t="str">
        <f>IFERROR(__xludf.DUMMYFUNCTION("""COMPUTED_VALUE"""),"Nexwin")</f>
        <v>Nexwin</v>
      </c>
      <c r="G259" s="106" t="str">
        <f>IFERROR(__xludf.DUMMYFUNCTION("""COMPUTED_VALUE"""),"BE083483")</f>
        <v>BE083483</v>
      </c>
      <c r="H259" s="106" t="str">
        <f>IFERROR(__xludf.DUMMYFUNCTION("""COMPUTED_VALUE"""),"Re Deliver")</f>
        <v>Re Deliver</v>
      </c>
      <c r="I259" s="106" t="str">
        <f>IFERROR(__xludf.DUMMYFUNCTION("""COMPUTED_VALUE"""),"Pilimathlawa")</f>
        <v>Pilimathlawa</v>
      </c>
      <c r="J259" s="106" t="str">
        <f>IFERROR(__xludf.DUMMYFUNCTION("""COMPUTED_VALUE"""),"Returned To Branch Rescheduled")</f>
        <v>Returned To Branch Rescheduled</v>
      </c>
      <c r="K259" s="106" t="str">
        <f>IFERROR(__xludf.DUMMYFUNCTION("""COMPUTED_VALUE"""),"Return")</f>
        <v>Return</v>
      </c>
      <c r="L259" s="106" t="str">
        <f>IFERROR(__xludf.DUMMYFUNCTION("""COMPUTED_VALUE"""),"Return Item")</f>
        <v>Return Item</v>
      </c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>
      <c r="A260" s="82"/>
      <c r="B260" s="98" t="str">
        <f>IFERROR(__xludf.DUMMYFUNCTION("""COMPUTED_VALUE"""),"200")</f>
        <v>200</v>
      </c>
      <c r="C260" s="98" t="str">
        <f>IFERROR(__xludf.DUMMYFUNCTION("""COMPUTED_VALUE"""),"Jeni")</f>
        <v>Jeni</v>
      </c>
      <c r="D260" s="98" t="str">
        <f>IFERROR(__xludf.DUMMYFUNCTION("""COMPUTED_VALUE"""),"718666046")</f>
        <v>718666046</v>
      </c>
      <c r="E260" s="98" t="str">
        <f>IFERROR(__xludf.DUMMYFUNCTION("""COMPUTED_VALUE"""),"Y")</f>
        <v>Y</v>
      </c>
      <c r="F260" s="98" t="str">
        <f>IFERROR(__xludf.DUMMYFUNCTION("""COMPUTED_VALUE"""),"Faith Store")</f>
        <v>Faith Store</v>
      </c>
      <c r="G260" s="98" t="str">
        <f>IFERROR(__xludf.DUMMYFUNCTION("""COMPUTED_VALUE"""),"A4431681")</f>
        <v>A4431681</v>
      </c>
      <c r="H260" s="98" t="str">
        <f>IFERROR(__xludf.DUMMYFUNCTION("""COMPUTED_VALUE"""),"Re Deliver")</f>
        <v>Re Deliver</v>
      </c>
      <c r="I260" s="98" t="str">
        <f>IFERROR(__xludf.DUMMYFUNCTION("""COMPUTED_VALUE"""),"Pilimathlawa")</f>
        <v>Pilimathlawa</v>
      </c>
      <c r="J260" s="98" t="str">
        <f>IFERROR(__xludf.DUMMYFUNCTION("""COMPUTED_VALUE"""),"Returned To Client")</f>
        <v>Returned To Client</v>
      </c>
      <c r="K260" s="98" t="str">
        <f>IFERROR(__xludf.DUMMYFUNCTION("""COMPUTED_VALUE"""),"Return")</f>
        <v>Return</v>
      </c>
      <c r="L260" s="98" t="str">
        <f>IFERROR(__xludf.DUMMYFUNCTION("""COMPUTED_VALUE"""),"Return Item")</f>
        <v>Return Item</v>
      </c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>
      <c r="A261" s="82"/>
      <c r="B261" s="106" t="str">
        <f>IFERROR(__xludf.DUMMYFUNCTION("""COMPUTED_VALUE"""),"200")</f>
        <v>200</v>
      </c>
      <c r="C261" s="106" t="str">
        <f>IFERROR(__xludf.DUMMYFUNCTION("""COMPUTED_VALUE"""),"Jeni")</f>
        <v>Jeni</v>
      </c>
      <c r="D261" s="106" t="str">
        <f>IFERROR(__xludf.DUMMYFUNCTION("""COMPUTED_VALUE"""),"747036777")</f>
        <v>747036777</v>
      </c>
      <c r="E261" s="106" t="str">
        <f>IFERROR(__xludf.DUMMYFUNCTION("""COMPUTED_VALUE"""),"Y")</f>
        <v>Y</v>
      </c>
      <c r="F261" s="106" t="str">
        <f>IFERROR(__xludf.DUMMYFUNCTION("""COMPUTED_VALUE"""),"Faith Store")</f>
        <v>Faith Store</v>
      </c>
      <c r="G261" s="106" t="str">
        <f>IFERROR(__xludf.DUMMYFUNCTION("""COMPUTED_VALUE"""),"A4432282")</f>
        <v>A4432282</v>
      </c>
      <c r="H261" s="106" t="str">
        <f>IFERROR(__xludf.DUMMYFUNCTION("""COMPUTED_VALUE"""),"Re Deliver")</f>
        <v>Re Deliver</v>
      </c>
      <c r="I261" s="106" t="str">
        <f>IFERROR(__xludf.DUMMYFUNCTION("""COMPUTED_VALUE"""),"Ratmalana")</f>
        <v>Ratmalana</v>
      </c>
      <c r="J261" s="106" t="str">
        <f>IFERROR(__xludf.DUMMYFUNCTION("""COMPUTED_VALUE"""),"Out For Delivery")</f>
        <v>Out For Delivery</v>
      </c>
      <c r="K261" s="106" t="str">
        <f>IFERROR(__xludf.DUMMYFUNCTION("""COMPUTED_VALUE"""),"Recovery")</f>
        <v>Recovery</v>
      </c>
      <c r="L261" s="106" t="str">
        <f>IFERROR(__xludf.DUMMYFUNCTION("""COMPUTED_VALUE"""),"Already Returned Order")</f>
        <v>Already Returned Order</v>
      </c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>
      <c r="A262" s="82"/>
      <c r="B262" s="98" t="str">
        <f>IFERROR(__xludf.DUMMYFUNCTION("""COMPUTED_VALUE"""),"200")</f>
        <v>200</v>
      </c>
      <c r="C262" s="98" t="str">
        <f>IFERROR(__xludf.DUMMYFUNCTION("""COMPUTED_VALUE"""),"Jeni")</f>
        <v>Jeni</v>
      </c>
      <c r="D262" s="98" t="str">
        <f>IFERROR(__xludf.DUMMYFUNCTION("""COMPUTED_VALUE"""),"795456062")</f>
        <v>795456062</v>
      </c>
      <c r="E262" s="98" t="str">
        <f>IFERROR(__xludf.DUMMYFUNCTION("""COMPUTED_VALUE"""),"Y")</f>
        <v>Y</v>
      </c>
      <c r="F262" s="98" t="str">
        <f>IFERROR(__xludf.DUMMYFUNCTION("""COMPUTED_VALUE"""),"Faith Store")</f>
        <v>Faith Store</v>
      </c>
      <c r="G262" s="98" t="str">
        <f>IFERROR(__xludf.DUMMYFUNCTION("""COMPUTED_VALUE"""),"A4432175")</f>
        <v>A4432175</v>
      </c>
      <c r="H262" s="98" t="str">
        <f>IFERROR(__xludf.DUMMYFUNCTION("""COMPUTED_VALUE"""),"Re Deliver")</f>
        <v>Re Deliver</v>
      </c>
      <c r="I262" s="98" t="str">
        <f>IFERROR(__xludf.DUMMYFUNCTION("""COMPUTED_VALUE"""),"Ratmalana")</f>
        <v>Ratmalana</v>
      </c>
      <c r="J262" s="98" t="str">
        <f>IFERROR(__xludf.DUMMYFUNCTION("""COMPUTED_VALUE"""),"Returned To Client")</f>
        <v>Returned To Client</v>
      </c>
      <c r="K262" s="98" t="str">
        <f>IFERROR(__xludf.DUMMYFUNCTION("""COMPUTED_VALUE"""),"Return")</f>
        <v>Return</v>
      </c>
      <c r="L262" s="98" t="str">
        <f>IFERROR(__xludf.DUMMYFUNCTION("""COMPUTED_VALUE"""),"Return Item")</f>
        <v>Return Item</v>
      </c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>
      <c r="A263" s="82"/>
      <c r="B263" s="106" t="str">
        <f>IFERROR(__xludf.DUMMYFUNCTION("""COMPUTED_VALUE"""),"200")</f>
        <v>200</v>
      </c>
      <c r="C263" s="106" t="str">
        <f>IFERROR(__xludf.DUMMYFUNCTION("""COMPUTED_VALUE"""),"Jeni")</f>
        <v>Jeni</v>
      </c>
      <c r="D263" s="106" t="str">
        <f>IFERROR(__xludf.DUMMYFUNCTION("""COMPUTED_VALUE"""),"739231840")</f>
        <v>739231840</v>
      </c>
      <c r="E263" s="106" t="str">
        <f>IFERROR(__xludf.DUMMYFUNCTION("""COMPUTED_VALUE"""),"Y")</f>
        <v>Y</v>
      </c>
      <c r="F263" s="106" t="str">
        <f>IFERROR(__xludf.DUMMYFUNCTION("""COMPUTED_VALUE"""),"Faith Store")</f>
        <v>Faith Store</v>
      </c>
      <c r="G263" s="106" t="str">
        <f>IFERROR(__xludf.DUMMYFUNCTION("""COMPUTED_VALUE"""),"A4431757")</f>
        <v>A4431757</v>
      </c>
      <c r="H263" s="106" t="str">
        <f>IFERROR(__xludf.DUMMYFUNCTION("""COMPUTED_VALUE"""),"Order Status")</f>
        <v>Order Status</v>
      </c>
      <c r="I263" s="106" t="str">
        <f>IFERROR(__xludf.DUMMYFUNCTION("""COMPUTED_VALUE"""),"Ratmalana")</f>
        <v>Ratmalana</v>
      </c>
      <c r="J263" s="106" t="str">
        <f>IFERROR(__xludf.DUMMYFUNCTION("""COMPUTED_VALUE"""),"Delivered")</f>
        <v>Delivered</v>
      </c>
      <c r="K263" s="106" t="str">
        <f>IFERROR(__xludf.DUMMYFUNCTION("""COMPUTED_VALUE"""),"Customer Care")</f>
        <v>Customer Care</v>
      </c>
      <c r="L263" s="106" t="str">
        <f>IFERROR(__xludf.DUMMYFUNCTION("""COMPUTED_VALUE"""),"Delivered")</f>
        <v>Delivered</v>
      </c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>
      <c r="A264" s="82"/>
      <c r="B264" s="98" t="str">
        <f>IFERROR(__xludf.DUMMYFUNCTION("""COMPUTED_VALUE"""),"201")</f>
        <v>201</v>
      </c>
      <c r="C264" s="98" t="str">
        <f>IFERROR(__xludf.DUMMYFUNCTION("""COMPUTED_VALUE"""),"Jeni")</f>
        <v>Jeni</v>
      </c>
      <c r="D264" s="98" t="str">
        <f>IFERROR(__xludf.DUMMYFUNCTION("""COMPUTED_VALUE"""),"729079856")</f>
        <v>729079856</v>
      </c>
      <c r="E264" s="98" t="str">
        <f>IFERROR(__xludf.DUMMYFUNCTION("""COMPUTED_VALUE"""),"Y")</f>
        <v>Y</v>
      </c>
      <c r="F264" s="98" t="str">
        <f>IFERROR(__xludf.DUMMYFUNCTION("""COMPUTED_VALUE"""),"Faith Store")</f>
        <v>Faith Store</v>
      </c>
      <c r="G264" s="98" t="str">
        <f>IFERROR(__xludf.DUMMYFUNCTION("""COMPUTED_VALUE"""),"A1106394")</f>
        <v>A1106394</v>
      </c>
      <c r="H264" s="98" t="str">
        <f>IFERROR(__xludf.DUMMYFUNCTION("""COMPUTED_VALUE"""),"Re Deliver")</f>
        <v>Re Deliver</v>
      </c>
      <c r="I264" s="98" t="str">
        <f>IFERROR(__xludf.DUMMYFUNCTION("""COMPUTED_VALUE"""),"Ratmalana")</f>
        <v>Ratmalana</v>
      </c>
      <c r="J264" s="98" t="str">
        <f>IFERROR(__xludf.DUMMYFUNCTION("""COMPUTED_VALUE"""),"Delivered")</f>
        <v>Delivered</v>
      </c>
      <c r="K264" s="98" t="str">
        <f>IFERROR(__xludf.DUMMYFUNCTION("""COMPUTED_VALUE"""),"Customer Care")</f>
        <v>Customer Care</v>
      </c>
      <c r="L264" s="98" t="str">
        <f>IFERROR(__xludf.DUMMYFUNCTION("""COMPUTED_VALUE"""),"Done")</f>
        <v>Done</v>
      </c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>
      <c r="A265" s="82"/>
      <c r="B265" s="106" t="str">
        <f>IFERROR(__xludf.DUMMYFUNCTION("""COMPUTED_VALUE"""),"219")</f>
        <v>219</v>
      </c>
      <c r="C265" s="106" t="str">
        <f>IFERROR(__xludf.DUMMYFUNCTION("""COMPUTED_VALUE"""),"Jeni")</f>
        <v>Jeni</v>
      </c>
      <c r="D265" s="106" t="str">
        <f>IFERROR(__xludf.DUMMYFUNCTION("""COMPUTED_VALUE"""),"738314941")</f>
        <v>738314941</v>
      </c>
      <c r="E265" s="106" t="str">
        <f>IFERROR(__xludf.DUMMYFUNCTION("""COMPUTED_VALUE"""),"Y")</f>
        <v>Y</v>
      </c>
      <c r="F265" s="106" t="str">
        <f>IFERROR(__xludf.DUMMYFUNCTION("""COMPUTED_VALUE"""),"Ceyshopz")</f>
        <v>Ceyshopz</v>
      </c>
      <c r="G265" s="106" t="str">
        <f>IFERROR(__xludf.DUMMYFUNCTION("""COMPUTED_VALUE"""),"BE054464")</f>
        <v>BE054464</v>
      </c>
      <c r="H265" s="106" t="str">
        <f>IFERROR(__xludf.DUMMYFUNCTION("""COMPUTED_VALUE"""),"Re Deliver")</f>
        <v>Re Deliver</v>
      </c>
      <c r="I265" s="106" t="str">
        <f>IFERROR(__xludf.DUMMYFUNCTION("""COMPUTED_VALUE"""),"Ratmalana")</f>
        <v>Ratmalana</v>
      </c>
      <c r="J265" s="106" t="str">
        <f>IFERROR(__xludf.DUMMYFUNCTION("""COMPUTED_VALUE"""),"Out For Delivery")</f>
        <v>Out For Delivery</v>
      </c>
      <c r="K265" s="106" t="str">
        <f>IFERROR(__xludf.DUMMYFUNCTION("""COMPUTED_VALUE"""),"Customer Care")</f>
        <v>Customer Care</v>
      </c>
      <c r="L265" s="106" t="str">
        <f>IFERROR(__xludf.DUMMYFUNCTION("""COMPUTED_VALUE"""),"Done")</f>
        <v>Done</v>
      </c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>
      <c r="A266" s="82"/>
      <c r="B266" s="98" t="str">
        <f>IFERROR(__xludf.DUMMYFUNCTION("""COMPUTED_VALUE"""),"220")</f>
        <v>220</v>
      </c>
      <c r="C266" s="98" t="str">
        <f>IFERROR(__xludf.DUMMYFUNCTION("""COMPUTED_VALUE"""),"Jeni")</f>
        <v>Jeni</v>
      </c>
      <c r="D266" s="98" t="str">
        <f>IFERROR(__xludf.DUMMYFUNCTION("""COMPUTED_VALUE"""),"797227685")</f>
        <v>797227685</v>
      </c>
      <c r="E266" s="98" t="str">
        <f>IFERROR(__xludf.DUMMYFUNCTION("""COMPUTED_VALUE"""),"Y")</f>
        <v>Y</v>
      </c>
      <c r="F266" s="98" t="str">
        <f>IFERROR(__xludf.DUMMYFUNCTION("""COMPUTED_VALUE"""),"70 254 2717")</f>
        <v>70 254 2717</v>
      </c>
      <c r="G266" s="98" t="str">
        <f>IFERROR(__xludf.DUMMYFUNCTION("""COMPUTED_VALUE"""),"BE054464")</f>
        <v>BE054464</v>
      </c>
      <c r="H266" s="98" t="str">
        <f>IFERROR(__xludf.DUMMYFUNCTION("""COMPUTED_VALUE"""),"How Arrange Refudn For Damage Item ?")</f>
        <v>How Arrange Refudn For Damage Item ?</v>
      </c>
      <c r="I266" s="98" t="str">
        <f>IFERROR(__xludf.DUMMYFUNCTION("""COMPUTED_VALUE"""),"Ratmalana")</f>
        <v>Ratmalana</v>
      </c>
      <c r="J266" s="98" t="str">
        <f>IFERROR(__xludf.DUMMYFUNCTION("""COMPUTED_VALUE"""),"Returned To Client")</f>
        <v>Returned To Client</v>
      </c>
      <c r="K266" s="98" t="str">
        <f>IFERROR(__xludf.DUMMYFUNCTION("""COMPUTED_VALUE"""),"Return")</f>
        <v>Return</v>
      </c>
      <c r="L266" s="98" t="str">
        <f>IFERROR(__xludf.DUMMYFUNCTION("""COMPUTED_VALUE"""),"Given Details")</f>
        <v>Given Details</v>
      </c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>
      <c r="A267" s="82"/>
      <c r="B267" s="106" t="str">
        <f>IFERROR(__xludf.DUMMYFUNCTION("""COMPUTED_VALUE"""),"230")</f>
        <v>230</v>
      </c>
      <c r="C267" s="106" t="str">
        <f>IFERROR(__xludf.DUMMYFUNCTION("""COMPUTED_VALUE"""),"Jeni")</f>
        <v>Jeni</v>
      </c>
      <c r="D267" s="106" t="str">
        <f>IFERROR(__xludf.DUMMYFUNCTION("""COMPUTED_VALUE"""),"751718485")</f>
        <v>751718485</v>
      </c>
      <c r="E267" s="106" t="str">
        <f>IFERROR(__xludf.DUMMYFUNCTION("""COMPUTED_VALUE"""),"N")</f>
        <v>N</v>
      </c>
      <c r="F267" s="106" t="str">
        <f>IFERROR(__xludf.DUMMYFUNCTION("""COMPUTED_VALUE"""),"Nexwin")</f>
        <v>Nexwin</v>
      </c>
      <c r="G267" s="106" t="str">
        <f>IFERROR(__xludf.DUMMYFUNCTION("""COMPUTED_VALUE"""),"BE081708")</f>
        <v>BE081708</v>
      </c>
      <c r="H267" s="106" t="str">
        <f>IFERROR(__xludf.DUMMYFUNCTION("""COMPUTED_VALUE"""),"Re Deliver")</f>
        <v>Re Deliver</v>
      </c>
      <c r="I267" s="106" t="str">
        <f>IFERROR(__xludf.DUMMYFUNCTION("""COMPUTED_VALUE"""),"Pilimathlawa")</f>
        <v>Pilimathlawa</v>
      </c>
      <c r="J267" s="106" t="str">
        <f>IFERROR(__xludf.DUMMYFUNCTION("""COMPUTED_VALUE"""),"Returned To Branch Rescheduled")</f>
        <v>Returned To Branch Rescheduled</v>
      </c>
      <c r="K267" s="106" t="str">
        <f>IFERROR(__xludf.DUMMYFUNCTION("""COMPUTED_VALUE"""),"Customer Care")</f>
        <v>Customer Care</v>
      </c>
      <c r="L267" s="106" t="str">
        <f>IFERROR(__xludf.DUMMYFUNCTION("""COMPUTED_VALUE"""),"Done")</f>
        <v>Done</v>
      </c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>
      <c r="A268" s="82"/>
      <c r="B268" s="98" t="str">
        <f>IFERROR(__xludf.DUMMYFUNCTION("""COMPUTED_VALUE"""),"206")</f>
        <v>206</v>
      </c>
      <c r="C268" s="98" t="str">
        <f>IFERROR(__xludf.DUMMYFUNCTION("""COMPUTED_VALUE"""),"Jeni")</f>
        <v>Jeni</v>
      </c>
      <c r="D268" s="98" t="str">
        <f>IFERROR(__xludf.DUMMYFUNCTION("""COMPUTED_VALUE"""),"733142702")</f>
        <v>733142702</v>
      </c>
      <c r="E268" s="98" t="str">
        <f>IFERROR(__xludf.DUMMYFUNCTION("""COMPUTED_VALUE"""),"N")</f>
        <v>N</v>
      </c>
      <c r="F268" s="98" t="str">
        <f>IFERROR(__xludf.DUMMYFUNCTION("""COMPUTED_VALUE"""),"Kw Holdings")</f>
        <v>Kw Holdings</v>
      </c>
      <c r="G268" s="98" t="str">
        <f>IFERROR(__xludf.DUMMYFUNCTION("""COMPUTED_VALUE"""),"BE129344")</f>
        <v>BE129344</v>
      </c>
      <c r="H268" s="98" t="str">
        <f>IFERROR(__xludf.DUMMYFUNCTION("""COMPUTED_VALUE"""),"Customer Want Return The Package")</f>
        <v>Customer Want Return The Package</v>
      </c>
      <c r="I268" s="98" t="str">
        <f>IFERROR(__xludf.DUMMYFUNCTION("""COMPUTED_VALUE"""),"Colombo Metro")</f>
        <v>Colombo Metro</v>
      </c>
      <c r="J268" s="98" t="str">
        <f>IFERROR(__xludf.DUMMYFUNCTION("""COMPUTED_VALUE"""),"Out For Delivery")</f>
        <v>Out For Delivery</v>
      </c>
      <c r="K268" s="98" t="str">
        <f>IFERROR(__xludf.DUMMYFUNCTION("""COMPUTED_VALUE"""),"Branch Operations")</f>
        <v>Branch Operations</v>
      </c>
      <c r="L268" s="98" t="str">
        <f>IFERROR(__xludf.DUMMYFUNCTION("""COMPUTED_VALUE"""),"Informed Branch Number Via A Whatsapp")</f>
        <v>Informed Branch Number Via A Whatsapp</v>
      </c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>
      <c r="A269" s="82"/>
      <c r="B269" s="106" t="str">
        <f>IFERROR(__xludf.DUMMYFUNCTION("""COMPUTED_VALUE"""),"230")</f>
        <v>230</v>
      </c>
      <c r="C269" s="106" t="str">
        <f>IFERROR(__xludf.DUMMYFUNCTION("""COMPUTED_VALUE"""),"Jeni")</f>
        <v>Jeni</v>
      </c>
      <c r="D269" s="106" t="str">
        <f>IFERROR(__xludf.DUMMYFUNCTION("""COMPUTED_VALUE"""),"745834459")</f>
        <v>745834459</v>
      </c>
      <c r="E269" s="106" t="str">
        <f>IFERROR(__xludf.DUMMYFUNCTION("""COMPUTED_VALUE"""),"N")</f>
        <v>N</v>
      </c>
      <c r="F269" s="106" t="str">
        <f>IFERROR(__xludf.DUMMYFUNCTION("""COMPUTED_VALUE"""),"Kw Holdings")</f>
        <v>Kw Holdings</v>
      </c>
      <c r="G269" s="106" t="str">
        <f>IFERROR(__xludf.DUMMYFUNCTION("""COMPUTED_VALUE"""),"A4170424")</f>
        <v>A4170424</v>
      </c>
      <c r="H269" s="106" t="str">
        <f>IFERROR(__xludf.DUMMYFUNCTION("""COMPUTED_VALUE"""),"Re Deliver")</f>
        <v>Re Deliver</v>
      </c>
      <c r="I269" s="106" t="str">
        <f>IFERROR(__xludf.DUMMYFUNCTION("""COMPUTED_VALUE"""),"Kurunegala")</f>
        <v>Kurunegala</v>
      </c>
      <c r="J269" s="106" t="str">
        <f>IFERROR(__xludf.DUMMYFUNCTION("""COMPUTED_VALUE"""),"Received At Destination")</f>
        <v>Received At Destination</v>
      </c>
      <c r="K269" s="106" t="str">
        <f>IFERROR(__xludf.DUMMYFUNCTION("""COMPUTED_VALUE"""),"Customer Care")</f>
        <v>Customer Care</v>
      </c>
      <c r="L269" s="106" t="str">
        <f>IFERROR(__xludf.DUMMYFUNCTION("""COMPUTED_VALUE"""),"Done")</f>
        <v>Done</v>
      </c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>
      <c r="A270" s="82"/>
      <c r="B270" s="98" t="str">
        <f>IFERROR(__xludf.DUMMYFUNCTION("""COMPUTED_VALUE"""),"230")</f>
        <v>230</v>
      </c>
      <c r="C270" s="98" t="str">
        <f>IFERROR(__xludf.DUMMYFUNCTION("""COMPUTED_VALUE"""),"Jeni")</f>
        <v>Jeni</v>
      </c>
      <c r="D270" s="98" t="str">
        <f>IFERROR(__xludf.DUMMYFUNCTION("""COMPUTED_VALUE"""),"742108808")</f>
        <v>742108808</v>
      </c>
      <c r="E270" s="98" t="str">
        <f>IFERROR(__xludf.DUMMYFUNCTION("""COMPUTED_VALUE"""),"Y")</f>
        <v>Y</v>
      </c>
      <c r="F270" s="98" t="str">
        <f>IFERROR(__xludf.DUMMYFUNCTION("""COMPUTED_VALUE"""),"Dolly'Fashion")</f>
        <v>Dolly'Fashion</v>
      </c>
      <c r="G270" s="98" t="str">
        <f>IFERROR(__xludf.DUMMYFUNCTION("""COMPUTED_VALUE"""),"BE067050")</f>
        <v>BE067050</v>
      </c>
      <c r="H270" s="98" t="str">
        <f>IFERROR(__xludf.DUMMYFUNCTION("""COMPUTED_VALUE"""),"Re Deliver")</f>
        <v>Re Deliver</v>
      </c>
      <c r="I270" s="98" t="str">
        <f>IFERROR(__xludf.DUMMYFUNCTION("""COMPUTED_VALUE"""),"Thalawathugoda")</f>
        <v>Thalawathugoda</v>
      </c>
      <c r="J270" s="98" t="str">
        <f>IFERROR(__xludf.DUMMYFUNCTION("""COMPUTED_VALUE"""),"Received At Destination")</f>
        <v>Received At Destination</v>
      </c>
      <c r="K270" s="98" t="str">
        <f>IFERROR(__xludf.DUMMYFUNCTION("""COMPUTED_VALUE"""),"Customer Care")</f>
        <v>Customer Care</v>
      </c>
      <c r="L270" s="98" t="str">
        <f>IFERROR(__xludf.DUMMYFUNCTION("""COMPUTED_VALUE"""),"Done")</f>
        <v>Done</v>
      </c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>
      <c r="A271" s="82"/>
      <c r="B271" s="106" t="str">
        <f>IFERROR(__xludf.DUMMYFUNCTION("""COMPUTED_VALUE"""),"209")</f>
        <v>209</v>
      </c>
      <c r="C271" s="106" t="str">
        <f>IFERROR(__xludf.DUMMYFUNCTION("""COMPUTED_VALUE"""),"Jeni")</f>
        <v>Jeni</v>
      </c>
      <c r="D271" s="106" t="str">
        <f>IFERROR(__xludf.DUMMYFUNCTION("""COMPUTED_VALUE"""),"769520125")</f>
        <v>769520125</v>
      </c>
      <c r="E271" s="106" t="str">
        <f>IFERROR(__xludf.DUMMYFUNCTION("""COMPUTED_VALUE"""),"Y")</f>
        <v>Y</v>
      </c>
      <c r="F271" s="106" t="str">
        <f>IFERROR(__xludf.DUMMYFUNCTION("""COMPUTED_VALUE"""),"Herb Essence V2")</f>
        <v>Herb Essence V2</v>
      </c>
      <c r="G271" s="106" t="str">
        <f>IFERROR(__xludf.DUMMYFUNCTION("""COMPUTED_VALUE"""),"BE131495")</f>
        <v>BE131495</v>
      </c>
      <c r="H271" s="106" t="str">
        <f>IFERROR(__xludf.DUMMYFUNCTION("""COMPUTED_VALUE"""),"Customer Receivede Empty Package")</f>
        <v>Customer Receivede Empty Package</v>
      </c>
      <c r="I271" s="106" t="str">
        <f>IFERROR(__xludf.DUMMYFUNCTION("""COMPUTED_VALUE"""),"Kegalle")</f>
        <v>Kegalle</v>
      </c>
      <c r="J271" s="106" t="str">
        <f>IFERROR(__xludf.DUMMYFUNCTION("""COMPUTED_VALUE"""),"Out For Delivery")</f>
        <v>Out For Delivery</v>
      </c>
      <c r="K271" s="106" t="str">
        <f>IFERROR(__xludf.DUMMYFUNCTION("""COMPUTED_VALUE"""),"Key Accounts")</f>
        <v>Key Accounts</v>
      </c>
      <c r="L271" s="106" t="str">
        <f>IFERROR(__xludf.DUMMYFUNCTION("""COMPUTED_VALUE"""),"Informed Key Acc Safna")</f>
        <v>Informed Key Acc Safna</v>
      </c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>
      <c r="A272" s="82"/>
      <c r="B272" s="98" t="str">
        <f>IFERROR(__xludf.DUMMYFUNCTION("""COMPUTED_VALUE"""),"230")</f>
        <v>230</v>
      </c>
      <c r="C272" s="98" t="str">
        <f>IFERROR(__xludf.DUMMYFUNCTION("""COMPUTED_VALUE"""),"Jeni")</f>
        <v>Jeni</v>
      </c>
      <c r="D272" s="98" t="str">
        <f>IFERROR(__xludf.DUMMYFUNCTION("""COMPUTED_VALUE"""),"700976351")</f>
        <v>700976351</v>
      </c>
      <c r="E272" s="98" t="str">
        <f>IFERROR(__xludf.DUMMYFUNCTION("""COMPUTED_VALUE"""),"Y")</f>
        <v>Y</v>
      </c>
      <c r="F272" s="98" t="str">
        <f>IFERROR(__xludf.DUMMYFUNCTION("""COMPUTED_VALUE"""),"2202 Active")</f>
        <v>2202 Active</v>
      </c>
      <c r="G272" s="98" t="str">
        <f>IFERROR(__xludf.DUMMYFUNCTION("""COMPUTED_VALUE"""),"BE079034")</f>
        <v>BE079034</v>
      </c>
      <c r="H272" s="98" t="str">
        <f>IFERROR(__xludf.DUMMYFUNCTION("""COMPUTED_VALUE"""),"Re Deliver")</f>
        <v>Re Deliver</v>
      </c>
      <c r="I272" s="98" t="str">
        <f>IFERROR(__xludf.DUMMYFUNCTION("""COMPUTED_VALUE"""),"Kadawatha")</f>
        <v>Kadawatha</v>
      </c>
      <c r="J272" s="98" t="str">
        <f>IFERROR(__xludf.DUMMYFUNCTION("""COMPUTED_VALUE"""),"Processing")</f>
        <v>Processing</v>
      </c>
      <c r="K272" s="98" t="str">
        <f>IFERROR(__xludf.DUMMYFUNCTION("""COMPUTED_VALUE"""),"Customer Care")</f>
        <v>Customer Care</v>
      </c>
      <c r="L272" s="98" t="str">
        <f>IFERROR(__xludf.DUMMYFUNCTION("""COMPUTED_VALUE"""),"Done")</f>
        <v>Done</v>
      </c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>
      <c r="A273" s="82"/>
      <c r="B273" s="106" t="str">
        <f>IFERROR(__xludf.DUMMYFUNCTION("""COMPUTED_VALUE"""),"230")</f>
        <v>230</v>
      </c>
      <c r="C273" s="106" t="str">
        <f>IFERROR(__xludf.DUMMYFUNCTION("""COMPUTED_VALUE"""),"Jeni")</f>
        <v>Jeni</v>
      </c>
      <c r="D273" s="106" t="str">
        <f>IFERROR(__xludf.DUMMYFUNCTION("""COMPUTED_VALUE"""),"757893352")</f>
        <v>757893352</v>
      </c>
      <c r="E273" s="106" t="str">
        <f>IFERROR(__xludf.DUMMYFUNCTION("""COMPUTED_VALUE"""),"Y")</f>
        <v>Y</v>
      </c>
      <c r="F273" s="106" t="str">
        <f>IFERROR(__xludf.DUMMYFUNCTION("""COMPUTED_VALUE"""),"2202 Active")</f>
        <v>2202 Active</v>
      </c>
      <c r="G273" s="106" t="str">
        <f>IFERROR(__xludf.DUMMYFUNCTION("""COMPUTED_VALUE"""),"BE083483")</f>
        <v>BE083483</v>
      </c>
      <c r="H273" s="106" t="str">
        <f>IFERROR(__xludf.DUMMYFUNCTION("""COMPUTED_VALUE"""),"Re Deliver")</f>
        <v>Re Deliver</v>
      </c>
      <c r="I273" s="106" t="str">
        <f>IFERROR(__xludf.DUMMYFUNCTION("""COMPUTED_VALUE"""),"Kadawatha")</f>
        <v>Kadawatha</v>
      </c>
      <c r="J273" s="106" t="str">
        <f>IFERROR(__xludf.DUMMYFUNCTION("""COMPUTED_VALUE"""),"Processing")</f>
        <v>Processing</v>
      </c>
      <c r="K273" s="106" t="str">
        <f>IFERROR(__xludf.DUMMYFUNCTION("""COMPUTED_VALUE"""),"Customer Care")</f>
        <v>Customer Care</v>
      </c>
      <c r="L273" s="106" t="str">
        <f>IFERROR(__xludf.DUMMYFUNCTION("""COMPUTED_VALUE"""),"Done")</f>
        <v>Done</v>
      </c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>
      <c r="A274" s="82"/>
      <c r="B274" s="98" t="str">
        <f>IFERROR(__xludf.DUMMYFUNCTION("""COMPUTED_VALUE"""),"230")</f>
        <v>230</v>
      </c>
      <c r="C274" s="98" t="str">
        <f>IFERROR(__xludf.DUMMYFUNCTION("""COMPUTED_VALUE"""),"Jeni")</f>
        <v>Jeni</v>
      </c>
      <c r="D274" s="98" t="str">
        <f>IFERROR(__xludf.DUMMYFUNCTION("""COMPUTED_VALUE"""),"788920442")</f>
        <v>788920442</v>
      </c>
      <c r="E274" s="98" t="str">
        <f>IFERROR(__xludf.DUMMYFUNCTION("""COMPUTED_VALUE"""),"Y")</f>
        <v>Y</v>
      </c>
      <c r="F274" s="98" t="str">
        <f>IFERROR(__xludf.DUMMYFUNCTION("""COMPUTED_VALUE"""),"2202 Active")</f>
        <v>2202 Active</v>
      </c>
      <c r="G274" s="98" t="str">
        <f>IFERROR(__xludf.DUMMYFUNCTION("""COMPUTED_VALUE"""),"BA767712")</f>
        <v>BA767712</v>
      </c>
      <c r="H274" s="98" t="str">
        <f>IFERROR(__xludf.DUMMYFUNCTION("""COMPUTED_VALUE"""),"Re Deliver")</f>
        <v>Re Deliver</v>
      </c>
      <c r="I274" s="98" t="str">
        <f>IFERROR(__xludf.DUMMYFUNCTION("""COMPUTED_VALUE"""),"Ratnapura")</f>
        <v>Ratnapura</v>
      </c>
      <c r="J274" s="98" t="str">
        <f>IFERROR(__xludf.DUMMYFUNCTION("""COMPUTED_VALUE"""),"Out For Delivery")</f>
        <v>Out For Delivery</v>
      </c>
      <c r="K274" s="98" t="str">
        <f>IFERROR(__xludf.DUMMYFUNCTION("""COMPUTED_VALUE"""),"Customer Care")</f>
        <v>Customer Care</v>
      </c>
      <c r="L274" s="98" t="str">
        <f>IFERROR(__xludf.DUMMYFUNCTION("""COMPUTED_VALUE"""),"Done")</f>
        <v>Done</v>
      </c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>
      <c r="A275" s="82"/>
      <c r="B275" s="106" t="str">
        <f>IFERROR(__xludf.DUMMYFUNCTION("""COMPUTED_VALUE"""),"213")</f>
        <v>213</v>
      </c>
      <c r="C275" s="106" t="str">
        <f>IFERROR(__xludf.DUMMYFUNCTION("""COMPUTED_VALUE"""),"Jeni")</f>
        <v>Jeni</v>
      </c>
      <c r="D275" s="106" t="str">
        <f>IFERROR(__xludf.DUMMYFUNCTION("""COMPUTED_VALUE"""),"705342003")</f>
        <v>705342003</v>
      </c>
      <c r="E275" s="106" t="str">
        <f>IFERROR(__xludf.DUMMYFUNCTION("""COMPUTED_VALUE"""),"Y")</f>
        <v>Y</v>
      </c>
      <c r="F275" s="106" t="str">
        <f>IFERROR(__xludf.DUMMYFUNCTION("""COMPUTED_VALUE"""),"Saku Fashion")</f>
        <v>Saku Fashion</v>
      </c>
      <c r="G275" s="106" t="str">
        <f>IFERROR(__xludf.DUMMYFUNCTION("""COMPUTED_VALUE"""),"A4322051")</f>
        <v>A4322051</v>
      </c>
      <c r="H275" s="106" t="str">
        <f>IFERROR(__xludf.DUMMYFUNCTION("""COMPUTED_VALUE"""),"Cod Amount Mismatch")</f>
        <v>Cod Amount Mismatch</v>
      </c>
      <c r="I275" s="106" t="str">
        <f>IFERROR(__xludf.DUMMYFUNCTION("""COMPUTED_VALUE"""),"Pilimathlawa")</f>
        <v>Pilimathlawa</v>
      </c>
      <c r="J275" s="106" t="str">
        <f>IFERROR(__xludf.DUMMYFUNCTION("""COMPUTED_VALUE"""),"Returned To Branch Rescheduled")</f>
        <v>Returned To Branch Rescheduled</v>
      </c>
      <c r="K275" s="106" t="str">
        <f>IFERROR(__xludf.DUMMYFUNCTION("""COMPUTED_VALUE"""),"Cod")</f>
        <v>Cod</v>
      </c>
      <c r="L275" s="106" t="str">
        <f>IFERROR(__xludf.DUMMYFUNCTION("""COMPUTED_VALUE"""),"Cleint Add Remark /Informed")</f>
        <v>Cleint Add Remark /Informed</v>
      </c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>
      <c r="A276" s="82"/>
      <c r="B276" s="98" t="str">
        <f>IFERROR(__xludf.DUMMYFUNCTION("""COMPUTED_VALUE"""),"214")</f>
        <v>214</v>
      </c>
      <c r="C276" s="98" t="str">
        <f>IFERROR(__xludf.DUMMYFUNCTION("""COMPUTED_VALUE"""),"Jeni")</f>
        <v>Jeni</v>
      </c>
      <c r="D276" s="98" t="str">
        <f>IFERROR(__xludf.DUMMYFUNCTION("""COMPUTED_VALUE"""),"783042564")</f>
        <v>783042564</v>
      </c>
      <c r="E276" s="98" t="str">
        <f>IFERROR(__xludf.DUMMYFUNCTION("""COMPUTED_VALUE"""),"Y")</f>
        <v>Y</v>
      </c>
      <c r="F276" s="98" t="str">
        <f>IFERROR(__xludf.DUMMYFUNCTION("""COMPUTED_VALUE"""),"E-Shop.Lk Matara")</f>
        <v>E-Shop.Lk Matara</v>
      </c>
      <c r="G276" s="98" t="str">
        <f>IFERROR(__xludf.DUMMYFUNCTION("""COMPUTED_VALUE"""),"BA773376")</f>
        <v>BA773376</v>
      </c>
      <c r="H276" s="98" t="str">
        <f>IFERROR(__xludf.DUMMYFUNCTION("""COMPUTED_VALUE"""),"Re Deliver On Tomarrow")</f>
        <v>Re Deliver On Tomarrow</v>
      </c>
      <c r="I276" s="98" t="str">
        <f>IFERROR(__xludf.DUMMYFUNCTION("""COMPUTED_VALUE"""),"Pilimathlawa")</f>
        <v>Pilimathlawa</v>
      </c>
      <c r="J276" s="98" t="str">
        <f>IFERROR(__xludf.DUMMYFUNCTION("""COMPUTED_VALUE"""),"Returned To Branch Rescheduled")</f>
        <v>Returned To Branch Rescheduled</v>
      </c>
      <c r="K276" s="98" t="str">
        <f>IFERROR(__xludf.DUMMYFUNCTION("""COMPUTED_VALUE"""),"Branch Operations")</f>
        <v>Branch Operations</v>
      </c>
      <c r="L276" s="98" t="str">
        <f>IFERROR(__xludf.DUMMYFUNCTION("""COMPUTED_VALUE"""),"Informed Branch Number Via A Whatsapp")</f>
        <v>Informed Branch Number Via A Whatsapp</v>
      </c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>
      <c r="A277" s="82"/>
      <c r="B277" s="106" t="str">
        <f>IFERROR(__xludf.DUMMYFUNCTION("""COMPUTED_VALUE"""),"215")</f>
        <v>215</v>
      </c>
      <c r="C277" s="106" t="str">
        <f>IFERROR(__xludf.DUMMYFUNCTION("""COMPUTED_VALUE"""),"Jeni")</f>
        <v>Jeni</v>
      </c>
      <c r="D277" s="106" t="str">
        <f>IFERROR(__xludf.DUMMYFUNCTION("""COMPUTED_VALUE"""),"730394118")</f>
        <v>730394118</v>
      </c>
      <c r="E277" s="106" t="str">
        <f>IFERROR(__xludf.DUMMYFUNCTION("""COMPUTED_VALUE"""),"N")</f>
        <v>N</v>
      </c>
      <c r="F277" s="106" t="str">
        <f>IFERROR(__xludf.DUMMYFUNCTION("""COMPUTED_VALUE"""),"Zeena")</f>
        <v>Zeena</v>
      </c>
      <c r="G277" s="106" t="str">
        <f>IFERROR(__xludf.DUMMYFUNCTION("""COMPUTED_VALUE"""),"BA779806")</f>
        <v>BA779806</v>
      </c>
      <c r="H277" s="106" t="str">
        <f>IFERROR(__xludf.DUMMYFUNCTION("""COMPUTED_VALUE"""),"Customer Want Return This Order")</f>
        <v>Customer Want Return This Order</v>
      </c>
      <c r="I277" s="106" t="str">
        <f>IFERROR(__xludf.DUMMYFUNCTION("""COMPUTED_VALUE"""),"Pilimathlawa")</f>
        <v>Pilimathlawa</v>
      </c>
      <c r="J277" s="106" t="str">
        <f>IFERROR(__xludf.DUMMYFUNCTION("""COMPUTED_VALUE"""),"Returned To Branch Rescheduled")</f>
        <v>Returned To Branch Rescheduled</v>
      </c>
      <c r="K277" s="106" t="str">
        <f>IFERROR(__xludf.DUMMYFUNCTION("""COMPUTED_VALUE"""),"Branch Operations")</f>
        <v>Branch Operations</v>
      </c>
      <c r="L277" s="106" t="str">
        <f>IFERROR(__xludf.DUMMYFUNCTION("""COMPUTED_VALUE"""),"Cant Find Client Number")</f>
        <v>Cant Find Client Number</v>
      </c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>
      <c r="A278" s="82"/>
      <c r="B278" s="98" t="str">
        <f>IFERROR(__xludf.DUMMYFUNCTION("""COMPUTED_VALUE"""),"232")</f>
        <v>232</v>
      </c>
      <c r="C278" s="98" t="str">
        <f>IFERROR(__xludf.DUMMYFUNCTION("""COMPUTED_VALUE"""),"Jeni")</f>
        <v>Jeni</v>
      </c>
      <c r="D278" s="98" t="str">
        <f>IFERROR(__xludf.DUMMYFUNCTION("""COMPUTED_VALUE"""),"722369924")</f>
        <v>722369924</v>
      </c>
      <c r="E278" s="98" t="str">
        <f>IFERROR(__xludf.DUMMYFUNCTION("""COMPUTED_VALUE"""),"Y")</f>
        <v>Y</v>
      </c>
      <c r="F278" s="98" t="str">
        <f>IFERROR(__xludf.DUMMYFUNCTION("""COMPUTED_VALUE"""),"Kw Holdings")</f>
        <v>Kw Holdings</v>
      </c>
      <c r="G278" s="98" t="str">
        <f>IFERROR(__xludf.DUMMYFUNCTION("""COMPUTED_VALUE"""),"A3373703")</f>
        <v>A3373703</v>
      </c>
      <c r="H278" s="98" t="str">
        <f>IFERROR(__xludf.DUMMYFUNCTION("""COMPUTED_VALUE"""),"Re Deliver")</f>
        <v>Re Deliver</v>
      </c>
      <c r="I278" s="98" t="str">
        <f>IFERROR(__xludf.DUMMYFUNCTION("""COMPUTED_VALUE"""),"Thalawathugoda")</f>
        <v>Thalawathugoda</v>
      </c>
      <c r="J278" s="98" t="str">
        <f>IFERROR(__xludf.DUMMYFUNCTION("""COMPUTED_VALUE"""),"Received At Destination")</f>
        <v>Received At Destination</v>
      </c>
      <c r="K278" s="98" t="str">
        <f>IFERROR(__xludf.DUMMYFUNCTION("""COMPUTED_VALUE"""),"Customer Care")</f>
        <v>Customer Care</v>
      </c>
      <c r="L278" s="98" t="str">
        <f>IFERROR(__xludf.DUMMYFUNCTION("""COMPUTED_VALUE"""),"Done")</f>
        <v>Done</v>
      </c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>
      <c r="A279" s="82"/>
      <c r="B279" s="106" t="str">
        <f>IFERROR(__xludf.DUMMYFUNCTION("""COMPUTED_VALUE"""),"232")</f>
        <v>232</v>
      </c>
      <c r="C279" s="106" t="str">
        <f>IFERROR(__xludf.DUMMYFUNCTION("""COMPUTED_VALUE"""),"Jeni")</f>
        <v>Jeni</v>
      </c>
      <c r="D279" s="106" t="str">
        <f>IFERROR(__xludf.DUMMYFUNCTION("""COMPUTED_VALUE"""),"754839658")</f>
        <v>754839658</v>
      </c>
      <c r="E279" s="106" t="str">
        <f>IFERROR(__xludf.DUMMYFUNCTION("""COMPUTED_VALUE"""),"Y")</f>
        <v>Y</v>
      </c>
      <c r="F279" s="106" t="str">
        <f>IFERROR(__xludf.DUMMYFUNCTION("""COMPUTED_VALUE"""),"Kw Holdings")</f>
        <v>Kw Holdings</v>
      </c>
      <c r="G279" s="106" t="str">
        <f>IFERROR(__xludf.DUMMYFUNCTION("""COMPUTED_VALUE"""),"BE085145")</f>
        <v>BE085145</v>
      </c>
      <c r="H279" s="106" t="str">
        <f>IFERROR(__xludf.DUMMYFUNCTION("""COMPUTED_VALUE"""),"Re Deliver")</f>
        <v>Re Deliver</v>
      </c>
      <c r="I279" s="106" t="str">
        <f>IFERROR(__xludf.DUMMYFUNCTION("""COMPUTED_VALUE"""),"Kandy")</f>
        <v>Kandy</v>
      </c>
      <c r="J279" s="106" t="str">
        <f>IFERROR(__xludf.DUMMYFUNCTION("""COMPUTED_VALUE"""),"Returned To Branch Failed To Deliver")</f>
        <v>Returned To Branch Failed To Deliver</v>
      </c>
      <c r="K279" s="106" t="str">
        <f>IFERROR(__xludf.DUMMYFUNCTION("""COMPUTED_VALUE"""),"Customer Care")</f>
        <v>Customer Care</v>
      </c>
      <c r="L279" s="106" t="str">
        <f>IFERROR(__xludf.DUMMYFUNCTION("""COMPUTED_VALUE"""),"Done")</f>
        <v>Done</v>
      </c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>
      <c r="A280" s="82"/>
      <c r="B280" s="98" t="str">
        <f>IFERROR(__xludf.DUMMYFUNCTION("""COMPUTED_VALUE"""),"230")</f>
        <v>230</v>
      </c>
      <c r="C280" s="98" t="str">
        <f>IFERROR(__xludf.DUMMYFUNCTION("""COMPUTED_VALUE"""),"Jeni")</f>
        <v>Jeni</v>
      </c>
      <c r="D280" s="98" t="str">
        <f>IFERROR(__xludf.DUMMYFUNCTION("""COMPUTED_VALUE"""),"761656960")</f>
        <v>761656960</v>
      </c>
      <c r="E280" s="98" t="str">
        <f>IFERROR(__xludf.DUMMYFUNCTION("""COMPUTED_VALUE"""),"N")</f>
        <v>N</v>
      </c>
      <c r="F280" s="98" t="str">
        <f>IFERROR(__xludf.DUMMYFUNCTION("""COMPUTED_VALUE"""),"Miraci Holdings")</f>
        <v>Miraci Holdings</v>
      </c>
      <c r="G280" s="98" t="str">
        <f>IFERROR(__xludf.DUMMYFUNCTION("""COMPUTED_VALUE"""),"BE083066")</f>
        <v>BE083066</v>
      </c>
      <c r="H280" s="98" t="str">
        <f>IFERROR(__xludf.DUMMYFUNCTION("""COMPUTED_VALUE"""),"Req Jeni")</f>
        <v>Req Jeni</v>
      </c>
      <c r="I280" s="98" t="str">
        <f>IFERROR(__xludf.DUMMYFUNCTION("""COMPUTED_VALUE"""),"Kurunegala")</f>
        <v>Kurunegala</v>
      </c>
      <c r="J280" s="98" t="str">
        <f>IFERROR(__xludf.DUMMYFUNCTION("""COMPUTED_VALUE"""),"Received At Destination")</f>
        <v>Received At Destination</v>
      </c>
      <c r="K280" s="98" t="str">
        <f>IFERROR(__xludf.DUMMYFUNCTION("""COMPUTED_VALUE"""),"Customer Care")</f>
        <v>Customer Care</v>
      </c>
      <c r="L280" s="98" t="str">
        <f>IFERROR(__xludf.DUMMYFUNCTION("""COMPUTED_VALUE"""),"Done")</f>
        <v>Done</v>
      </c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>
      <c r="A281" s="82"/>
      <c r="B281" s="106" t="str">
        <f>IFERROR(__xludf.DUMMYFUNCTION("""COMPUTED_VALUE"""),"234")</f>
        <v>234</v>
      </c>
      <c r="C281" s="106" t="str">
        <f>IFERROR(__xludf.DUMMYFUNCTION("""COMPUTED_VALUE"""),"Jeni")</f>
        <v>Jeni</v>
      </c>
      <c r="D281" s="106" t="str">
        <f>IFERROR(__xludf.DUMMYFUNCTION("""COMPUTED_VALUE"""),"790045521")</f>
        <v>790045521</v>
      </c>
      <c r="E281" s="106" t="str">
        <f>IFERROR(__xludf.DUMMYFUNCTION("""COMPUTED_VALUE"""),"N")</f>
        <v>N</v>
      </c>
      <c r="F281" s="106" t="str">
        <f>IFERROR(__xludf.DUMMYFUNCTION("""COMPUTED_VALUE"""),"Miraci Holdings")</f>
        <v>Miraci Holdings</v>
      </c>
      <c r="G281" s="106" t="str">
        <f>IFERROR(__xludf.DUMMYFUNCTION("""COMPUTED_VALUE"""),"BE083066")</f>
        <v>BE083066</v>
      </c>
      <c r="H281" s="106" t="str">
        <f>IFERROR(__xludf.DUMMYFUNCTION("""COMPUTED_VALUE"""),"Req Tamil Agent")</f>
        <v>Req Tamil Agent</v>
      </c>
      <c r="I281" s="106" t="str">
        <f>IFERROR(__xludf.DUMMYFUNCTION("""COMPUTED_VALUE"""),"Kurunegala")</f>
        <v>Kurunegala</v>
      </c>
      <c r="J281" s="106" t="str">
        <f>IFERROR(__xludf.DUMMYFUNCTION("""COMPUTED_VALUE"""),"Received At Destination")</f>
        <v>Received At Destination</v>
      </c>
      <c r="K281" s="106" t="str">
        <f>IFERROR(__xludf.DUMMYFUNCTION("""COMPUTED_VALUE"""),"Customer Care")</f>
        <v>Customer Care</v>
      </c>
      <c r="L281" s="106" t="str">
        <f>IFERROR(__xludf.DUMMYFUNCTION("""COMPUTED_VALUE"""),"Done")</f>
        <v>Done</v>
      </c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>
      <c r="A282" s="82"/>
      <c r="B282" s="98" t="str">
        <f>IFERROR(__xludf.DUMMYFUNCTION("""COMPUTED_VALUE"""),"230")</f>
        <v>230</v>
      </c>
      <c r="C282" s="98" t="str">
        <f>IFERROR(__xludf.DUMMYFUNCTION("""COMPUTED_VALUE"""),"Jeni")</f>
        <v>Jeni</v>
      </c>
      <c r="D282" s="98" t="str">
        <f>IFERROR(__xludf.DUMMYFUNCTION("""COMPUTED_VALUE"""),"754591533")</f>
        <v>754591533</v>
      </c>
      <c r="E282" s="98" t="str">
        <f>IFERROR(__xludf.DUMMYFUNCTION("""COMPUTED_VALUE"""),"N")</f>
        <v>N</v>
      </c>
      <c r="F282" s="98" t="str">
        <f>IFERROR(__xludf.DUMMYFUNCTION("""COMPUTED_VALUE"""),"Doctor Wasantha Lal")</f>
        <v>Doctor Wasantha Lal</v>
      </c>
      <c r="G282" s="98" t="str">
        <f>IFERROR(__xludf.DUMMYFUNCTION("""COMPUTED_VALUE"""),"WD346416")</f>
        <v>WD346416</v>
      </c>
      <c r="H282" s="98" t="str">
        <f>IFERROR(__xludf.DUMMYFUNCTION("""COMPUTED_VALUE"""),"Re Deliver")</f>
        <v>Re Deliver</v>
      </c>
      <c r="I282" s="98" t="str">
        <f>IFERROR(__xludf.DUMMYFUNCTION("""COMPUTED_VALUE"""),"Pilimathlawa")</f>
        <v>Pilimathlawa</v>
      </c>
      <c r="J282" s="98" t="str">
        <f>IFERROR(__xludf.DUMMYFUNCTION("""COMPUTED_VALUE"""),"Returned To Branch Rescheduled")</f>
        <v>Returned To Branch Rescheduled</v>
      </c>
      <c r="K282" s="98" t="str">
        <f>IFERROR(__xludf.DUMMYFUNCTION("""COMPUTED_VALUE"""),"Customer Care")</f>
        <v>Customer Care</v>
      </c>
      <c r="L282" s="98" t="str">
        <f>IFERROR(__xludf.DUMMYFUNCTION("""COMPUTED_VALUE"""),"Done")</f>
        <v>Done</v>
      </c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>
      <c r="A283" s="82"/>
      <c r="B283" s="106" t="str">
        <f>IFERROR(__xludf.DUMMYFUNCTION("""COMPUTED_VALUE"""),"230")</f>
        <v>230</v>
      </c>
      <c r="C283" s="106" t="str">
        <f>IFERROR(__xludf.DUMMYFUNCTION("""COMPUTED_VALUE"""),"Jeni")</f>
        <v>Jeni</v>
      </c>
      <c r="D283" s="106" t="str">
        <f>IFERROR(__xludf.DUMMYFUNCTION("""COMPUTED_VALUE"""),"721110956")</f>
        <v>721110956</v>
      </c>
      <c r="E283" s="106" t="str">
        <f>IFERROR(__xludf.DUMMYFUNCTION("""COMPUTED_VALUE"""),"N")</f>
        <v>N</v>
      </c>
      <c r="F283" s="106" t="str">
        <f>IFERROR(__xludf.DUMMYFUNCTION("""COMPUTED_VALUE"""),"Nexwin")</f>
        <v>Nexwin</v>
      </c>
      <c r="G283" s="106" t="str">
        <f>IFERROR(__xludf.DUMMYFUNCTION("""COMPUTED_VALUE"""),"BE079034")</f>
        <v>BE079034</v>
      </c>
      <c r="H283" s="106" t="str">
        <f>IFERROR(__xludf.DUMMYFUNCTION("""COMPUTED_VALUE"""),"Re Deliver")</f>
        <v>Re Deliver</v>
      </c>
      <c r="I283" s="106" t="str">
        <f>IFERROR(__xludf.DUMMYFUNCTION("""COMPUTED_VALUE"""),"Pilimathlawa")</f>
        <v>Pilimathlawa</v>
      </c>
      <c r="J283" s="106" t="str">
        <f>IFERROR(__xludf.DUMMYFUNCTION("""COMPUTED_VALUE"""),"Returned To Branch Rescheduled")</f>
        <v>Returned To Branch Rescheduled</v>
      </c>
      <c r="K283" s="106" t="str">
        <f>IFERROR(__xludf.DUMMYFUNCTION("""COMPUTED_VALUE"""),"Customer Care")</f>
        <v>Customer Care</v>
      </c>
      <c r="L283" s="106" t="str">
        <f>IFERROR(__xludf.DUMMYFUNCTION("""COMPUTED_VALUE"""),"Done")</f>
        <v>Done</v>
      </c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>
      <c r="A284" s="82"/>
      <c r="B284" s="98" t="str">
        <f>IFERROR(__xludf.DUMMYFUNCTION("""COMPUTED_VALUE"""),"230")</f>
        <v>230</v>
      </c>
      <c r="C284" s="98" t="str">
        <f>IFERROR(__xludf.DUMMYFUNCTION("""COMPUTED_VALUE"""),"Jeni")</f>
        <v>Jeni</v>
      </c>
      <c r="D284" s="98" t="str">
        <f>IFERROR(__xludf.DUMMYFUNCTION("""COMPUTED_VALUE"""),"791058120")</f>
        <v>791058120</v>
      </c>
      <c r="E284" s="98" t="str">
        <f>IFERROR(__xludf.DUMMYFUNCTION("""COMPUTED_VALUE"""),"N")</f>
        <v>N</v>
      </c>
      <c r="F284" s="98" t="str">
        <f>IFERROR(__xludf.DUMMYFUNCTION("""COMPUTED_VALUE"""),"Nexwin")</f>
        <v>Nexwin</v>
      </c>
      <c r="G284" s="98" t="str">
        <f>IFERROR(__xludf.DUMMYFUNCTION("""COMPUTED_VALUE"""),"BE083483")</f>
        <v>BE083483</v>
      </c>
      <c r="H284" s="98" t="str">
        <f>IFERROR(__xludf.DUMMYFUNCTION("""COMPUTED_VALUE"""),"Re Deliver")</f>
        <v>Re Deliver</v>
      </c>
      <c r="I284" s="98" t="str">
        <f>IFERROR(__xludf.DUMMYFUNCTION("""COMPUTED_VALUE"""),"Colombo Metro")</f>
        <v>Colombo Metro</v>
      </c>
      <c r="J284" s="98" t="str">
        <f>IFERROR(__xludf.DUMMYFUNCTION("""COMPUTED_VALUE"""),"Out For Delivery")</f>
        <v>Out For Delivery</v>
      </c>
      <c r="K284" s="98" t="str">
        <f>IFERROR(__xludf.DUMMYFUNCTION("""COMPUTED_VALUE"""),"Customer Care")</f>
        <v>Customer Care</v>
      </c>
      <c r="L284" s="98" t="str">
        <f>IFERROR(__xludf.DUMMYFUNCTION("""COMPUTED_VALUE"""),"Done")</f>
        <v>Done</v>
      </c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>
      <c r="A285" s="82"/>
      <c r="B285" s="106" t="str">
        <f>IFERROR(__xludf.DUMMYFUNCTION("""COMPUTED_VALUE"""),"230")</f>
        <v>230</v>
      </c>
      <c r="C285" s="106" t="str">
        <f>IFERROR(__xludf.DUMMYFUNCTION("""COMPUTED_VALUE"""),"Jeni")</f>
        <v>Jeni</v>
      </c>
      <c r="D285" s="106" t="str">
        <f>IFERROR(__xludf.DUMMYFUNCTION("""COMPUTED_VALUE"""),"737280682")</f>
        <v>737280682</v>
      </c>
      <c r="E285" s="106" t="str">
        <f>IFERROR(__xludf.DUMMYFUNCTION("""COMPUTED_VALUE"""),"N")</f>
        <v>N</v>
      </c>
      <c r="F285" s="107" t="str">
        <f>IFERROR(__xludf.DUMMYFUNCTION("""COMPUTED_VALUE"""),"Crown.Lk")</f>
        <v>Crown.Lk</v>
      </c>
      <c r="G285" s="106" t="str">
        <f>IFERROR(__xludf.DUMMYFUNCTION("""COMPUTED_VALUE"""),"BE039457")</f>
        <v>BE039457</v>
      </c>
      <c r="H285" s="106" t="str">
        <f>IFERROR(__xludf.DUMMYFUNCTION("""COMPUTED_VALUE"""),"Not Responded")</f>
        <v>Not Responded</v>
      </c>
      <c r="I285" s="106" t="str">
        <f>IFERROR(__xludf.DUMMYFUNCTION("""COMPUTED_VALUE"""),"Colombo Metro")</f>
        <v>Colombo Metro</v>
      </c>
      <c r="J285" s="106" t="str">
        <f>IFERROR(__xludf.DUMMYFUNCTION("""COMPUTED_VALUE"""),"Out For Delivery")</f>
        <v>Out For Delivery</v>
      </c>
      <c r="K285" s="106" t="str">
        <f>IFERROR(__xludf.DUMMYFUNCTION("""COMPUTED_VALUE"""),"Customer Care")</f>
        <v>Customer Care</v>
      </c>
      <c r="L285" s="106" t="str">
        <f>IFERROR(__xludf.DUMMYFUNCTION("""COMPUTED_VALUE"""),"Done")</f>
        <v>Done</v>
      </c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>
      <c r="A286" s="82"/>
      <c r="B286" s="98" t="str">
        <f>IFERROR(__xludf.DUMMYFUNCTION("""COMPUTED_VALUE"""),"230")</f>
        <v>230</v>
      </c>
      <c r="C286" s="98" t="str">
        <f>IFERROR(__xludf.DUMMYFUNCTION("""COMPUTED_VALUE"""),"Jeni")</f>
        <v>Jeni</v>
      </c>
      <c r="D286" s="98" t="str">
        <f>IFERROR(__xludf.DUMMYFUNCTION("""COMPUTED_VALUE"""),"770578335")</f>
        <v>770578335</v>
      </c>
      <c r="E286" s="98" t="str">
        <f>IFERROR(__xludf.DUMMYFUNCTION("""COMPUTED_VALUE"""),"N")</f>
        <v>N</v>
      </c>
      <c r="F286" s="98" t="str">
        <f>IFERROR(__xludf.DUMMYFUNCTION("""COMPUTED_VALUE"""),"Nexwin")</f>
        <v>Nexwin</v>
      </c>
      <c r="G286" s="98" t="str">
        <f>IFERROR(__xludf.DUMMYFUNCTION("""COMPUTED_VALUE"""),"BA760477")</f>
        <v>BA760477</v>
      </c>
      <c r="H286" s="98" t="str">
        <f>IFERROR(__xludf.DUMMYFUNCTION("""COMPUTED_VALUE"""),"Re Deliver")</f>
        <v>Re Deliver</v>
      </c>
      <c r="I286" s="98" t="str">
        <f>IFERROR(__xludf.DUMMYFUNCTION("""COMPUTED_VALUE"""),"Pilimathlawa")</f>
        <v>Pilimathlawa</v>
      </c>
      <c r="J286" s="98" t="str">
        <f>IFERROR(__xludf.DUMMYFUNCTION("""COMPUTED_VALUE"""),"Returned To Branch Rescheduled")</f>
        <v>Returned To Branch Rescheduled</v>
      </c>
      <c r="K286" s="98" t="str">
        <f>IFERROR(__xludf.DUMMYFUNCTION("""COMPUTED_VALUE"""),"Customer Care")</f>
        <v>Customer Care</v>
      </c>
      <c r="L286" s="98" t="str">
        <f>IFERROR(__xludf.DUMMYFUNCTION("""COMPUTED_VALUE"""),"Done")</f>
        <v>Done</v>
      </c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>
      <c r="A287" s="82"/>
      <c r="B287" s="106" t="str">
        <f>IFERROR(__xludf.DUMMYFUNCTION("""COMPUTED_VALUE"""),"223")</f>
        <v>223</v>
      </c>
      <c r="C287" s="106" t="str">
        <f>IFERROR(__xludf.DUMMYFUNCTION("""COMPUTED_VALUE"""),"Jeni")</f>
        <v>Jeni</v>
      </c>
      <c r="D287" s="106" t="str">
        <f>IFERROR(__xludf.DUMMYFUNCTION("""COMPUTED_VALUE"""),"709340545")</f>
        <v>709340545</v>
      </c>
      <c r="E287" s="106" t="str">
        <f>IFERROR(__xludf.DUMMYFUNCTION("""COMPUTED_VALUE"""),"Y")</f>
        <v>Y</v>
      </c>
      <c r="F287" s="106" t="str">
        <f>IFERROR(__xludf.DUMMYFUNCTION("""COMPUTED_VALUE"""),"Megha 1 Palace (Pvt) Ltd")</f>
        <v>Megha 1 Palace (Pvt) Ltd</v>
      </c>
      <c r="G287" s="106" t="str">
        <f>IFERROR(__xludf.DUMMYFUNCTION("""COMPUTED_VALUE"""),"A4248731")</f>
        <v>A4248731</v>
      </c>
      <c r="H287" s="106" t="str">
        <f>IFERROR(__xludf.DUMMYFUNCTION("""COMPUTED_VALUE"""),"Re Deliver")</f>
        <v>Re Deliver</v>
      </c>
      <c r="I287" s="106" t="str">
        <f>IFERROR(__xludf.DUMMYFUNCTION("""COMPUTED_VALUE"""),"Colombo Metro")</f>
        <v>Colombo Metro</v>
      </c>
      <c r="J287" s="106" t="str">
        <f>IFERROR(__xludf.DUMMYFUNCTION("""COMPUTED_VALUE"""),"Returned To Branch Failed To Deliver")</f>
        <v>Returned To Branch Failed To Deliver</v>
      </c>
      <c r="K287" s="106" t="str">
        <f>IFERROR(__xludf.DUMMYFUNCTION("""COMPUTED_VALUE"""),"Branch Operations")</f>
        <v>Branch Operations</v>
      </c>
      <c r="L287" s="106" t="str">
        <f>IFERROR(__xludf.DUMMYFUNCTION("""COMPUTED_VALUE"""),"Customer Out Of The City / The Customer Said To Call Back")</f>
        <v>Customer Out Of The City / The Customer Said To Call Back</v>
      </c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>
      <c r="A288" s="82"/>
      <c r="B288" s="98" t="str">
        <f>IFERROR(__xludf.DUMMYFUNCTION("""COMPUTED_VALUE"""),"232")</f>
        <v>232</v>
      </c>
      <c r="C288" s="98" t="str">
        <f>IFERROR(__xludf.DUMMYFUNCTION("""COMPUTED_VALUE"""),"Jeni")</f>
        <v>Jeni</v>
      </c>
      <c r="D288" s="98" t="str">
        <f>IFERROR(__xludf.DUMMYFUNCTION("""COMPUTED_VALUE"""),"793564290")</f>
        <v>793564290</v>
      </c>
      <c r="E288" s="98" t="str">
        <f>IFERROR(__xludf.DUMMYFUNCTION("""COMPUTED_VALUE"""),"N")</f>
        <v>N</v>
      </c>
      <c r="F288" s="98" t="str">
        <f>IFERROR(__xludf.DUMMYFUNCTION("""COMPUTED_VALUE"""),"Happyfly")</f>
        <v>Happyfly</v>
      </c>
      <c r="G288" s="98" t="str">
        <f>IFERROR(__xludf.DUMMYFUNCTION("""COMPUTED_VALUE"""),"A3373703")</f>
        <v>A3373703</v>
      </c>
      <c r="H288" s="98" t="str">
        <f>IFERROR(__xludf.DUMMYFUNCTION("""COMPUTED_VALUE"""),"Re Deliver")</f>
        <v>Re Deliver</v>
      </c>
      <c r="I288" s="98" t="str">
        <f>IFERROR(__xludf.DUMMYFUNCTION("""COMPUTED_VALUE"""),"Kandy")</f>
        <v>Kandy</v>
      </c>
      <c r="J288" s="98" t="str">
        <f>IFERROR(__xludf.DUMMYFUNCTION("""COMPUTED_VALUE"""),"Returned To Branch Rescheduled")</f>
        <v>Returned To Branch Rescheduled</v>
      </c>
      <c r="K288" s="98" t="str">
        <f>IFERROR(__xludf.DUMMYFUNCTION("""COMPUTED_VALUE"""),"Customer Care")</f>
        <v>Customer Care</v>
      </c>
      <c r="L288" s="98" t="str">
        <f>IFERROR(__xludf.DUMMYFUNCTION("""COMPUTED_VALUE"""),"Done")</f>
        <v>Done</v>
      </c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>
      <c r="A289" s="82"/>
      <c r="B289" s="106" t="str">
        <f>IFERROR(__xludf.DUMMYFUNCTION("""COMPUTED_VALUE"""),"245")</f>
        <v>245</v>
      </c>
      <c r="C289" s="106" t="str">
        <f>IFERROR(__xludf.DUMMYFUNCTION("""COMPUTED_VALUE"""),"Lakshani")</f>
        <v>Lakshani</v>
      </c>
      <c r="D289" s="106" t="str">
        <f>IFERROR(__xludf.DUMMYFUNCTION("""COMPUTED_VALUE"""),"722600536")</f>
        <v>722600536</v>
      </c>
      <c r="E289" s="106" t="str">
        <f>IFERROR(__xludf.DUMMYFUNCTION("""COMPUTED_VALUE"""),"N")</f>
        <v>N</v>
      </c>
      <c r="F289" s="106" t="str">
        <f>IFERROR(__xludf.DUMMYFUNCTION("""COMPUTED_VALUE"""),"Kw Holdings")</f>
        <v>Kw Holdings</v>
      </c>
      <c r="G289" s="106" t="str">
        <f>IFERROR(__xludf.DUMMYFUNCTION("""COMPUTED_VALUE"""),"BE129344")</f>
        <v>BE129344</v>
      </c>
      <c r="H289" s="106" t="str">
        <f>IFERROR(__xludf.DUMMYFUNCTION("""COMPUTED_VALUE"""),"Customer Want Return The Package")</f>
        <v>Customer Want Return The Package</v>
      </c>
      <c r="I289" s="106" t="str">
        <f>IFERROR(__xludf.DUMMYFUNCTION("""COMPUTED_VALUE"""),"Rajagiriya")</f>
        <v>Rajagiriya</v>
      </c>
      <c r="J289" s="106" t="str">
        <f>IFERROR(__xludf.DUMMYFUNCTION("""COMPUTED_VALUE"""),"Returned To Branch Rescheduled")</f>
        <v>Returned To Branch Rescheduled</v>
      </c>
      <c r="K289" s="106" t="str">
        <f>IFERROR(__xludf.DUMMYFUNCTION("""COMPUTED_VALUE"""),"Customer Care")</f>
        <v>Customer Care</v>
      </c>
      <c r="L289" s="106" t="str">
        <f>IFERROR(__xludf.DUMMYFUNCTION("""COMPUTED_VALUE"""),"Informed Genzo Team")</f>
        <v>Informed Genzo Team</v>
      </c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>
      <c r="A290" s="82"/>
      <c r="B290" s="98" t="str">
        <f>IFERROR(__xludf.DUMMYFUNCTION("""COMPUTED_VALUE"""),"246")</f>
        <v>246</v>
      </c>
      <c r="C290" s="98" t="str">
        <f>IFERROR(__xludf.DUMMYFUNCTION("""COMPUTED_VALUE"""),"Lakshani")</f>
        <v>Lakshani</v>
      </c>
      <c r="D290" s="98" t="str">
        <f>IFERROR(__xludf.DUMMYFUNCTION("""COMPUTED_VALUE"""),"752273971")</f>
        <v>752273971</v>
      </c>
      <c r="E290" s="98" t="str">
        <f>IFERROR(__xludf.DUMMYFUNCTION("""COMPUTED_VALUE"""),"N")</f>
        <v>N</v>
      </c>
      <c r="F290" s="98" t="str">
        <f>IFERROR(__xludf.DUMMYFUNCTION("""COMPUTED_VALUE"""),"Kw Holdings")</f>
        <v>Kw Holdings</v>
      </c>
      <c r="G290" s="98" t="str">
        <f>IFERROR(__xludf.DUMMYFUNCTION("""COMPUTED_VALUE"""),"A4170424")</f>
        <v>A4170424</v>
      </c>
      <c r="H290" s="98" t="str">
        <f>IFERROR(__xludf.DUMMYFUNCTION("""COMPUTED_VALUE"""),"Re Deliver")</f>
        <v>Re Deliver</v>
      </c>
      <c r="I290" s="98" t="str">
        <f>IFERROR(__xludf.DUMMYFUNCTION("""COMPUTED_VALUE"""),"Kurunegala")</f>
        <v>Kurunegala</v>
      </c>
      <c r="J290" s="98" t="str">
        <f>IFERROR(__xludf.DUMMYFUNCTION("""COMPUTED_VALUE"""),"Received At Destination")</f>
        <v>Received At Destination</v>
      </c>
      <c r="K290" s="98" t="str">
        <f>IFERROR(__xludf.DUMMYFUNCTION("""COMPUTED_VALUE"""),"Customer Care")</f>
        <v>Customer Care</v>
      </c>
      <c r="L290" s="98" t="str">
        <f>IFERROR(__xludf.DUMMYFUNCTION("""COMPUTED_VALUE"""),"Done")</f>
        <v>Done</v>
      </c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>
      <c r="A291" s="82"/>
      <c r="B291" s="106" t="str">
        <f>IFERROR(__xludf.DUMMYFUNCTION("""COMPUTED_VALUE"""),"234")</f>
        <v>234</v>
      </c>
      <c r="C291" s="106" t="str">
        <f>IFERROR(__xludf.DUMMYFUNCTION("""COMPUTED_VALUE"""),"Jeni")</f>
        <v>Jeni</v>
      </c>
      <c r="D291" s="106" t="str">
        <f>IFERROR(__xludf.DUMMYFUNCTION("""COMPUTED_VALUE"""),"750120203")</f>
        <v>750120203</v>
      </c>
      <c r="E291" s="106" t="str">
        <f>IFERROR(__xludf.DUMMYFUNCTION("""COMPUTED_VALUE"""),"N")</f>
        <v>N</v>
      </c>
      <c r="F291" s="106" t="str">
        <f>IFERROR(__xludf.DUMMYFUNCTION("""COMPUTED_VALUE"""),"Dw Enterprises")</f>
        <v>Dw Enterprises</v>
      </c>
      <c r="G291" s="106" t="str">
        <f>IFERROR(__xludf.DUMMYFUNCTION("""COMPUTED_VALUE"""),"BE055923")</f>
        <v>BE055923</v>
      </c>
      <c r="H291" s="106" t="str">
        <f>IFERROR(__xludf.DUMMYFUNCTION("""COMPUTED_VALUE"""),"Re Deliver")</f>
        <v>Re Deliver</v>
      </c>
      <c r="I291" s="106" t="str">
        <f>IFERROR(__xludf.DUMMYFUNCTION("""COMPUTED_VALUE"""),"Batticaloa")</f>
        <v>Batticaloa</v>
      </c>
      <c r="J291" s="106" t="str">
        <f>IFERROR(__xludf.DUMMYFUNCTION("""COMPUTED_VALUE"""),"Returned To Branch Failed To Deliver")</f>
        <v>Returned To Branch Failed To Deliver</v>
      </c>
      <c r="K291" s="106" t="str">
        <f>IFERROR(__xludf.DUMMYFUNCTION("""COMPUTED_VALUE"""),"Customer Care")</f>
        <v>Customer Care</v>
      </c>
      <c r="L291" s="106" t="str">
        <f>IFERROR(__xludf.DUMMYFUNCTION("""COMPUTED_VALUE"""),"Done")</f>
        <v>Done</v>
      </c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>
      <c r="A292" s="82"/>
      <c r="B292" s="98" t="str">
        <f>IFERROR(__xludf.DUMMYFUNCTION("""COMPUTED_VALUE"""),"235")</f>
        <v>235</v>
      </c>
      <c r="C292" s="98" t="str">
        <f>IFERROR(__xludf.DUMMYFUNCTION("""COMPUTED_VALUE"""),"Jeni")</f>
        <v>Jeni</v>
      </c>
      <c r="D292" s="98" t="str">
        <f>IFERROR(__xludf.DUMMYFUNCTION("""COMPUTED_VALUE"""),"777103915")</f>
        <v>777103915</v>
      </c>
      <c r="E292" s="98" t="str">
        <f>IFERROR(__xludf.DUMMYFUNCTION("""COMPUTED_VALUE"""),"Y")</f>
        <v>Y</v>
      </c>
      <c r="F292" s="108" t="str">
        <f>IFERROR(__xludf.DUMMYFUNCTION("""COMPUTED_VALUE"""),"Splash.Lk")</f>
        <v>Splash.Lk</v>
      </c>
      <c r="G292" s="98" t="str">
        <f>IFERROR(__xludf.DUMMYFUNCTION("""COMPUTED_VALUE"""),"A4599362")</f>
        <v>A4599362</v>
      </c>
      <c r="H292" s="98" t="str">
        <f>IFERROR(__xludf.DUMMYFUNCTION("""COMPUTED_VALUE"""),"Re Deliver")</f>
        <v>Re Deliver</v>
      </c>
      <c r="I292" s="98" t="str">
        <f>IFERROR(__xludf.DUMMYFUNCTION("""COMPUTED_VALUE"""),"Kurunegala")</f>
        <v>Kurunegala</v>
      </c>
      <c r="J292" s="98" t="str">
        <f>IFERROR(__xludf.DUMMYFUNCTION("""COMPUTED_VALUE"""),"Received At Destination")</f>
        <v>Received At Destination</v>
      </c>
      <c r="K292" s="98" t="str">
        <f>IFERROR(__xludf.DUMMYFUNCTION("""COMPUTED_VALUE"""),"Return")</f>
        <v>Return</v>
      </c>
      <c r="L292" s="98" t="str">
        <f>IFERROR(__xludf.DUMMYFUNCTION("""COMPUTED_VALUE"""),"Customer No Answer")</f>
        <v>Customer No Answer</v>
      </c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>
      <c r="A293" s="82"/>
      <c r="B293" s="106" t="str">
        <f>IFERROR(__xludf.DUMMYFUNCTION("""COMPUTED_VALUE"""),"228")</f>
        <v>228</v>
      </c>
      <c r="C293" s="106" t="str">
        <f>IFERROR(__xludf.DUMMYFUNCTION("""COMPUTED_VALUE"""),"Jeni")</f>
        <v>Jeni</v>
      </c>
      <c r="D293" s="106" t="str">
        <f>IFERROR(__xludf.DUMMYFUNCTION("""COMPUTED_VALUE"""),"714542452")</f>
        <v>714542452</v>
      </c>
      <c r="E293" s="106" t="str">
        <f>IFERROR(__xludf.DUMMYFUNCTION("""COMPUTED_VALUE"""),"N")</f>
        <v>N</v>
      </c>
      <c r="F293" s="106" t="str">
        <f>IFERROR(__xludf.DUMMYFUNCTION("""COMPUTED_VALUE"""),"Mobilware Mobiles")</f>
        <v>Mobilware Mobiles</v>
      </c>
      <c r="G293" s="106" t="str">
        <f>IFERROR(__xludf.DUMMYFUNCTION("""COMPUTED_VALUE"""),"WD300546")</f>
        <v>WD300546</v>
      </c>
      <c r="H293" s="106" t="str">
        <f>IFERROR(__xludf.DUMMYFUNCTION("""COMPUTED_VALUE"""),"Top Urgent")</f>
        <v>Top Urgent</v>
      </c>
      <c r="I293" s="106" t="str">
        <f>IFERROR(__xludf.DUMMYFUNCTION("""COMPUTED_VALUE"""),"Kadawatha")</f>
        <v>Kadawatha</v>
      </c>
      <c r="J293" s="106" t="str">
        <f>IFERROR(__xludf.DUMMYFUNCTION("""COMPUTED_VALUE"""),"Out For Delivery")</f>
        <v>Out For Delivery</v>
      </c>
      <c r="K293" s="106" t="str">
        <f>IFERROR(__xludf.DUMMYFUNCTION("""COMPUTED_VALUE"""),"Domestic")</f>
        <v>Domestic</v>
      </c>
      <c r="L293" s="106" t="str">
        <f>IFERROR(__xludf.DUMMYFUNCTION("""COMPUTED_VALUE"""),"Informed Domestic Sayni")</f>
        <v>Informed Domestic Sayni</v>
      </c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>
      <c r="A294" s="82"/>
      <c r="B294" s="98" t="str">
        <f>IFERROR(__xludf.DUMMYFUNCTION("""COMPUTED_VALUE"""),"229")</f>
        <v>229</v>
      </c>
      <c r="C294" s="98" t="str">
        <f>IFERROR(__xludf.DUMMYFUNCTION("""COMPUTED_VALUE"""),"Jeni")</f>
        <v>Jeni</v>
      </c>
      <c r="D294" s="98" t="str">
        <f>IFERROR(__xludf.DUMMYFUNCTION("""COMPUTED_VALUE"""),"762380553")</f>
        <v>762380553</v>
      </c>
      <c r="E294" s="98" t="str">
        <f>IFERROR(__xludf.DUMMYFUNCTION("""COMPUTED_VALUE"""),"N")</f>
        <v>N</v>
      </c>
      <c r="F294" s="98" t="str">
        <f>IFERROR(__xludf.DUMMYFUNCTION("""COMPUTED_VALUE"""),"Nexwin")</f>
        <v>Nexwin</v>
      </c>
      <c r="G294" s="98" t="str">
        <f>IFERROR(__xludf.DUMMYFUNCTION("""COMPUTED_VALUE"""),"A1127756")</f>
        <v>A1127756</v>
      </c>
      <c r="H294" s="98" t="str">
        <f>IFERROR(__xludf.DUMMYFUNCTION("""COMPUTED_VALUE"""),"Order Status")</f>
        <v>Order Status</v>
      </c>
      <c r="I294" s="98" t="str">
        <f>IFERROR(__xludf.DUMMYFUNCTION("""COMPUTED_VALUE"""),"Pilimathlawa")</f>
        <v>Pilimathlawa</v>
      </c>
      <c r="J294" s="98" t="str">
        <f>IFERROR(__xludf.DUMMYFUNCTION("""COMPUTED_VALUE"""),"Returned To Branch Rescheduled")</f>
        <v>Returned To Branch Rescheduled</v>
      </c>
      <c r="K294" s="98" t="str">
        <f>IFERROR(__xludf.DUMMYFUNCTION("""COMPUTED_VALUE"""),"Key Accounts")</f>
        <v>Key Accounts</v>
      </c>
      <c r="L294" s="98" t="str">
        <f>IFERROR(__xludf.DUMMYFUNCTION("""COMPUTED_VALUE"""),"Given Details")</f>
        <v>Given Details</v>
      </c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>
      <c r="A295" s="82"/>
      <c r="B295" s="106" t="str">
        <f>IFERROR(__xludf.DUMMYFUNCTION("""COMPUTED_VALUE"""),"255")</f>
        <v>255</v>
      </c>
      <c r="C295" s="106" t="str">
        <f>IFERROR(__xludf.DUMMYFUNCTION("""COMPUTED_VALUE"""),"Lakshani")</f>
        <v>Lakshani</v>
      </c>
      <c r="D295" s="106" t="str">
        <f>IFERROR(__xludf.DUMMYFUNCTION("""COMPUTED_VALUE"""),"777687231")</f>
        <v>777687231</v>
      </c>
      <c r="E295" s="106" t="str">
        <f>IFERROR(__xludf.DUMMYFUNCTION("""COMPUTED_VALUE"""),"N")</f>
        <v>N</v>
      </c>
      <c r="F295" s="106" t="str">
        <f>IFERROR(__xludf.DUMMYFUNCTION("""COMPUTED_VALUE"""),"Miraci Holdings")</f>
        <v>Miraci Holdings</v>
      </c>
      <c r="G295" s="106" t="str">
        <f>IFERROR(__xludf.DUMMYFUNCTION("""COMPUTED_VALUE"""),"BE083066")</f>
        <v>BE083066</v>
      </c>
      <c r="H295" s="106" t="str">
        <f>IFERROR(__xludf.DUMMYFUNCTION("""COMPUTED_VALUE"""),"Rea Tamil Agent")</f>
        <v>Rea Tamil Agent</v>
      </c>
      <c r="I295" s="106" t="str">
        <f>IFERROR(__xludf.DUMMYFUNCTION("""COMPUTED_VALUE"""),"Kurunegala")</f>
        <v>Kurunegala</v>
      </c>
      <c r="J295" s="106" t="str">
        <f>IFERROR(__xludf.DUMMYFUNCTION("""COMPUTED_VALUE"""),"Received At Destination")</f>
        <v>Received At Destination</v>
      </c>
      <c r="K295" s="106" t="str">
        <f>IFERROR(__xludf.DUMMYFUNCTION("""COMPUTED_VALUE"""),"Customer Care")</f>
        <v>Customer Care</v>
      </c>
      <c r="L295" s="106" t="str">
        <f>IFERROR(__xludf.DUMMYFUNCTION("""COMPUTED_VALUE"""),"Tranfer Cll")</f>
        <v>Tranfer Cll</v>
      </c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>
      <c r="A296" s="82"/>
      <c r="B296" s="98" t="str">
        <f>IFERROR(__xludf.DUMMYFUNCTION("""COMPUTED_VALUE"""),"256")</f>
        <v>256</v>
      </c>
      <c r="C296" s="98" t="str">
        <f>IFERROR(__xludf.DUMMYFUNCTION("""COMPUTED_VALUE"""),"Lakshani")</f>
        <v>Lakshani</v>
      </c>
      <c r="D296" s="98" t="str">
        <f>IFERROR(__xludf.DUMMYFUNCTION("""COMPUTED_VALUE"""),"772131099")</f>
        <v>772131099</v>
      </c>
      <c r="E296" s="98" t="str">
        <f>IFERROR(__xludf.DUMMYFUNCTION("""COMPUTED_VALUE"""),"N")</f>
        <v>N</v>
      </c>
      <c r="F296" s="98" t="str">
        <f>IFERROR(__xludf.DUMMYFUNCTION("""COMPUTED_VALUE"""),"Miraci Holdings")</f>
        <v>Miraci Holdings</v>
      </c>
      <c r="G296" s="98" t="str">
        <f>IFERROR(__xludf.DUMMYFUNCTION("""COMPUTED_VALUE"""),"BE083066")</f>
        <v>BE083066</v>
      </c>
      <c r="H296" s="98" t="str">
        <f>IFERROR(__xludf.DUMMYFUNCTION("""COMPUTED_VALUE"""),"Line Not Clear")</f>
        <v>Line Not Clear</v>
      </c>
      <c r="I296" s="98" t="str">
        <f>IFERROR(__xludf.DUMMYFUNCTION("""COMPUTED_VALUE"""),"Kurunegala")</f>
        <v>Kurunegala</v>
      </c>
      <c r="J296" s="98" t="str">
        <f>IFERROR(__xludf.DUMMYFUNCTION("""COMPUTED_VALUE"""),"Received At Destination")</f>
        <v>Received At Destination</v>
      </c>
      <c r="K296" s="98" t="str">
        <f>IFERROR(__xludf.DUMMYFUNCTION("""COMPUTED_VALUE"""),"Customer Care")</f>
        <v>Customer Care</v>
      </c>
      <c r="L296" s="98" t="str">
        <f>IFERROR(__xludf.DUMMYFUNCTION("""COMPUTED_VALUE"""),"Disconected The Line")</f>
        <v>Disconected The Line</v>
      </c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>
      <c r="A297" s="82"/>
      <c r="B297" s="106" t="str">
        <f>IFERROR(__xludf.DUMMYFUNCTION("""COMPUTED_VALUE"""),"257")</f>
        <v>257</v>
      </c>
      <c r="C297" s="106" t="str">
        <f>IFERROR(__xludf.DUMMYFUNCTION("""COMPUTED_VALUE"""),"Lakshani")</f>
        <v>Lakshani</v>
      </c>
      <c r="D297" s="106" t="str">
        <f>IFERROR(__xludf.DUMMYFUNCTION("""COMPUTED_VALUE"""),"712311134")</f>
        <v>712311134</v>
      </c>
      <c r="E297" s="106" t="str">
        <f>IFERROR(__xludf.DUMMYFUNCTION("""COMPUTED_VALUE"""),"N")</f>
        <v>N</v>
      </c>
      <c r="F297" s="106" t="str">
        <f>IFERROR(__xludf.DUMMYFUNCTION("""COMPUTED_VALUE"""),"Miraci Holdings")</f>
        <v>Miraci Holdings</v>
      </c>
      <c r="G297" s="106" t="str">
        <f>IFERROR(__xludf.DUMMYFUNCTION("""COMPUTED_VALUE"""),"BE083066")</f>
        <v>BE083066</v>
      </c>
      <c r="H297" s="106" t="str">
        <f>IFERROR(__xludf.DUMMYFUNCTION("""COMPUTED_VALUE"""),"Req Jeni")</f>
        <v>Req Jeni</v>
      </c>
      <c r="I297" s="106" t="str">
        <f>IFERROR(__xludf.DUMMYFUNCTION("""COMPUTED_VALUE"""),"Kurunegala")</f>
        <v>Kurunegala</v>
      </c>
      <c r="J297" s="106" t="str">
        <f>IFERROR(__xludf.DUMMYFUNCTION("""COMPUTED_VALUE"""),"Received At Destination")</f>
        <v>Received At Destination</v>
      </c>
      <c r="K297" s="106" t="str">
        <f>IFERROR(__xludf.DUMMYFUNCTION("""COMPUTED_VALUE"""),"Customer Care")</f>
        <v>Customer Care</v>
      </c>
      <c r="L297" s="106" t="str">
        <f>IFERROR(__xludf.DUMMYFUNCTION("""COMPUTED_VALUE"""),"Tranfer Cll")</f>
        <v>Tranfer Cll</v>
      </c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>
      <c r="A298" s="82"/>
      <c r="B298" s="98" t="str">
        <f>IFERROR(__xludf.DUMMYFUNCTION("""COMPUTED_VALUE"""),"258")</f>
        <v>258</v>
      </c>
      <c r="C298" s="98" t="str">
        <f>IFERROR(__xludf.DUMMYFUNCTION("""COMPUTED_VALUE"""),"Lakshani")</f>
        <v>Lakshani</v>
      </c>
      <c r="D298" s="98" t="str">
        <f>IFERROR(__xludf.DUMMYFUNCTION("""COMPUTED_VALUE"""),"768953933")</f>
        <v>768953933</v>
      </c>
      <c r="E298" s="98" t="str">
        <f>IFERROR(__xludf.DUMMYFUNCTION("""COMPUTED_VALUE"""),"N")</f>
        <v>N</v>
      </c>
      <c r="F298" s="98" t="str">
        <f>IFERROR(__xludf.DUMMYFUNCTION("""COMPUTED_VALUE"""),"Miraci Holdings")</f>
        <v>Miraci Holdings</v>
      </c>
      <c r="G298" s="98" t="str">
        <f>IFERROR(__xludf.DUMMYFUNCTION("""COMPUTED_VALUE"""),"BE083066")</f>
        <v>BE083066</v>
      </c>
      <c r="H298" s="98" t="str">
        <f>IFERROR(__xludf.DUMMYFUNCTION("""COMPUTED_VALUE"""),"Req Tamil Agent")</f>
        <v>Req Tamil Agent</v>
      </c>
      <c r="I298" s="98" t="str">
        <f>IFERROR(__xludf.DUMMYFUNCTION("""COMPUTED_VALUE"""),"Kurunegala")</f>
        <v>Kurunegala</v>
      </c>
      <c r="J298" s="98" t="str">
        <f>IFERROR(__xludf.DUMMYFUNCTION("""COMPUTED_VALUE"""),"Received At Destination")</f>
        <v>Received At Destination</v>
      </c>
      <c r="K298" s="98" t="str">
        <f>IFERROR(__xludf.DUMMYFUNCTION("""COMPUTED_VALUE"""),"Customer Care")</f>
        <v>Customer Care</v>
      </c>
      <c r="L298" s="98" t="str">
        <f>IFERROR(__xludf.DUMMYFUNCTION("""COMPUTED_VALUE"""),"Tranfer Call")</f>
        <v>Tranfer Call</v>
      </c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>
      <c r="A299" s="82"/>
      <c r="B299" s="106" t="str">
        <f>IFERROR(__xludf.DUMMYFUNCTION("""COMPUTED_VALUE"""),"230")</f>
        <v>230</v>
      </c>
      <c r="C299" s="106" t="str">
        <f>IFERROR(__xludf.DUMMYFUNCTION("""COMPUTED_VALUE"""),"Jeni")</f>
        <v>Jeni</v>
      </c>
      <c r="D299" s="106" t="str">
        <f>IFERROR(__xludf.DUMMYFUNCTION("""COMPUTED_VALUE"""),"784211966")</f>
        <v>784211966</v>
      </c>
      <c r="E299" s="106" t="str">
        <f>IFERROR(__xludf.DUMMYFUNCTION("""COMPUTED_VALUE"""),"N")</f>
        <v>N</v>
      </c>
      <c r="F299" s="106" t="str">
        <f>IFERROR(__xludf.DUMMYFUNCTION("""COMPUTED_VALUE"""),"Miraci Holdings")</f>
        <v>Miraci Holdings</v>
      </c>
      <c r="G299" s="106" t="str">
        <f>IFERROR(__xludf.DUMMYFUNCTION("""COMPUTED_VALUE"""),"BE079034")</f>
        <v>BE079034</v>
      </c>
      <c r="H299" s="106" t="str">
        <f>IFERROR(__xludf.DUMMYFUNCTION("""COMPUTED_VALUE"""),"Re Deliver")</f>
        <v>Re Deliver</v>
      </c>
      <c r="I299" s="106" t="str">
        <f>IFERROR(__xludf.DUMMYFUNCTION("""COMPUTED_VALUE"""),"Kurunegala")</f>
        <v>Kurunegala</v>
      </c>
      <c r="J299" s="106" t="str">
        <f>IFERROR(__xludf.DUMMYFUNCTION("""COMPUTED_VALUE"""),"Received At Destination")</f>
        <v>Received At Destination</v>
      </c>
      <c r="K299" s="106" t="str">
        <f>IFERROR(__xludf.DUMMYFUNCTION("""COMPUTED_VALUE"""),"Customer Care")</f>
        <v>Customer Care</v>
      </c>
      <c r="L299" s="106" t="str">
        <f>IFERROR(__xludf.DUMMYFUNCTION("""COMPUTED_VALUE"""),"Done")</f>
        <v>Done</v>
      </c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>
      <c r="A300" s="82"/>
      <c r="B300" s="98" t="str">
        <f>IFERROR(__xludf.DUMMYFUNCTION("""COMPUTED_VALUE"""),"230")</f>
        <v>230</v>
      </c>
      <c r="C300" s="98" t="str">
        <f>IFERROR(__xludf.DUMMYFUNCTION("""COMPUTED_VALUE"""),"Jeni")</f>
        <v>Jeni</v>
      </c>
      <c r="D300" s="98" t="str">
        <f>IFERROR(__xludf.DUMMYFUNCTION("""COMPUTED_VALUE"""),"752909412")</f>
        <v>752909412</v>
      </c>
      <c r="E300" s="98" t="str">
        <f>IFERROR(__xludf.DUMMYFUNCTION("""COMPUTED_VALUE"""),"N")</f>
        <v>N</v>
      </c>
      <c r="F300" s="98" t="str">
        <f>IFERROR(__xludf.DUMMYFUNCTION("""COMPUTED_VALUE"""),"Miraci Holdings")</f>
        <v>Miraci Holdings</v>
      </c>
      <c r="G300" s="98" t="str">
        <f>IFERROR(__xludf.DUMMYFUNCTION("""COMPUTED_VALUE"""),"BE083483")</f>
        <v>BE083483</v>
      </c>
      <c r="H300" s="98" t="str">
        <f>IFERROR(__xludf.DUMMYFUNCTION("""COMPUTED_VALUE"""),"Re Deliver")</f>
        <v>Re Deliver</v>
      </c>
      <c r="I300" s="98" t="str">
        <f>IFERROR(__xludf.DUMMYFUNCTION("""COMPUTED_VALUE"""),"Kurunegala")</f>
        <v>Kurunegala</v>
      </c>
      <c r="J300" s="98" t="str">
        <f>IFERROR(__xludf.DUMMYFUNCTION("""COMPUTED_VALUE"""),"Received At Destination")</f>
        <v>Received At Destination</v>
      </c>
      <c r="K300" s="98" t="str">
        <f>IFERROR(__xludf.DUMMYFUNCTION("""COMPUTED_VALUE"""),"Customer Care")</f>
        <v>Customer Care</v>
      </c>
      <c r="L300" s="98" t="str">
        <f>IFERROR(__xludf.DUMMYFUNCTION("""COMPUTED_VALUE"""),"Done")</f>
        <v>Done</v>
      </c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>
      <c r="A301" s="82"/>
      <c r="B301" s="106" t="str">
        <f>IFERROR(__xludf.DUMMYFUNCTION("""COMPUTED_VALUE"""),"261")</f>
        <v>261</v>
      </c>
      <c r="C301" s="106" t="str">
        <f>IFERROR(__xludf.DUMMYFUNCTION("""COMPUTED_VALUE"""),"Lakshani")</f>
        <v>Lakshani</v>
      </c>
      <c r="D301" s="106" t="str">
        <f>IFERROR(__xludf.DUMMYFUNCTION("""COMPUTED_VALUE"""),"703270505")</f>
        <v>703270505</v>
      </c>
      <c r="E301" s="106" t="str">
        <f>IFERROR(__xludf.DUMMYFUNCTION("""COMPUTED_VALUE"""),"N")</f>
        <v>N</v>
      </c>
      <c r="F301" s="107" t="str">
        <f>IFERROR(__xludf.DUMMYFUNCTION("""COMPUTED_VALUE"""),"Crown.Lk")</f>
        <v>Crown.Lk</v>
      </c>
      <c r="G301" s="106" t="str">
        <f>IFERROR(__xludf.DUMMYFUNCTION("""COMPUTED_VALUE"""),"BE039457")</f>
        <v>BE039457</v>
      </c>
      <c r="H301" s="106" t="str">
        <f>IFERROR(__xludf.DUMMYFUNCTION("""COMPUTED_VALUE"""),"Customer Want Return The Package")</f>
        <v>Customer Want Return The Package</v>
      </c>
      <c r="I301" s="106" t="str">
        <f>IFERROR(__xludf.DUMMYFUNCTION("""COMPUTED_VALUE"""),"Colombo Metro")</f>
        <v>Colombo Metro</v>
      </c>
      <c r="J301" s="106" t="str">
        <f>IFERROR(__xludf.DUMMYFUNCTION("""COMPUTED_VALUE"""),"Out For Delivery")</f>
        <v>Out For Delivery</v>
      </c>
      <c r="K301" s="106" t="str">
        <f>IFERROR(__xludf.DUMMYFUNCTION("""COMPUTED_VALUE"""),"Customer Care")</f>
        <v>Customer Care</v>
      </c>
      <c r="L301" s="106" t="str">
        <f>IFERROR(__xludf.DUMMYFUNCTION("""COMPUTED_VALUE"""),"Informed Genzo Team")</f>
        <v>Informed Genzo Team</v>
      </c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>
      <c r="A302" s="82"/>
      <c r="B302" s="98" t="str">
        <f>IFERROR(__xludf.DUMMYFUNCTION("""COMPUTED_VALUE"""),"262")</f>
        <v>262</v>
      </c>
      <c r="C302" s="98" t="str">
        <f>IFERROR(__xludf.DUMMYFUNCTION("""COMPUTED_VALUE"""),"Lakshani")</f>
        <v>Lakshani</v>
      </c>
      <c r="D302" s="98" t="str">
        <f>IFERROR(__xludf.DUMMYFUNCTION("""COMPUTED_VALUE"""),"778978202")</f>
        <v>778978202</v>
      </c>
      <c r="E302" s="98" t="str">
        <f>IFERROR(__xludf.DUMMYFUNCTION("""COMPUTED_VALUE"""),"N")</f>
        <v>N</v>
      </c>
      <c r="F302" s="108" t="str">
        <f>IFERROR(__xludf.DUMMYFUNCTION("""COMPUTED_VALUE"""),"Crown.Lk")</f>
        <v>Crown.Lk</v>
      </c>
      <c r="G302" s="98" t="str">
        <f>IFERROR(__xludf.DUMMYFUNCTION("""COMPUTED_VALUE"""),"BE039457")</f>
        <v>BE039457</v>
      </c>
      <c r="H302" s="98" t="str">
        <f>IFERROR(__xludf.DUMMYFUNCTION("""COMPUTED_VALUE"""),"Not Responded")</f>
        <v>Not Responded</v>
      </c>
      <c r="I302" s="98" t="str">
        <f>IFERROR(__xludf.DUMMYFUNCTION("""COMPUTED_VALUE"""),"Colombo Metro")</f>
        <v>Colombo Metro</v>
      </c>
      <c r="J302" s="98" t="str">
        <f>IFERROR(__xludf.DUMMYFUNCTION("""COMPUTED_VALUE"""),"Out For Delivery")</f>
        <v>Out For Delivery</v>
      </c>
      <c r="K302" s="98" t="str">
        <f>IFERROR(__xludf.DUMMYFUNCTION("""COMPUTED_VALUE"""),"Customer Care")</f>
        <v>Customer Care</v>
      </c>
      <c r="L302" s="98" t="str">
        <f>IFERROR(__xludf.DUMMYFUNCTION("""COMPUTED_VALUE"""),"Disconected The Line")</f>
        <v>Disconected The Line</v>
      </c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>
      <c r="A303" s="82"/>
      <c r="B303" s="106" t="str">
        <f>IFERROR(__xludf.DUMMYFUNCTION("""COMPUTED_VALUE"""),"245")</f>
        <v>245</v>
      </c>
      <c r="C303" s="106" t="str">
        <f>IFERROR(__xludf.DUMMYFUNCTION("""COMPUTED_VALUE"""),"Lakshani")</f>
        <v>Lakshani</v>
      </c>
      <c r="D303" s="106" t="str">
        <f>IFERROR(__xludf.DUMMYFUNCTION("""COMPUTED_VALUE"""),"725691377")</f>
        <v>725691377</v>
      </c>
      <c r="E303" s="106" t="str">
        <f>IFERROR(__xludf.DUMMYFUNCTION("""COMPUTED_VALUE"""),"Y")</f>
        <v>Y</v>
      </c>
      <c r="F303" s="106" t="str">
        <f>IFERROR(__xludf.DUMMYFUNCTION("""COMPUTED_VALUE"""),"Kw Holdings")</f>
        <v>Kw Holdings</v>
      </c>
      <c r="G303" s="106" t="str">
        <f>IFERROR(__xludf.DUMMYFUNCTION("""COMPUTED_VALUE"""),"BE129344")</f>
        <v>BE129344</v>
      </c>
      <c r="H303" s="106" t="str">
        <f>IFERROR(__xludf.DUMMYFUNCTION("""COMPUTED_VALUE"""),"Customer Want Return The Package")</f>
        <v>Customer Want Return The Package</v>
      </c>
      <c r="I303" s="106" t="str">
        <f>IFERROR(__xludf.DUMMYFUNCTION("""COMPUTED_VALUE"""),"Thalawathugoda")</f>
        <v>Thalawathugoda</v>
      </c>
      <c r="J303" s="106" t="str">
        <f>IFERROR(__xludf.DUMMYFUNCTION("""COMPUTED_VALUE"""),"Received At Destination")</f>
        <v>Received At Destination</v>
      </c>
      <c r="K303" s="106" t="str">
        <f>IFERROR(__xludf.DUMMYFUNCTION("""COMPUTED_VALUE"""),"Customer Care")</f>
        <v>Customer Care</v>
      </c>
      <c r="L303" s="106" t="str">
        <f>IFERROR(__xludf.DUMMYFUNCTION("""COMPUTED_VALUE"""),"Informed Genzo Team")</f>
        <v>Informed Genzo Team</v>
      </c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>
      <c r="A304" s="82"/>
      <c r="B304" s="98" t="str">
        <f>IFERROR(__xludf.DUMMYFUNCTION("""COMPUTED_VALUE"""),"264")</f>
        <v>264</v>
      </c>
      <c r="C304" s="98" t="str">
        <f>IFERROR(__xludf.DUMMYFUNCTION("""COMPUTED_VALUE"""),"Lakshani")</f>
        <v>Lakshani</v>
      </c>
      <c r="D304" s="98" t="str">
        <f>IFERROR(__xludf.DUMMYFUNCTION("""COMPUTED_VALUE"""),"760486453")</f>
        <v>760486453</v>
      </c>
      <c r="E304" s="98" t="str">
        <f>IFERROR(__xludf.DUMMYFUNCTION("""COMPUTED_VALUE"""),"N")</f>
        <v>N</v>
      </c>
      <c r="F304" s="108" t="str">
        <f>IFERROR(__xludf.DUMMYFUNCTION("""COMPUTED_VALUE"""),"Netwave.Lk")</f>
        <v>Netwave.Lk</v>
      </c>
      <c r="G304" s="98" t="str">
        <f>IFERROR(__xludf.DUMMYFUNCTION("""COMPUTED_VALUE"""),"A4086806")</f>
        <v>A4086806</v>
      </c>
      <c r="H304" s="98" t="str">
        <f>IFERROR(__xludf.DUMMYFUNCTION("""COMPUTED_VALUE"""),"Metro Branch Number")</f>
        <v>Metro Branch Number</v>
      </c>
      <c r="I304" s="98" t="str">
        <f>IFERROR(__xludf.DUMMYFUNCTION("""COMPUTED_VALUE"""),"Negombo")</f>
        <v>Negombo</v>
      </c>
      <c r="J304" s="98" t="str">
        <f>IFERROR(__xludf.DUMMYFUNCTION("""COMPUTED_VALUE"""),"Returned To Branch Rescheduled")</f>
        <v>Returned To Branch Rescheduled</v>
      </c>
      <c r="K304" s="98" t="str">
        <f>IFERROR(__xludf.DUMMYFUNCTION("""COMPUTED_VALUE"""),"Customer Care")</f>
        <v>Customer Care</v>
      </c>
      <c r="L304" s="98" t="str">
        <f>IFERROR(__xludf.DUMMYFUNCTION("""COMPUTED_VALUE"""),"Given Incharge Number")</f>
        <v>Given Incharge Number</v>
      </c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>
      <c r="A305" s="82"/>
      <c r="B305" s="106" t="str">
        <f>IFERROR(__xludf.DUMMYFUNCTION("""COMPUTED_VALUE"""),"232")</f>
        <v>232</v>
      </c>
      <c r="C305" s="106" t="str">
        <f>IFERROR(__xludf.DUMMYFUNCTION("""COMPUTED_VALUE"""),"Jeni")</f>
        <v>Jeni</v>
      </c>
      <c r="D305" s="106" t="str">
        <f>IFERROR(__xludf.DUMMYFUNCTION("""COMPUTED_VALUE"""),"740285177")</f>
        <v>740285177</v>
      </c>
      <c r="E305" s="106" t="str">
        <f>IFERROR(__xludf.DUMMYFUNCTION("""COMPUTED_VALUE"""),"N")</f>
        <v>N</v>
      </c>
      <c r="F305" s="107" t="str">
        <f>IFERROR(__xludf.DUMMYFUNCTION("""COMPUTED_VALUE"""),"Netwave.Lk")</f>
        <v>Netwave.Lk</v>
      </c>
      <c r="G305" s="106" t="str">
        <f>IFERROR(__xludf.DUMMYFUNCTION("""COMPUTED_VALUE"""),"A3373703")</f>
        <v>A3373703</v>
      </c>
      <c r="H305" s="106" t="str">
        <f>IFERROR(__xludf.DUMMYFUNCTION("""COMPUTED_VALUE"""),"Re Deliver")</f>
        <v>Re Deliver</v>
      </c>
      <c r="I305" s="106" t="str">
        <f>IFERROR(__xludf.DUMMYFUNCTION("""COMPUTED_VALUE"""),"Negombo")</f>
        <v>Negombo</v>
      </c>
      <c r="J305" s="106" t="str">
        <f>IFERROR(__xludf.DUMMYFUNCTION("""COMPUTED_VALUE"""),"Returned To Branch Rescheduled")</f>
        <v>Returned To Branch Rescheduled</v>
      </c>
      <c r="K305" s="106" t="str">
        <f>IFERROR(__xludf.DUMMYFUNCTION("""COMPUTED_VALUE"""),"Customer Care")</f>
        <v>Customer Care</v>
      </c>
      <c r="L305" s="106" t="str">
        <f>IFERROR(__xludf.DUMMYFUNCTION("""COMPUTED_VALUE"""),"Done")</f>
        <v>Done</v>
      </c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>
      <c r="A306" s="82"/>
      <c r="B306" s="98" t="str">
        <f>IFERROR(__xludf.DUMMYFUNCTION("""COMPUTED_VALUE"""),"266")</f>
        <v>266</v>
      </c>
      <c r="C306" s="98" t="str">
        <f>IFERROR(__xludf.DUMMYFUNCTION("""COMPUTED_VALUE"""),"Lakshani")</f>
        <v>Lakshani</v>
      </c>
      <c r="D306" s="98" t="str">
        <f>IFERROR(__xludf.DUMMYFUNCTION("""COMPUTED_VALUE"""),"763519253")</f>
        <v>763519253</v>
      </c>
      <c r="E306" s="98" t="str">
        <f>IFERROR(__xludf.DUMMYFUNCTION("""COMPUTED_VALUE"""),"N")</f>
        <v>N</v>
      </c>
      <c r="F306" s="108" t="str">
        <f>IFERROR(__xludf.DUMMYFUNCTION("""COMPUTED_VALUE"""),"Tropical.Lk")</f>
        <v>Tropical.Lk</v>
      </c>
      <c r="G306" s="98" t="str">
        <f>IFERROR(__xludf.DUMMYFUNCTION("""COMPUTED_VALUE"""),"A6565839")</f>
        <v>A6565839</v>
      </c>
      <c r="H306" s="98" t="str">
        <f>IFERROR(__xludf.DUMMYFUNCTION("""COMPUTED_VALUE"""),"Customer Want Return The Package")</f>
        <v>Customer Want Return The Package</v>
      </c>
      <c r="I306" s="98" t="str">
        <f>IFERROR(__xludf.DUMMYFUNCTION("""COMPUTED_VALUE"""),"Rajagiriya")</f>
        <v>Rajagiriya</v>
      </c>
      <c r="J306" s="98" t="str">
        <f>IFERROR(__xludf.DUMMYFUNCTION("""COMPUTED_VALUE"""),"Returned To Branch Rescheduled")</f>
        <v>Returned To Branch Rescheduled</v>
      </c>
      <c r="K306" s="98" t="str">
        <f>IFERROR(__xludf.DUMMYFUNCTION("""COMPUTED_VALUE"""),"Customer Care")</f>
        <v>Customer Care</v>
      </c>
      <c r="L306" s="98" t="str">
        <f>IFERROR(__xludf.DUMMYFUNCTION("""COMPUTED_VALUE"""),"Informed Genzo Team")</f>
        <v>Informed Genzo Team</v>
      </c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>
      <c r="A307" s="82"/>
      <c r="B307" s="106" t="str">
        <f>IFERROR(__xludf.DUMMYFUNCTION("""COMPUTED_VALUE"""),"249")</f>
        <v>249</v>
      </c>
      <c r="C307" s="106" t="str">
        <f>IFERROR(__xludf.DUMMYFUNCTION("""COMPUTED_VALUE"""),"Lakshani")</f>
        <v>Lakshani</v>
      </c>
      <c r="D307" s="106" t="str">
        <f>IFERROR(__xludf.DUMMYFUNCTION("""COMPUTED_VALUE"""),"777114970")</f>
        <v>777114970</v>
      </c>
      <c r="E307" s="106" t="str">
        <f>IFERROR(__xludf.DUMMYFUNCTION("""COMPUTED_VALUE"""),"Y")</f>
        <v>Y</v>
      </c>
      <c r="F307" s="106" t="str">
        <f>IFERROR(__xludf.DUMMYFUNCTION("""COMPUTED_VALUE"""),"Saku Fashion")</f>
        <v>Saku Fashion</v>
      </c>
      <c r="G307" s="106" t="str">
        <f>IFERROR(__xludf.DUMMYFUNCTION("""COMPUTED_VALUE"""),"A4322051")</f>
        <v>A4322051</v>
      </c>
      <c r="H307" s="106" t="str">
        <f>IFERROR(__xludf.DUMMYFUNCTION("""COMPUTED_VALUE"""),"Package Show In 18200.00")</f>
        <v>Package Show In 18200.00</v>
      </c>
      <c r="I307" s="106" t="str">
        <f>IFERROR(__xludf.DUMMYFUNCTION("""COMPUTED_VALUE"""),"Ratnapura")</f>
        <v>Ratnapura</v>
      </c>
      <c r="J307" s="106" t="str">
        <f>IFERROR(__xludf.DUMMYFUNCTION("""COMPUTED_VALUE"""),"Out For Delivery")</f>
        <v>Out For Delivery</v>
      </c>
      <c r="K307" s="106" t="str">
        <f>IFERROR(__xludf.DUMMYFUNCTION("""COMPUTED_VALUE"""),"Customer Care")</f>
        <v>Customer Care</v>
      </c>
      <c r="L307" s="106" t="str">
        <f>IFERROR(__xludf.DUMMYFUNCTION("""COMPUTED_VALUE"""),"Informed Client")</f>
        <v>Informed Client</v>
      </c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>
      <c r="A308" s="82"/>
      <c r="B308" s="98" t="str">
        <f>IFERROR(__xludf.DUMMYFUNCTION("""COMPUTED_VALUE"""),"234")</f>
        <v>234</v>
      </c>
      <c r="C308" s="98" t="str">
        <f>IFERROR(__xludf.DUMMYFUNCTION("""COMPUTED_VALUE"""),"Jeni")</f>
        <v>Jeni</v>
      </c>
      <c r="D308" s="98" t="str">
        <f>IFERROR(__xludf.DUMMYFUNCTION("""COMPUTED_VALUE"""),"783111226")</f>
        <v>783111226</v>
      </c>
      <c r="E308" s="98" t="str">
        <f>IFERROR(__xludf.DUMMYFUNCTION("""COMPUTED_VALUE"""),"Y")</f>
        <v>Y</v>
      </c>
      <c r="F308" s="98" t="str">
        <f>IFERROR(__xludf.DUMMYFUNCTION("""COMPUTED_VALUE"""),"Saku Fashion")</f>
        <v>Saku Fashion</v>
      </c>
      <c r="G308" s="98" t="str">
        <f>IFERROR(__xludf.DUMMYFUNCTION("""COMPUTED_VALUE"""),"BE055923")</f>
        <v>BE055923</v>
      </c>
      <c r="H308" s="98" t="str">
        <f>IFERROR(__xludf.DUMMYFUNCTION("""COMPUTED_VALUE"""),"Re Deliver")</f>
        <v>Re Deliver</v>
      </c>
      <c r="I308" s="98" t="str">
        <f>IFERROR(__xludf.DUMMYFUNCTION("""COMPUTED_VALUE"""),"Kandy")</f>
        <v>Kandy</v>
      </c>
      <c r="J308" s="98" t="str">
        <f>IFERROR(__xludf.DUMMYFUNCTION("""COMPUTED_VALUE"""),"Returned To Branch Failed To Deliver")</f>
        <v>Returned To Branch Failed To Deliver</v>
      </c>
      <c r="K308" s="98" t="str">
        <f>IFERROR(__xludf.DUMMYFUNCTION("""COMPUTED_VALUE"""),"Customer Care")</f>
        <v>Customer Care</v>
      </c>
      <c r="L308" s="98" t="str">
        <f>IFERROR(__xludf.DUMMYFUNCTION("""COMPUTED_VALUE"""),"Done")</f>
        <v>Done</v>
      </c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>
      <c r="A309" s="82"/>
      <c r="B309" s="106" t="str">
        <f>IFERROR(__xludf.DUMMYFUNCTION("""COMPUTED_VALUE"""),"269")</f>
        <v>269</v>
      </c>
      <c r="C309" s="106" t="str">
        <f>IFERROR(__xludf.DUMMYFUNCTION("""COMPUTED_VALUE"""),"Lakshani")</f>
        <v>Lakshani</v>
      </c>
      <c r="D309" s="106" t="str">
        <f>IFERROR(__xludf.DUMMYFUNCTION("""COMPUTED_VALUE"""),"771744713")</f>
        <v>771744713</v>
      </c>
      <c r="E309" s="106" t="str">
        <f>IFERROR(__xludf.DUMMYFUNCTION("""COMPUTED_VALUE"""),"N")</f>
        <v>N</v>
      </c>
      <c r="F309" s="106" t="str">
        <f>IFERROR(__xludf.DUMMYFUNCTION("""COMPUTED_VALUE"""),"Miraci Holdings")</f>
        <v>Miraci Holdings</v>
      </c>
      <c r="G309" s="106" t="str">
        <f>IFERROR(__xludf.DUMMYFUNCTION("""COMPUTED_VALUE"""),"BE083066")</f>
        <v>BE083066</v>
      </c>
      <c r="H309" s="106" t="str">
        <f>IFERROR(__xludf.DUMMYFUNCTION("""COMPUTED_VALUE"""),"Customer Want Return The Package")</f>
        <v>Customer Want Return The Package</v>
      </c>
      <c r="I309" s="106" t="str">
        <f>IFERROR(__xludf.DUMMYFUNCTION("""COMPUTED_VALUE"""),"Kurunegala")</f>
        <v>Kurunegala</v>
      </c>
      <c r="J309" s="106" t="str">
        <f>IFERROR(__xludf.DUMMYFUNCTION("""COMPUTED_VALUE"""),"Received At Destination")</f>
        <v>Received At Destination</v>
      </c>
      <c r="K309" s="106" t="str">
        <f>IFERROR(__xludf.DUMMYFUNCTION("""COMPUTED_VALUE"""),"Customer Care")</f>
        <v>Customer Care</v>
      </c>
      <c r="L309" s="106" t="str">
        <f>IFERROR(__xludf.DUMMYFUNCTION("""COMPUTED_VALUE"""),"Informed Genzo Team")</f>
        <v>Informed Genzo Team</v>
      </c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>
      <c r="A310" s="82"/>
      <c r="B310" s="98" t="str">
        <f>IFERROR(__xludf.DUMMYFUNCTION("""COMPUTED_VALUE"""),"252")</f>
        <v>252</v>
      </c>
      <c r="C310" s="98" t="str">
        <f>IFERROR(__xludf.DUMMYFUNCTION("""COMPUTED_VALUE"""),"Lakshani")</f>
        <v>Lakshani</v>
      </c>
      <c r="D310" s="98" t="str">
        <f>IFERROR(__xludf.DUMMYFUNCTION("""COMPUTED_VALUE"""),"767203712")</f>
        <v>767203712</v>
      </c>
      <c r="E310" s="98" t="str">
        <f>IFERROR(__xludf.DUMMYFUNCTION("""COMPUTED_VALUE"""),"Y")</f>
        <v>Y</v>
      </c>
      <c r="F310" s="98" t="str">
        <f>IFERROR(__xludf.DUMMYFUNCTION("""COMPUTED_VALUE"""),"P &amp; S Help Investment Pvt(Ltd)")</f>
        <v>P &amp; S Help Investment Pvt(Ltd)</v>
      </c>
      <c r="G310" s="98" t="str">
        <f>IFERROR(__xludf.DUMMYFUNCTION("""COMPUTED_VALUE"""),"BE045569")</f>
        <v>BE045569</v>
      </c>
      <c r="H310" s="98" t="str">
        <f>IFERROR(__xludf.DUMMYFUNCTION("""COMPUTED_VALUE"""),"Re Deliver")</f>
        <v>Re Deliver</v>
      </c>
      <c r="I310" s="98" t="str">
        <f>IFERROR(__xludf.DUMMYFUNCTION("""COMPUTED_VALUE"""),"Ratmalana")</f>
        <v>Ratmalana</v>
      </c>
      <c r="J310" s="98" t="str">
        <f>IFERROR(__xludf.DUMMYFUNCTION("""COMPUTED_VALUE"""),"Returned To Branch Rescheduled")</f>
        <v>Returned To Branch Rescheduled</v>
      </c>
      <c r="K310" s="98" t="str">
        <f>IFERROR(__xludf.DUMMYFUNCTION("""COMPUTED_VALUE"""),"Customer Care")</f>
        <v>Customer Care</v>
      </c>
      <c r="L310" s="98" t="str">
        <f>IFERROR(__xludf.DUMMYFUNCTION("""COMPUTED_VALUE"""),"Done")</f>
        <v>Done</v>
      </c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>
      <c r="A311" s="82"/>
      <c r="B311" s="106" t="str">
        <f>IFERROR(__xludf.DUMMYFUNCTION("""COMPUTED_VALUE"""),"235")</f>
        <v>235</v>
      </c>
      <c r="C311" s="106" t="str">
        <f>IFERROR(__xludf.DUMMYFUNCTION("""COMPUTED_VALUE"""),"Jeni")</f>
        <v>Jeni</v>
      </c>
      <c r="D311" s="106" t="str">
        <f>IFERROR(__xludf.DUMMYFUNCTION("""COMPUTED_VALUE"""),"735173634")</f>
        <v>735173634</v>
      </c>
      <c r="E311" s="106" t="str">
        <f>IFERROR(__xludf.DUMMYFUNCTION("""COMPUTED_VALUE"""),"Y")</f>
        <v>Y</v>
      </c>
      <c r="F311" s="107" t="str">
        <f>IFERROR(__xludf.DUMMYFUNCTION("""COMPUTED_VALUE"""),"Splash.Lk")</f>
        <v>Splash.Lk</v>
      </c>
      <c r="G311" s="106" t="str">
        <f>IFERROR(__xludf.DUMMYFUNCTION("""COMPUTED_VALUE"""),"A4599442")</f>
        <v>A4599442</v>
      </c>
      <c r="H311" s="106" t="str">
        <f>IFERROR(__xludf.DUMMYFUNCTION("""COMPUTED_VALUE"""),"Customer Request -Deliver On Friday")</f>
        <v>Customer Request -Deliver On Friday</v>
      </c>
      <c r="I311" s="106" t="str">
        <f>IFERROR(__xludf.DUMMYFUNCTION("""COMPUTED_VALUE"""),"Piliyandala")</f>
        <v>Piliyandala</v>
      </c>
      <c r="J311" s="106" t="str">
        <f>IFERROR(__xludf.DUMMYFUNCTION("""COMPUTED_VALUE"""),"Returned To Branch Rescheduled")</f>
        <v>Returned To Branch Rescheduled</v>
      </c>
      <c r="K311" s="106" t="str">
        <f>IFERROR(__xludf.DUMMYFUNCTION("""COMPUTED_VALUE"""),"Branch Operations")</f>
        <v>Branch Operations</v>
      </c>
      <c r="L311" s="106" t="str">
        <f>IFERROR(__xludf.DUMMYFUNCTION("""COMPUTED_VALUE"""),"Informed Branch Number Via A Whatsapp")</f>
        <v>Informed Branch Number Via A Whatsapp</v>
      </c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>
      <c r="A312" s="82"/>
      <c r="B312" s="98" t="str">
        <f>IFERROR(__xludf.DUMMYFUNCTION("""COMPUTED_VALUE"""),"254")</f>
        <v>254</v>
      </c>
      <c r="C312" s="98" t="str">
        <f>IFERROR(__xludf.DUMMYFUNCTION("""COMPUTED_VALUE"""),"Lakshani")</f>
        <v>Lakshani</v>
      </c>
      <c r="D312" s="98" t="str">
        <f>IFERROR(__xludf.DUMMYFUNCTION("""COMPUTED_VALUE"""),"703320004")</f>
        <v>703320004</v>
      </c>
      <c r="E312" s="98" t="str">
        <f>IFERROR(__xludf.DUMMYFUNCTION("""COMPUTED_VALUE"""),"N")</f>
        <v>N</v>
      </c>
      <c r="F312" s="98" t="str">
        <f>IFERROR(__xludf.DUMMYFUNCTION("""COMPUTED_VALUE"""),"Luxury Beauty")</f>
        <v>Luxury Beauty</v>
      </c>
      <c r="G312" s="98" t="str">
        <f>IFERROR(__xludf.DUMMYFUNCTION("""COMPUTED_VALUE"""),"BA778333")</f>
        <v>BA778333</v>
      </c>
      <c r="H312" s="98" t="str">
        <f>IFERROR(__xludf.DUMMYFUNCTION("""COMPUTED_VALUE"""),"Not Responded")</f>
        <v>Not Responded</v>
      </c>
      <c r="I312" s="98" t="str">
        <f>IFERROR(__xludf.DUMMYFUNCTION("""COMPUTED_VALUE"""),"Kandy")</f>
        <v>Kandy</v>
      </c>
      <c r="J312" s="98" t="str">
        <f>IFERROR(__xludf.DUMMYFUNCTION("""COMPUTED_VALUE"""),"Returned To Branch Failed To Deliver")</f>
        <v>Returned To Branch Failed To Deliver</v>
      </c>
      <c r="K312" s="98" t="str">
        <f>IFERROR(__xludf.DUMMYFUNCTION("""COMPUTED_VALUE"""),"Customer Care")</f>
        <v>Customer Care</v>
      </c>
      <c r="L312" s="98" t="str">
        <f>IFERROR(__xludf.DUMMYFUNCTION("""COMPUTED_VALUE"""),"Disconeced The Line")</f>
        <v>Disconeced The Line</v>
      </c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>
      <c r="A313" s="82"/>
      <c r="B313" s="106" t="str">
        <f>IFERROR(__xludf.DUMMYFUNCTION("""COMPUTED_VALUE"""),"255")</f>
        <v>255</v>
      </c>
      <c r="C313" s="106" t="str">
        <f>IFERROR(__xludf.DUMMYFUNCTION("""COMPUTED_VALUE"""),"Lakshani")</f>
        <v>Lakshani</v>
      </c>
      <c r="D313" s="106" t="str">
        <f>IFERROR(__xludf.DUMMYFUNCTION("""COMPUTED_VALUE"""),"777687231")</f>
        <v>777687231</v>
      </c>
      <c r="E313" s="106" t="str">
        <f>IFERROR(__xludf.DUMMYFUNCTION("""COMPUTED_VALUE"""),"Y")</f>
        <v>Y</v>
      </c>
      <c r="F313" s="106" t="str">
        <f>IFERROR(__xludf.DUMMYFUNCTION("""COMPUTED_VALUE"""),"Mr. Vitamin Online Store")</f>
        <v>Mr. Vitamin Online Store</v>
      </c>
      <c r="G313" s="106" t="str">
        <f>IFERROR(__xludf.DUMMYFUNCTION("""COMPUTED_VALUE"""),"BA766368")</f>
        <v>BA766368</v>
      </c>
      <c r="H313" s="106" t="str">
        <f>IFERROR(__xludf.DUMMYFUNCTION("""COMPUTED_VALUE"""),"Rea Tamil Agent")</f>
        <v>Rea Tamil Agent</v>
      </c>
      <c r="I313" s="106" t="str">
        <f>IFERROR(__xludf.DUMMYFUNCTION("""COMPUTED_VALUE"""),"Kandy")</f>
        <v>Kandy</v>
      </c>
      <c r="J313" s="106" t="str">
        <f>IFERROR(__xludf.DUMMYFUNCTION("""COMPUTED_VALUE"""),"Returned To Branch Failed To Deliver")</f>
        <v>Returned To Branch Failed To Deliver</v>
      </c>
      <c r="K313" s="106" t="str">
        <f>IFERROR(__xludf.DUMMYFUNCTION("""COMPUTED_VALUE"""),"Customer Care")</f>
        <v>Customer Care</v>
      </c>
      <c r="L313" s="106" t="str">
        <f>IFERROR(__xludf.DUMMYFUNCTION("""COMPUTED_VALUE"""),"Tranfer Cll")</f>
        <v>Tranfer Cll</v>
      </c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>
      <c r="A314" s="82"/>
      <c r="B314" s="98" t="str">
        <f>IFERROR(__xludf.DUMMYFUNCTION("""COMPUTED_VALUE"""),"256")</f>
        <v>256</v>
      </c>
      <c r="C314" s="98" t="str">
        <f>IFERROR(__xludf.DUMMYFUNCTION("""COMPUTED_VALUE"""),"Lakshani")</f>
        <v>Lakshani</v>
      </c>
      <c r="D314" s="98" t="str">
        <f>IFERROR(__xludf.DUMMYFUNCTION("""COMPUTED_VALUE"""),"772131099")</f>
        <v>772131099</v>
      </c>
      <c r="E314" s="98" t="str">
        <f>IFERROR(__xludf.DUMMYFUNCTION("""COMPUTED_VALUE"""),"Y")</f>
        <v>Y</v>
      </c>
      <c r="F314" s="98" t="str">
        <f>IFERROR(__xludf.DUMMYFUNCTION("""COMPUTED_VALUE"""),"Mr. Vitamin Online Store")</f>
        <v>Mr. Vitamin Online Store</v>
      </c>
      <c r="G314" s="98" t="str">
        <f>IFERROR(__xludf.DUMMYFUNCTION("""COMPUTED_VALUE"""),"BA766368")</f>
        <v>BA766368</v>
      </c>
      <c r="H314" s="98" t="str">
        <f>IFERROR(__xludf.DUMMYFUNCTION("""COMPUTED_VALUE"""),"Line Not Clear")</f>
        <v>Line Not Clear</v>
      </c>
      <c r="I314" s="98" t="str">
        <f>IFERROR(__xludf.DUMMYFUNCTION("""COMPUTED_VALUE"""),"Kandy")</f>
        <v>Kandy</v>
      </c>
      <c r="J314" s="98" t="str">
        <f>IFERROR(__xludf.DUMMYFUNCTION("""COMPUTED_VALUE"""),"Returned To Branch Failed To Deliver")</f>
        <v>Returned To Branch Failed To Deliver</v>
      </c>
      <c r="K314" s="98" t="str">
        <f>IFERROR(__xludf.DUMMYFUNCTION("""COMPUTED_VALUE"""),"Customer Care")</f>
        <v>Customer Care</v>
      </c>
      <c r="L314" s="98" t="str">
        <f>IFERROR(__xludf.DUMMYFUNCTION("""COMPUTED_VALUE"""),"Disconected The Line")</f>
        <v>Disconected The Line</v>
      </c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>
      <c r="A315" s="82"/>
      <c r="B315" s="106" t="str">
        <f>IFERROR(__xludf.DUMMYFUNCTION("""COMPUTED_VALUE"""),"257")</f>
        <v>257</v>
      </c>
      <c r="C315" s="106" t="str">
        <f>IFERROR(__xludf.DUMMYFUNCTION("""COMPUTED_VALUE"""),"Lakshani")</f>
        <v>Lakshani</v>
      </c>
      <c r="D315" s="106" t="str">
        <f>IFERROR(__xludf.DUMMYFUNCTION("""COMPUTED_VALUE"""),"712311134")</f>
        <v>712311134</v>
      </c>
      <c r="E315" s="106" t="str">
        <f>IFERROR(__xludf.DUMMYFUNCTION("""COMPUTED_VALUE"""),"Y")</f>
        <v>Y</v>
      </c>
      <c r="F315" s="106" t="str">
        <f>IFERROR(__xludf.DUMMYFUNCTION("""COMPUTED_VALUE"""),"Nd Clothing")</f>
        <v>Nd Clothing</v>
      </c>
      <c r="G315" s="106" t="str">
        <f>IFERROR(__xludf.DUMMYFUNCTION("""COMPUTED_VALUE"""),"A3149166")</f>
        <v>A3149166</v>
      </c>
      <c r="H315" s="106" t="str">
        <f>IFERROR(__xludf.DUMMYFUNCTION("""COMPUTED_VALUE"""),"Didn'T Know The Tracking Number")</f>
        <v>Didn'T Know The Tracking Number</v>
      </c>
      <c r="I315" s="106" t="str">
        <f>IFERROR(__xludf.DUMMYFUNCTION("""COMPUTED_VALUE"""),"Kaduwela")</f>
        <v>Kaduwela</v>
      </c>
      <c r="J315" s="106" t="str">
        <f>IFERROR(__xludf.DUMMYFUNCTION("""COMPUTED_VALUE"""),"Out For Delivery")</f>
        <v>Out For Delivery</v>
      </c>
      <c r="K315" s="106" t="str">
        <f>IFERROR(__xludf.DUMMYFUNCTION("""COMPUTED_VALUE"""),"Customer Care")</f>
        <v>Customer Care</v>
      </c>
      <c r="L315" s="106" t="str">
        <f>IFERROR(__xludf.DUMMYFUNCTION("""COMPUTED_VALUE"""),"Tranfer Cll")</f>
        <v>Tranfer Cll</v>
      </c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>
      <c r="A316" s="82"/>
      <c r="B316" s="98" t="str">
        <f>IFERROR(__xludf.DUMMYFUNCTION("""COMPUTED_VALUE"""),"258")</f>
        <v>258</v>
      </c>
      <c r="C316" s="98" t="str">
        <f>IFERROR(__xludf.DUMMYFUNCTION("""COMPUTED_VALUE"""),"Lakshani")</f>
        <v>Lakshani</v>
      </c>
      <c r="D316" s="98" t="str">
        <f>IFERROR(__xludf.DUMMYFUNCTION("""COMPUTED_VALUE"""),"768953933")</f>
        <v>768953933</v>
      </c>
      <c r="E316" s="98" t="str">
        <f>IFERROR(__xludf.DUMMYFUNCTION("""COMPUTED_VALUE"""),"Y")</f>
        <v>Y</v>
      </c>
      <c r="F316" s="98" t="str">
        <f>IFERROR(__xludf.DUMMYFUNCTION("""COMPUTED_VALUE"""),"Mr. Vitamin Online Store")</f>
        <v>Mr. Vitamin Online Store</v>
      </c>
      <c r="G316" s="98" t="str">
        <f>IFERROR(__xludf.DUMMYFUNCTION("""COMPUTED_VALUE"""),"BA766368")</f>
        <v>BA766368</v>
      </c>
      <c r="H316" s="98" t="str">
        <f>IFERROR(__xludf.DUMMYFUNCTION("""COMPUTED_VALUE"""),"Req Tamil Agent")</f>
        <v>Req Tamil Agent</v>
      </c>
      <c r="I316" s="98" t="str">
        <f>IFERROR(__xludf.DUMMYFUNCTION("""COMPUTED_VALUE"""),"Kandy")</f>
        <v>Kandy</v>
      </c>
      <c r="J316" s="98" t="str">
        <f>IFERROR(__xludf.DUMMYFUNCTION("""COMPUTED_VALUE"""),"Returned To Branch Failed To Deliver")</f>
        <v>Returned To Branch Failed To Deliver</v>
      </c>
      <c r="K316" s="98" t="str">
        <f>IFERROR(__xludf.DUMMYFUNCTION("""COMPUTED_VALUE"""),"Customer Care")</f>
        <v>Customer Care</v>
      </c>
      <c r="L316" s="98" t="str">
        <f>IFERROR(__xludf.DUMMYFUNCTION("""COMPUTED_VALUE"""),"Tranfer Call")</f>
        <v>Tranfer Call</v>
      </c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>
      <c r="A317" s="82"/>
      <c r="B317" s="106" t="str">
        <f>IFERROR(__xludf.DUMMYFUNCTION("""COMPUTED_VALUE"""),"241")</f>
        <v>241</v>
      </c>
      <c r="C317" s="106" t="str">
        <f>IFERROR(__xludf.DUMMYFUNCTION("""COMPUTED_VALUE"""),"Lakshani")</f>
        <v>Lakshani</v>
      </c>
      <c r="D317" s="106" t="str">
        <f>IFERROR(__xludf.DUMMYFUNCTION("""COMPUTED_VALUE"""),"794203519")</f>
        <v>794203519</v>
      </c>
      <c r="E317" s="106" t="str">
        <f>IFERROR(__xludf.DUMMYFUNCTION("""COMPUTED_VALUE"""),"Y")</f>
        <v>Y</v>
      </c>
      <c r="F317" s="106" t="str">
        <f>IFERROR(__xludf.DUMMYFUNCTION("""COMPUTED_VALUE"""),"Global Language Academy")</f>
        <v>Global Language Academy</v>
      </c>
      <c r="G317" s="106" t="str">
        <f>IFERROR(__xludf.DUMMYFUNCTION("""COMPUTED_VALUE"""),"BA770155")</f>
        <v>BA770155</v>
      </c>
      <c r="H317" s="106" t="str">
        <f>IFERROR(__xludf.DUMMYFUNCTION("""COMPUTED_VALUE"""),"D/D Kandy Branch")</f>
        <v>D/D Kandy Branch</v>
      </c>
      <c r="I317" s="106" t="str">
        <f>IFERROR(__xludf.DUMMYFUNCTION("""COMPUTED_VALUE"""),"Colombo Metro")</f>
        <v>Colombo Metro</v>
      </c>
      <c r="J317" s="106" t="str">
        <f>IFERROR(__xludf.DUMMYFUNCTION("""COMPUTED_VALUE"""),"Received At Destination")</f>
        <v>Received At Destination</v>
      </c>
      <c r="K317" s="106" t="str">
        <f>IFERROR(__xludf.DUMMYFUNCTION("""COMPUTED_VALUE"""),"Branch Operations")</f>
        <v>Branch Operations</v>
      </c>
      <c r="L317" s="106" t="str">
        <f>IFERROR(__xludf.DUMMYFUNCTION("""COMPUTED_VALUE"""),"Informed Client About That")</f>
        <v>Informed Client About That</v>
      </c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>
      <c r="A318" s="82"/>
      <c r="B318" s="98" t="str">
        <f>IFERROR(__xludf.DUMMYFUNCTION("""COMPUTED_VALUE"""),"242")</f>
        <v>242</v>
      </c>
      <c r="C318" s="98" t="str">
        <f>IFERROR(__xludf.DUMMYFUNCTION("""COMPUTED_VALUE"""),"Lakshani")</f>
        <v>Lakshani</v>
      </c>
      <c r="D318" s="98" t="str">
        <f>IFERROR(__xludf.DUMMYFUNCTION("""COMPUTED_VALUE"""),"713374217")</f>
        <v>713374217</v>
      </c>
      <c r="E318" s="98" t="str">
        <f>IFERROR(__xludf.DUMMYFUNCTION("""COMPUTED_VALUE"""),"Y")</f>
        <v>Y</v>
      </c>
      <c r="F318" s="98" t="str">
        <f>IFERROR(__xludf.DUMMYFUNCTION("""COMPUTED_VALUE"""),"Neth Fashion Clothing")</f>
        <v>Neth Fashion Clothing</v>
      </c>
      <c r="G318" s="98" t="str">
        <f>IFERROR(__xludf.DUMMYFUNCTION("""COMPUTED_VALUE"""),"A4470093")</f>
        <v>A4470093</v>
      </c>
      <c r="H318" s="98" t="str">
        <f>IFERROR(__xludf.DUMMYFUNCTION("""COMPUTED_VALUE"""),"Urgent Today")</f>
        <v>Urgent Today</v>
      </c>
      <c r="I318" s="98" t="str">
        <f>IFERROR(__xludf.DUMMYFUNCTION("""COMPUTED_VALUE"""),"Homagama")</f>
        <v>Homagama</v>
      </c>
      <c r="J318" s="98" t="str">
        <f>IFERROR(__xludf.DUMMYFUNCTION("""COMPUTED_VALUE"""),"Returned To Branch Rescheduled")</f>
        <v>Returned To Branch Rescheduled</v>
      </c>
      <c r="K318" s="98" t="str">
        <f>IFERROR(__xludf.DUMMYFUNCTION("""COMPUTED_VALUE"""),"Branch Operations")</f>
        <v>Branch Operations</v>
      </c>
      <c r="L318" s="98" t="str">
        <f>IFERROR(__xludf.DUMMYFUNCTION("""COMPUTED_VALUE"""),"Informed Branch")</f>
        <v>Informed Branch</v>
      </c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>
      <c r="A319" s="82"/>
      <c r="B319" s="106" t="str">
        <f>IFERROR(__xludf.DUMMYFUNCTION("""COMPUTED_VALUE"""),"262")</f>
        <v>262</v>
      </c>
      <c r="C319" s="106" t="str">
        <f>IFERROR(__xludf.DUMMYFUNCTION("""COMPUTED_VALUE"""),"Lakshani")</f>
        <v>Lakshani</v>
      </c>
      <c r="D319" s="106" t="str">
        <f>IFERROR(__xludf.DUMMYFUNCTION("""COMPUTED_VALUE"""),"778978202")</f>
        <v>778978202</v>
      </c>
      <c r="E319" s="106" t="str">
        <f>IFERROR(__xludf.DUMMYFUNCTION("""COMPUTED_VALUE"""),"N")</f>
        <v>N</v>
      </c>
      <c r="F319" s="106" t="str">
        <f>IFERROR(__xludf.DUMMYFUNCTION("""COMPUTED_VALUE"""),"Alpha.Com(Pvt)Ltd")</f>
        <v>Alpha.Com(Pvt)Ltd</v>
      </c>
      <c r="G319" s="106" t="str">
        <f>IFERROR(__xludf.DUMMYFUNCTION("""COMPUTED_VALUE"""),"15126322")</f>
        <v>15126322</v>
      </c>
      <c r="H319" s="106" t="str">
        <f>IFERROR(__xludf.DUMMYFUNCTION("""COMPUTED_VALUE"""),"Not Responded")</f>
        <v>Not Responded</v>
      </c>
      <c r="I319" s="106" t="str">
        <f>IFERROR(__xludf.DUMMYFUNCTION("""COMPUTED_VALUE"""),"Colombo Metro")</f>
        <v>Colombo Metro</v>
      </c>
      <c r="J319" s="106" t="str">
        <f>IFERROR(__xludf.DUMMYFUNCTION("""COMPUTED_VALUE"""),"Out For Delivery")</f>
        <v>Out For Delivery</v>
      </c>
      <c r="K319" s="106" t="str">
        <f>IFERROR(__xludf.DUMMYFUNCTION("""COMPUTED_VALUE"""),"Customer Care")</f>
        <v>Customer Care</v>
      </c>
      <c r="L319" s="106" t="str">
        <f>IFERROR(__xludf.DUMMYFUNCTION("""COMPUTED_VALUE"""),"Disconected The Line")</f>
        <v>Disconected The Line</v>
      </c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>
      <c r="A320" s="82"/>
      <c r="B320" s="98" t="str">
        <f>IFERROR(__xludf.DUMMYFUNCTION("""COMPUTED_VALUE"""),"245")</f>
        <v>245</v>
      </c>
      <c r="C320" s="98" t="str">
        <f>IFERROR(__xludf.DUMMYFUNCTION("""COMPUTED_VALUE"""),"Lakshani")</f>
        <v>Lakshani</v>
      </c>
      <c r="D320" s="98" t="str">
        <f>IFERROR(__xludf.DUMMYFUNCTION("""COMPUTED_VALUE"""),"763056168")</f>
        <v>763056168</v>
      </c>
      <c r="E320" s="98" t="str">
        <f>IFERROR(__xludf.DUMMYFUNCTION("""COMPUTED_VALUE"""),"N")</f>
        <v>N</v>
      </c>
      <c r="F320" s="98" t="str">
        <f>IFERROR(__xludf.DUMMYFUNCTION("""COMPUTED_VALUE"""),"Kw Holdings")</f>
        <v>Kw Holdings</v>
      </c>
      <c r="G320" s="98" t="str">
        <f>IFERROR(__xludf.DUMMYFUNCTION("""COMPUTED_VALUE"""),"BE129344")</f>
        <v>BE129344</v>
      </c>
      <c r="H320" s="98" t="str">
        <f>IFERROR(__xludf.DUMMYFUNCTION("""COMPUTED_VALUE"""),"Customer Want Return The Package")</f>
        <v>Customer Want Return The Package</v>
      </c>
      <c r="I320" s="98" t="str">
        <f>IFERROR(__xludf.DUMMYFUNCTION("""COMPUTED_VALUE"""),"Colombo Metro")</f>
        <v>Colombo Metro</v>
      </c>
      <c r="J320" s="98" t="str">
        <f>IFERROR(__xludf.DUMMYFUNCTION("""COMPUTED_VALUE"""),"Out For Delivery")</f>
        <v>Out For Delivery</v>
      </c>
      <c r="K320" s="98" t="str">
        <f>IFERROR(__xludf.DUMMYFUNCTION("""COMPUTED_VALUE"""),"Customer Care")</f>
        <v>Customer Care</v>
      </c>
      <c r="L320" s="98" t="str">
        <f>IFERROR(__xludf.DUMMYFUNCTION("""COMPUTED_VALUE"""),"Informed Genzo Team")</f>
        <v>Informed Genzo Team</v>
      </c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>
      <c r="A321" s="82"/>
      <c r="B321" s="106" t="str">
        <f>IFERROR(__xludf.DUMMYFUNCTION("""COMPUTED_VALUE"""),"246")</f>
        <v>246</v>
      </c>
      <c r="C321" s="106" t="str">
        <f>IFERROR(__xludf.DUMMYFUNCTION("""COMPUTED_VALUE"""),"Lakshani")</f>
        <v>Lakshani</v>
      </c>
      <c r="D321" s="106" t="str">
        <f>IFERROR(__xludf.DUMMYFUNCTION("""COMPUTED_VALUE"""),"765075859")</f>
        <v>765075859</v>
      </c>
      <c r="E321" s="106" t="str">
        <f>IFERROR(__xludf.DUMMYFUNCTION("""COMPUTED_VALUE"""),"N")</f>
        <v>N</v>
      </c>
      <c r="F321" s="106" t="str">
        <f>IFERROR(__xludf.DUMMYFUNCTION("""COMPUTED_VALUE"""),"Sr Center")</f>
        <v>Sr Center</v>
      </c>
      <c r="G321" s="106" t="str">
        <f>IFERROR(__xludf.DUMMYFUNCTION("""COMPUTED_VALUE"""),"A4715695")</f>
        <v>A4715695</v>
      </c>
      <c r="H321" s="106" t="str">
        <f>IFERROR(__xludf.DUMMYFUNCTION("""COMPUTED_VALUE"""),"Re Deliver")</f>
        <v>Re Deliver</v>
      </c>
      <c r="I321" s="106" t="str">
        <f>IFERROR(__xludf.DUMMYFUNCTION("""COMPUTED_VALUE"""),"Kurunegala")</f>
        <v>Kurunegala</v>
      </c>
      <c r="J321" s="106" t="str">
        <f>IFERROR(__xludf.DUMMYFUNCTION("""COMPUTED_VALUE"""),"Received At Destination")</f>
        <v>Received At Destination</v>
      </c>
      <c r="K321" s="106" t="str">
        <f>IFERROR(__xludf.DUMMYFUNCTION("""COMPUTED_VALUE"""),"Customer Care")</f>
        <v>Customer Care</v>
      </c>
      <c r="L321" s="106" t="str">
        <f>IFERROR(__xludf.DUMMYFUNCTION("""COMPUTED_VALUE"""),"Done")</f>
        <v>Done</v>
      </c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>
      <c r="A322" s="82"/>
      <c r="B322" s="98" t="str">
        <f>IFERROR(__xludf.DUMMYFUNCTION("""COMPUTED_VALUE"""),"264")</f>
        <v>264</v>
      </c>
      <c r="C322" s="98" t="str">
        <f>IFERROR(__xludf.DUMMYFUNCTION("""COMPUTED_VALUE"""),"Lakshani")</f>
        <v>Lakshani</v>
      </c>
      <c r="D322" s="98" t="str">
        <f>IFERROR(__xludf.DUMMYFUNCTION("""COMPUTED_VALUE"""),"760486453")</f>
        <v>760486453</v>
      </c>
      <c r="E322" s="98" t="str">
        <f>IFERROR(__xludf.DUMMYFUNCTION("""COMPUTED_VALUE"""),"N")</f>
        <v>N</v>
      </c>
      <c r="F322" s="108" t="str">
        <f>IFERROR(__xludf.DUMMYFUNCTION("""COMPUTED_VALUE"""),"Netwave.Lk")</f>
        <v>Netwave.Lk</v>
      </c>
      <c r="G322" s="98" t="str">
        <f>IFERROR(__xludf.DUMMYFUNCTION("""COMPUTED_VALUE"""),"A4086806")</f>
        <v>A4086806</v>
      </c>
      <c r="H322" s="98" t="str">
        <f>IFERROR(__xludf.DUMMYFUNCTION("""COMPUTED_VALUE"""),"Metro Branch Number")</f>
        <v>Metro Branch Number</v>
      </c>
      <c r="I322" s="98" t="str">
        <f>IFERROR(__xludf.DUMMYFUNCTION("""COMPUTED_VALUE"""),"Colombo Metro")</f>
        <v>Colombo Metro</v>
      </c>
      <c r="J322" s="98" t="str">
        <f>IFERROR(__xludf.DUMMYFUNCTION("""COMPUTED_VALUE"""),"Received At Destination")</f>
        <v>Received At Destination</v>
      </c>
      <c r="K322" s="98" t="str">
        <f>IFERROR(__xludf.DUMMYFUNCTION("""COMPUTED_VALUE"""),"Customer Care")</f>
        <v>Customer Care</v>
      </c>
      <c r="L322" s="98" t="str">
        <f>IFERROR(__xludf.DUMMYFUNCTION("""COMPUTED_VALUE"""),"Given Incharge Number")</f>
        <v>Given Incharge Number</v>
      </c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>
      <c r="A323" s="82"/>
      <c r="B323" s="106" t="str">
        <f>IFERROR(__xludf.DUMMYFUNCTION("""COMPUTED_VALUE"""),"290")</f>
        <v>290</v>
      </c>
      <c r="C323" s="106" t="str">
        <f>IFERROR(__xludf.DUMMYFUNCTION("""COMPUTED_VALUE"""),"Umesha")</f>
        <v>Umesha</v>
      </c>
      <c r="D323" s="106" t="str">
        <f>IFERROR(__xludf.DUMMYFUNCTION("""COMPUTED_VALUE"""),"772994325")</f>
        <v>772994325</v>
      </c>
      <c r="E323" s="106" t="str">
        <f>IFERROR(__xludf.DUMMYFUNCTION("""COMPUTED_VALUE"""),"N")</f>
        <v>N</v>
      </c>
      <c r="F323" s="106" t="str">
        <f>IFERROR(__xludf.DUMMYFUNCTION("""COMPUTED_VALUE"""),"Luxury Beauty")</f>
        <v>Luxury Beauty</v>
      </c>
      <c r="G323" s="106" t="str">
        <f>IFERROR(__xludf.DUMMYFUNCTION("""COMPUTED_VALUE"""),"BA778333")</f>
        <v>BA778333</v>
      </c>
      <c r="H323" s="106" t="str">
        <f>IFERROR(__xludf.DUMMYFUNCTION("""COMPUTED_VALUE"""),"Answered")</f>
        <v>Answered</v>
      </c>
      <c r="I323" s="106" t="str">
        <f>IFERROR(__xludf.DUMMYFUNCTION("""COMPUTED_VALUE"""),"Embilipitiya")</f>
        <v>Embilipitiya</v>
      </c>
      <c r="J323" s="106" t="str">
        <f>IFERROR(__xludf.DUMMYFUNCTION("""COMPUTED_VALUE"""),"Received At Destination")</f>
        <v>Received At Destination</v>
      </c>
      <c r="K323" s="106" t="str">
        <f>IFERROR(__xludf.DUMMYFUNCTION("""COMPUTED_VALUE"""),"Customer Care")</f>
        <v>Customer Care</v>
      </c>
      <c r="L323" s="106" t="str">
        <f>IFERROR(__xludf.DUMMYFUNCTION("""COMPUTED_VALUE"""),"Disconnected")</f>
        <v>Disconnected</v>
      </c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>
      <c r="A324" s="82"/>
      <c r="B324" s="98" t="str">
        <f>IFERROR(__xludf.DUMMYFUNCTION("""COMPUTED_VALUE"""),"266")</f>
        <v>266</v>
      </c>
      <c r="C324" s="98" t="str">
        <f>IFERROR(__xludf.DUMMYFUNCTION("""COMPUTED_VALUE"""),"Lakshani")</f>
        <v>Lakshani</v>
      </c>
      <c r="D324" s="98" t="str">
        <f>IFERROR(__xludf.DUMMYFUNCTION("""COMPUTED_VALUE"""),"763519253")</f>
        <v>763519253</v>
      </c>
      <c r="E324" s="98" t="str">
        <f>IFERROR(__xludf.DUMMYFUNCTION("""COMPUTED_VALUE"""),"N")</f>
        <v>N</v>
      </c>
      <c r="F324" s="108" t="str">
        <f>IFERROR(__xludf.DUMMYFUNCTION("""COMPUTED_VALUE"""),"Tropical.Lk")</f>
        <v>Tropical.Lk</v>
      </c>
      <c r="G324" s="98" t="str">
        <f>IFERROR(__xludf.DUMMYFUNCTION("""COMPUTED_VALUE"""),"A6565839")</f>
        <v>A6565839</v>
      </c>
      <c r="H324" s="98" t="str">
        <f>IFERROR(__xludf.DUMMYFUNCTION("""COMPUTED_VALUE"""),"Customer Want Return The Package")</f>
        <v>Customer Want Return The Package</v>
      </c>
      <c r="I324" s="98" t="str">
        <f>IFERROR(__xludf.DUMMYFUNCTION("""COMPUTED_VALUE"""),"Negombo")</f>
        <v>Negombo</v>
      </c>
      <c r="J324" s="98" t="str">
        <f>IFERROR(__xludf.DUMMYFUNCTION("""COMPUTED_VALUE"""),"Out For Delivery")</f>
        <v>Out For Delivery</v>
      </c>
      <c r="K324" s="98" t="str">
        <f>IFERROR(__xludf.DUMMYFUNCTION("""COMPUTED_VALUE"""),"Customer Care")</f>
        <v>Customer Care</v>
      </c>
      <c r="L324" s="98" t="str">
        <f>IFERROR(__xludf.DUMMYFUNCTION("""COMPUTED_VALUE"""),"Informed Genzo Team")</f>
        <v>Informed Genzo Team</v>
      </c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>
      <c r="A325" s="82"/>
      <c r="B325" s="106" t="str">
        <f>IFERROR(__xludf.DUMMYFUNCTION("""COMPUTED_VALUE"""),"293")</f>
        <v>293</v>
      </c>
      <c r="C325" s="106" t="str">
        <f>IFERROR(__xludf.DUMMYFUNCTION("""COMPUTED_VALUE"""),"Umesha")</f>
        <v>Umesha</v>
      </c>
      <c r="D325" s="106" t="str">
        <f>IFERROR(__xludf.DUMMYFUNCTION("""COMPUTED_VALUE"""),"750850157")</f>
        <v>750850157</v>
      </c>
      <c r="E325" s="106" t="str">
        <f>IFERROR(__xludf.DUMMYFUNCTION("""COMPUTED_VALUE"""),"N")</f>
        <v>N</v>
      </c>
      <c r="F325" s="106" t="str">
        <f>IFERROR(__xludf.DUMMYFUNCTION("""COMPUTED_VALUE"""),"Nd Clothing")</f>
        <v>Nd Clothing</v>
      </c>
      <c r="G325" s="106" t="str">
        <f>IFERROR(__xludf.DUMMYFUNCTION("""COMPUTED_VALUE"""),"A3149166")</f>
        <v>A3149166</v>
      </c>
      <c r="H325" s="106" t="str">
        <f>IFERROR(__xludf.DUMMYFUNCTION("""COMPUTED_VALUE"""),"Didn'T Know The Tracking Number")</f>
        <v>Didn'T Know The Tracking Number</v>
      </c>
      <c r="I325" s="106" t="str">
        <f>IFERROR(__xludf.DUMMYFUNCTION("""COMPUTED_VALUE"""),"Kaduwela")</f>
        <v>Kaduwela</v>
      </c>
      <c r="J325" s="106" t="str">
        <f>IFERROR(__xludf.DUMMYFUNCTION("""COMPUTED_VALUE"""),"Out For Delivery")</f>
        <v>Out For Delivery</v>
      </c>
      <c r="K325" s="106" t="str">
        <f>IFERROR(__xludf.DUMMYFUNCTION("""COMPUTED_VALUE"""),"Customer Care")</f>
        <v>Customer Care</v>
      </c>
      <c r="L325" s="106" t="str">
        <f>IFERROR(__xludf.DUMMYFUNCTION("""COMPUTED_VALUE"""),"Check And Call Back")</f>
        <v>Check And Call Back</v>
      </c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>
      <c r="A326" s="82"/>
      <c r="B326" s="98" t="str">
        <f>IFERROR(__xludf.DUMMYFUNCTION("""COMPUTED_VALUE"""),"251")</f>
        <v>251</v>
      </c>
      <c r="C326" s="98" t="str">
        <f>IFERROR(__xludf.DUMMYFUNCTION("""COMPUTED_VALUE"""),"Lakshani")</f>
        <v>Lakshani</v>
      </c>
      <c r="D326" s="98" t="str">
        <f>IFERROR(__xludf.DUMMYFUNCTION("""COMPUTED_VALUE"""),"778479750")</f>
        <v>778479750</v>
      </c>
      <c r="E326" s="98" t="str">
        <f>IFERROR(__xludf.DUMMYFUNCTION("""COMPUTED_VALUE"""),"Y")</f>
        <v>Y</v>
      </c>
      <c r="F326" s="98" t="str">
        <f>IFERROR(__xludf.DUMMYFUNCTION("""COMPUTED_VALUE"""),"P &amp; S Help Investment Pvt(Ltd)")</f>
        <v>P &amp; S Help Investment Pvt(Ltd)</v>
      </c>
      <c r="G326" s="98" t="str">
        <f>IFERROR(__xludf.DUMMYFUNCTION("""COMPUTED_VALUE"""),"A4702119")</f>
        <v>A4702119</v>
      </c>
      <c r="H326" s="98" t="str">
        <f>IFERROR(__xludf.DUMMYFUNCTION("""COMPUTED_VALUE"""),"Urgent Today")</f>
        <v>Urgent Today</v>
      </c>
      <c r="I326" s="98" t="str">
        <f>IFERROR(__xludf.DUMMYFUNCTION("""COMPUTED_VALUE"""),"Ratmalana")</f>
        <v>Ratmalana</v>
      </c>
      <c r="J326" s="98" t="str">
        <f>IFERROR(__xludf.DUMMYFUNCTION("""COMPUTED_VALUE"""),"Returned To Branch Rescheduled")</f>
        <v>Returned To Branch Rescheduled</v>
      </c>
      <c r="K326" s="98" t="str">
        <f>IFERROR(__xludf.DUMMYFUNCTION("""COMPUTED_VALUE"""),"Branch Operations")</f>
        <v>Branch Operations</v>
      </c>
      <c r="L326" s="98" t="str">
        <f>IFERROR(__xludf.DUMMYFUNCTION("""COMPUTED_VALUE"""),"Informed Branch")</f>
        <v>Informed Branch</v>
      </c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>
      <c r="A327" s="82"/>
      <c r="B327" s="106" t="str">
        <f>IFERROR(__xludf.DUMMYFUNCTION("""COMPUTED_VALUE"""),"298")</f>
        <v>298</v>
      </c>
      <c r="C327" s="106" t="str">
        <f>IFERROR(__xludf.DUMMYFUNCTION("""COMPUTED_VALUE"""),"Umesha")</f>
        <v>Umesha</v>
      </c>
      <c r="D327" s="106" t="str">
        <f>IFERROR(__xludf.DUMMYFUNCTION("""COMPUTED_VALUE"""),"772853693")</f>
        <v>772853693</v>
      </c>
      <c r="E327" s="106" t="str">
        <f>IFERROR(__xludf.DUMMYFUNCTION("""COMPUTED_VALUE"""),"N")</f>
        <v>N</v>
      </c>
      <c r="F327" s="106" t="str">
        <f>IFERROR(__xludf.DUMMYFUNCTION("""COMPUTED_VALUE"""),"Alpha.Com(Pvt)Ltd")</f>
        <v>Alpha.Com(Pvt)Ltd</v>
      </c>
      <c r="G327" s="106" t="str">
        <f>IFERROR(__xludf.DUMMYFUNCTION("""COMPUTED_VALUE"""),"15126322")</f>
        <v>15126322</v>
      </c>
      <c r="H327" s="106" t="str">
        <f>IFERROR(__xludf.DUMMYFUNCTION("""COMPUTED_VALUE"""),"Didn'T Know The Tracking Number")</f>
        <v>Didn'T Know The Tracking Number</v>
      </c>
      <c r="I327" s="106" t="str">
        <f>IFERROR(__xludf.DUMMYFUNCTION("""COMPUTED_VALUE"""),"Thalawathugoda")</f>
        <v>Thalawathugoda</v>
      </c>
      <c r="J327" s="106" t="str">
        <f>IFERROR(__xludf.DUMMYFUNCTION("""COMPUTED_VALUE"""),"Received At Destination")</f>
        <v>Received At Destination</v>
      </c>
      <c r="K327" s="106" t="str">
        <f>IFERROR(__xludf.DUMMYFUNCTION("""COMPUTED_VALUE"""),"Customer Care")</f>
        <v>Customer Care</v>
      </c>
      <c r="L327" s="106" t="str">
        <f>IFERROR(__xludf.DUMMYFUNCTION("""COMPUTED_VALUE"""),"Check And Call Back")</f>
        <v>Check And Call Back</v>
      </c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>
      <c r="A328" s="82"/>
      <c r="B328" s="98" t="str">
        <f>IFERROR(__xludf.DUMMYFUNCTION("""COMPUTED_VALUE"""),"271")</f>
        <v>271</v>
      </c>
      <c r="C328" s="98" t="str">
        <f>IFERROR(__xludf.DUMMYFUNCTION("""COMPUTED_VALUE"""),"Umesha")</f>
        <v>Umesha</v>
      </c>
      <c r="D328" s="98" t="str">
        <f>IFERROR(__xludf.DUMMYFUNCTION("""COMPUTED_VALUE"""),"770305314")</f>
        <v>770305314</v>
      </c>
      <c r="E328" s="98" t="str">
        <f>IFERROR(__xludf.DUMMYFUNCTION("""COMPUTED_VALUE"""),"N")</f>
        <v>N</v>
      </c>
      <c r="F328" s="98" t="str">
        <f>IFERROR(__xludf.DUMMYFUNCTION("""COMPUTED_VALUE"""),"Miraci Holdings")</f>
        <v>Miraci Holdings</v>
      </c>
      <c r="G328" s="98" t="str">
        <f>IFERROR(__xludf.DUMMYFUNCTION("""COMPUTED_VALUE"""),"BE083066")</f>
        <v>BE083066</v>
      </c>
      <c r="H328" s="98" t="str">
        <f>IFERROR(__xludf.DUMMYFUNCTION("""COMPUTED_VALUE"""),"English Call")</f>
        <v>English Call</v>
      </c>
      <c r="I328" s="98" t="str">
        <f>IFERROR(__xludf.DUMMYFUNCTION("""COMPUTED_VALUE"""),"Kurunegala")</f>
        <v>Kurunegala</v>
      </c>
      <c r="J328" s="98" t="str">
        <f>IFERROR(__xludf.DUMMYFUNCTION("""COMPUTED_VALUE"""),"Received At Destination")</f>
        <v>Received At Destination</v>
      </c>
      <c r="K328" s="98" t="str">
        <f>IFERROR(__xludf.DUMMYFUNCTION("""COMPUTED_VALUE"""),"Customer Care")</f>
        <v>Customer Care</v>
      </c>
      <c r="L328" s="98" t="str">
        <f>IFERROR(__xludf.DUMMYFUNCTION("""COMPUTED_VALUE"""),"Call Transfer Jeni")</f>
        <v>Call Transfer Jeni</v>
      </c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>
      <c r="A329" s="82"/>
      <c r="B329" s="106" t="str">
        <f>IFERROR(__xludf.DUMMYFUNCTION("""COMPUTED_VALUE"""),"300")</f>
        <v>300</v>
      </c>
      <c r="C329" s="106" t="str">
        <f>IFERROR(__xludf.DUMMYFUNCTION("""COMPUTED_VALUE"""),"Umesha")</f>
        <v>Umesha</v>
      </c>
      <c r="D329" s="106" t="str">
        <f>IFERROR(__xludf.DUMMYFUNCTION("""COMPUTED_VALUE"""),"740541293")</f>
        <v>740541293</v>
      </c>
      <c r="E329" s="106" t="str">
        <f>IFERROR(__xludf.DUMMYFUNCTION("""COMPUTED_VALUE"""),"N")</f>
        <v>N</v>
      </c>
      <c r="F329" s="106" t="str">
        <f>IFERROR(__xludf.DUMMYFUNCTION("""COMPUTED_VALUE"""),"Sr Center")</f>
        <v>Sr Center</v>
      </c>
      <c r="G329" s="106" t="str">
        <f>IFERROR(__xludf.DUMMYFUNCTION("""COMPUTED_VALUE"""),"A4715695")</f>
        <v>A4715695</v>
      </c>
      <c r="H329" s="106" t="str">
        <f>IFERROR(__xludf.DUMMYFUNCTION("""COMPUTED_VALUE"""),"Answered")</f>
        <v>Answered</v>
      </c>
      <c r="I329" s="106" t="str">
        <f>IFERROR(__xludf.DUMMYFUNCTION("""COMPUTED_VALUE"""),"Kuliyapitiya")</f>
        <v>Kuliyapitiya</v>
      </c>
      <c r="J329" s="106" t="str">
        <f>IFERROR(__xludf.DUMMYFUNCTION("""COMPUTED_VALUE"""),"Received At Destination")</f>
        <v>Received At Destination</v>
      </c>
      <c r="K329" s="106" t="str">
        <f>IFERROR(__xludf.DUMMYFUNCTION("""COMPUTED_VALUE"""),"Customer Care")</f>
        <v>Customer Care</v>
      </c>
      <c r="L329" s="106" t="str">
        <f>IFERROR(__xludf.DUMMYFUNCTION("""COMPUTED_VALUE"""),"Disconnected")</f>
        <v>Disconnected</v>
      </c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>
      <c r="A330" s="82"/>
      <c r="B330" s="98" t="str">
        <f>IFERROR(__xludf.DUMMYFUNCTION("""COMPUTED_VALUE"""),"301")</f>
        <v>301</v>
      </c>
      <c r="C330" s="98" t="str">
        <f>IFERROR(__xludf.DUMMYFUNCTION("""COMPUTED_VALUE"""),"Umesha")</f>
        <v>Umesha</v>
      </c>
      <c r="D330" s="98" t="str">
        <f>IFERROR(__xludf.DUMMYFUNCTION("""COMPUTED_VALUE"""),"754916035")</f>
        <v>754916035</v>
      </c>
      <c r="E330" s="98" t="str">
        <f>IFERROR(__xludf.DUMMYFUNCTION("""COMPUTED_VALUE"""),"N")</f>
        <v>N</v>
      </c>
      <c r="F330" s="98" t="str">
        <f>IFERROR(__xludf.DUMMYFUNCTION("""COMPUTED_VALUE"""),"Sr Center")</f>
        <v>Sr Center</v>
      </c>
      <c r="G330" s="98" t="str">
        <f>IFERROR(__xludf.DUMMYFUNCTION("""COMPUTED_VALUE"""),"WD246578")</f>
        <v>WD246578</v>
      </c>
      <c r="H330" s="98" t="str">
        <f>IFERROR(__xludf.DUMMYFUNCTION("""COMPUTED_VALUE"""),"Way Bill Not To The System")</f>
        <v>Way Bill Not To The System</v>
      </c>
      <c r="I330" s="98" t="str">
        <f>IFERROR(__xludf.DUMMYFUNCTION("""COMPUTED_VALUE"""),"Kuliyapitiya")</f>
        <v>Kuliyapitiya</v>
      </c>
      <c r="J330" s="98" t="str">
        <f>IFERROR(__xludf.DUMMYFUNCTION("""COMPUTED_VALUE"""),"Received At Destination")</f>
        <v>Received At Destination</v>
      </c>
      <c r="K330" s="98" t="str">
        <f>IFERROR(__xludf.DUMMYFUNCTION("""COMPUTED_VALUE"""),"Domestic")</f>
        <v>Domestic</v>
      </c>
      <c r="L330" s="98" t="str">
        <f>IFERROR(__xludf.DUMMYFUNCTION("""COMPUTED_VALUE"""),"Call Transfer Domestic Department")</f>
        <v>Call Transfer Domestic Department</v>
      </c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>
      <c r="A331" s="82"/>
      <c r="B331" s="106" t="str">
        <f>IFERROR(__xludf.DUMMYFUNCTION("""COMPUTED_VALUE"""),"257")</f>
        <v>257</v>
      </c>
      <c r="C331" s="106" t="str">
        <f>IFERROR(__xludf.DUMMYFUNCTION("""COMPUTED_VALUE"""),"Lakshani")</f>
        <v>Lakshani</v>
      </c>
      <c r="D331" s="106" t="str">
        <f>IFERROR(__xludf.DUMMYFUNCTION("""COMPUTED_VALUE"""),"712311134")</f>
        <v>712311134</v>
      </c>
      <c r="E331" s="106" t="str">
        <f>IFERROR(__xludf.DUMMYFUNCTION("""COMPUTED_VALUE"""),"N")</f>
        <v>N</v>
      </c>
      <c r="F331" s="106" t="str">
        <f>IFERROR(__xludf.DUMMYFUNCTION("""COMPUTED_VALUE"""),"Sr Center")</f>
        <v>Sr Center</v>
      </c>
      <c r="G331" s="106" t="str">
        <f>IFERROR(__xludf.DUMMYFUNCTION("""COMPUTED_VALUE"""),"WD246578")</f>
        <v>WD246578</v>
      </c>
      <c r="H331" s="106" t="str">
        <f>IFERROR(__xludf.DUMMYFUNCTION("""COMPUTED_VALUE"""),"Req Jeni")</f>
        <v>Req Jeni</v>
      </c>
      <c r="I331" s="106" t="str">
        <f>IFERROR(__xludf.DUMMYFUNCTION("""COMPUTED_VALUE"""),"Kuliyapitiya")</f>
        <v>Kuliyapitiya</v>
      </c>
      <c r="J331" s="106" t="str">
        <f>IFERROR(__xludf.DUMMYFUNCTION("""COMPUTED_VALUE"""),"Received At Destination")</f>
        <v>Received At Destination</v>
      </c>
      <c r="K331" s="106" t="str">
        <f>IFERROR(__xludf.DUMMYFUNCTION("""COMPUTED_VALUE"""),"Customer Care")</f>
        <v>Customer Care</v>
      </c>
      <c r="L331" s="106" t="str">
        <f>IFERROR(__xludf.DUMMYFUNCTION("""COMPUTED_VALUE"""),"Tranfer Cll")</f>
        <v>Tranfer Cll</v>
      </c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>
      <c r="A332" s="82"/>
      <c r="B332" s="98" t="str">
        <f>IFERROR(__xludf.DUMMYFUNCTION("""COMPUTED_VALUE"""),"258")</f>
        <v>258</v>
      </c>
      <c r="C332" s="98" t="str">
        <f>IFERROR(__xludf.DUMMYFUNCTION("""COMPUTED_VALUE"""),"Lakshani")</f>
        <v>Lakshani</v>
      </c>
      <c r="D332" s="98" t="str">
        <f>IFERROR(__xludf.DUMMYFUNCTION("""COMPUTED_VALUE"""),"768953933")</f>
        <v>768953933</v>
      </c>
      <c r="E332" s="98" t="str">
        <f>IFERROR(__xludf.DUMMYFUNCTION("""COMPUTED_VALUE"""),"N")</f>
        <v>N</v>
      </c>
      <c r="F332" s="98" t="str">
        <f>IFERROR(__xludf.DUMMYFUNCTION("""COMPUTED_VALUE"""),"Sr Center")</f>
        <v>Sr Center</v>
      </c>
      <c r="G332" s="98" t="str">
        <f>IFERROR(__xludf.DUMMYFUNCTION("""COMPUTED_VALUE"""),"WD246578")</f>
        <v>WD246578</v>
      </c>
      <c r="H332" s="98" t="str">
        <f>IFERROR(__xludf.DUMMYFUNCTION("""COMPUTED_VALUE"""),"Req Tamil Agent")</f>
        <v>Req Tamil Agent</v>
      </c>
      <c r="I332" s="98" t="str">
        <f>IFERROR(__xludf.DUMMYFUNCTION("""COMPUTED_VALUE"""),"Kuliyapitiya")</f>
        <v>Kuliyapitiya</v>
      </c>
      <c r="J332" s="98" t="str">
        <f>IFERROR(__xludf.DUMMYFUNCTION("""COMPUTED_VALUE"""),"Received At Destination")</f>
        <v>Received At Destination</v>
      </c>
      <c r="K332" s="98" t="str">
        <f>IFERROR(__xludf.DUMMYFUNCTION("""COMPUTED_VALUE"""),"Customer Care")</f>
        <v>Customer Care</v>
      </c>
      <c r="L332" s="98" t="str">
        <f>IFERROR(__xludf.DUMMYFUNCTION("""COMPUTED_VALUE"""),"Tranfer Call")</f>
        <v>Tranfer Call</v>
      </c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>
      <c r="A333" s="82"/>
      <c r="B333" s="106" t="str">
        <f>IFERROR(__xludf.DUMMYFUNCTION("""COMPUTED_VALUE"""),"259")</f>
        <v>259</v>
      </c>
      <c r="C333" s="106" t="str">
        <f>IFERROR(__xludf.DUMMYFUNCTION("""COMPUTED_VALUE"""),"Lakshani")</f>
        <v>Lakshani</v>
      </c>
      <c r="D333" s="106" t="str">
        <f>IFERROR(__xludf.DUMMYFUNCTION("""COMPUTED_VALUE"""),"704685191")</f>
        <v>704685191</v>
      </c>
      <c r="E333" s="106" t="str">
        <f>IFERROR(__xludf.DUMMYFUNCTION("""COMPUTED_VALUE"""),"Y")</f>
        <v>Y</v>
      </c>
      <c r="F333" s="106" t="str">
        <f>IFERROR(__xludf.DUMMYFUNCTION("""COMPUTED_VALUE"""),"Dv Clothing")</f>
        <v>Dv Clothing</v>
      </c>
      <c r="G333" s="106" t="str">
        <f>IFERROR(__xludf.DUMMYFUNCTION("""COMPUTED_VALUE"""),"BA777024")</f>
        <v>BA777024</v>
      </c>
      <c r="H333" s="106" t="str">
        <f>IFERROR(__xludf.DUMMYFUNCTION("""COMPUTED_VALUE"""),"New Registration")</f>
        <v>New Registration</v>
      </c>
      <c r="I333" s="106" t="str">
        <f>IFERROR(__xludf.DUMMYFUNCTION("""COMPUTED_VALUE"""),"Embilipitiya")</f>
        <v>Embilipitiya</v>
      </c>
      <c r="J333" s="106" t="str">
        <f>IFERROR(__xludf.DUMMYFUNCTION("""COMPUTED_VALUE"""),"Received At Destination")</f>
        <v>Received At Destination</v>
      </c>
      <c r="K333" s="106" t="str">
        <f>IFERROR(__xludf.DUMMYFUNCTION("""COMPUTED_VALUE"""),"Domestic")</f>
        <v>Domestic</v>
      </c>
      <c r="L333" s="106" t="str">
        <f>IFERROR(__xludf.DUMMYFUNCTION("""COMPUTED_VALUE"""),"Informed Branch")</f>
        <v>Informed Branch</v>
      </c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>
      <c r="A334" s="82"/>
      <c r="B334" s="98" t="str">
        <f>IFERROR(__xludf.DUMMYFUNCTION("""COMPUTED_VALUE"""),"306")</f>
        <v>306</v>
      </c>
      <c r="C334" s="98" t="str">
        <f>IFERROR(__xludf.DUMMYFUNCTION("""COMPUTED_VALUE"""),"Umesha")</f>
        <v>Umesha</v>
      </c>
      <c r="D334" s="98" t="str">
        <f>IFERROR(__xludf.DUMMYFUNCTION("""COMPUTED_VALUE"""),"768804852")</f>
        <v>768804852</v>
      </c>
      <c r="E334" s="98" t="str">
        <f>IFERROR(__xludf.DUMMYFUNCTION("""COMPUTED_VALUE"""),"N")</f>
        <v>N</v>
      </c>
      <c r="F334" s="98" t="str">
        <f>IFERROR(__xludf.DUMMYFUNCTION("""COMPUTED_VALUE"""),"Ceylon Ayura")</f>
        <v>Ceylon Ayura</v>
      </c>
      <c r="G334" s="98" t="str">
        <f>IFERROR(__xludf.DUMMYFUNCTION("""COMPUTED_VALUE"""),"BE075435")</f>
        <v>BE075435</v>
      </c>
      <c r="H334" s="98" t="str">
        <f>IFERROR(__xludf.DUMMYFUNCTION("""COMPUTED_VALUE"""),"Tamil Call")</f>
        <v>Tamil Call</v>
      </c>
      <c r="I334" s="98" t="str">
        <f>IFERROR(__xludf.DUMMYFUNCTION("""COMPUTED_VALUE"""),"Nittambuwa")</f>
        <v>Nittambuwa</v>
      </c>
      <c r="J334" s="98" t="str">
        <f>IFERROR(__xludf.DUMMYFUNCTION("""COMPUTED_VALUE"""),"Returned To Branch Rescheduled")</f>
        <v>Returned To Branch Rescheduled</v>
      </c>
      <c r="K334" s="98" t="str">
        <f>IFERROR(__xludf.DUMMYFUNCTION("""COMPUTED_VALUE"""),"Customer Care")</f>
        <v>Customer Care</v>
      </c>
      <c r="L334" s="98" t="str">
        <f>IFERROR(__xludf.DUMMYFUNCTION("""COMPUTED_VALUE"""),"Call Transfer Jeni")</f>
        <v>Call Transfer Jeni</v>
      </c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>
      <c r="A335" s="82"/>
      <c r="B335" s="106" t="str">
        <f>IFERROR(__xludf.DUMMYFUNCTION("""COMPUTED_VALUE"""),"261")</f>
        <v>261</v>
      </c>
      <c r="C335" s="106" t="str">
        <f>IFERROR(__xludf.DUMMYFUNCTION("""COMPUTED_VALUE"""),"Lakshani")</f>
        <v>Lakshani</v>
      </c>
      <c r="D335" s="106" t="str">
        <f>IFERROR(__xludf.DUMMYFUNCTION("""COMPUTED_VALUE"""),"703270505")</f>
        <v>703270505</v>
      </c>
      <c r="E335" s="106" t="str">
        <f>IFERROR(__xludf.DUMMYFUNCTION("""COMPUTED_VALUE"""),"N")</f>
        <v>N</v>
      </c>
      <c r="F335" s="107" t="str">
        <f>IFERROR(__xludf.DUMMYFUNCTION("""COMPUTED_VALUE"""),"Crown.Lk")</f>
        <v>Crown.Lk</v>
      </c>
      <c r="G335" s="106" t="str">
        <f>IFERROR(__xludf.DUMMYFUNCTION("""COMPUTED_VALUE"""),"BE039457")</f>
        <v>BE039457</v>
      </c>
      <c r="H335" s="106" t="str">
        <f>IFERROR(__xludf.DUMMYFUNCTION("""COMPUTED_VALUE"""),"Customer Want Return The Package")</f>
        <v>Customer Want Return The Package</v>
      </c>
      <c r="I335" s="106" t="str">
        <f>IFERROR(__xludf.DUMMYFUNCTION("""COMPUTED_VALUE"""),"Nittambuwa")</f>
        <v>Nittambuwa</v>
      </c>
      <c r="J335" s="106" t="str">
        <f>IFERROR(__xludf.DUMMYFUNCTION("""COMPUTED_VALUE"""),"Returned To Branch Rescheduled")</f>
        <v>Returned To Branch Rescheduled</v>
      </c>
      <c r="K335" s="106" t="str">
        <f>IFERROR(__xludf.DUMMYFUNCTION("""COMPUTED_VALUE"""),"Customer Care")</f>
        <v>Customer Care</v>
      </c>
      <c r="L335" s="106" t="str">
        <f>IFERROR(__xludf.DUMMYFUNCTION("""COMPUTED_VALUE"""),"Informed Genzo Team")</f>
        <v>Informed Genzo Team</v>
      </c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>
      <c r="A336" s="82"/>
      <c r="B336" s="98" t="str">
        <f>IFERROR(__xludf.DUMMYFUNCTION("""COMPUTED_VALUE"""),"262")</f>
        <v>262</v>
      </c>
      <c r="C336" s="98" t="str">
        <f>IFERROR(__xludf.DUMMYFUNCTION("""COMPUTED_VALUE"""),"Lakshani")</f>
        <v>Lakshani</v>
      </c>
      <c r="D336" s="98" t="str">
        <f>IFERROR(__xludf.DUMMYFUNCTION("""COMPUTED_VALUE"""),"778978202")</f>
        <v>778978202</v>
      </c>
      <c r="E336" s="98" t="str">
        <f>IFERROR(__xludf.DUMMYFUNCTION("""COMPUTED_VALUE"""),"N")</f>
        <v>N</v>
      </c>
      <c r="F336" s="108" t="str">
        <f>IFERROR(__xludf.DUMMYFUNCTION("""COMPUTED_VALUE"""),"Crown.Lk")</f>
        <v>Crown.Lk</v>
      </c>
      <c r="G336" s="98" t="str">
        <f>IFERROR(__xludf.DUMMYFUNCTION("""COMPUTED_VALUE"""),"BE039457")</f>
        <v>BE039457</v>
      </c>
      <c r="H336" s="98" t="str">
        <f>IFERROR(__xludf.DUMMYFUNCTION("""COMPUTED_VALUE"""),"Not Responded")</f>
        <v>Not Responded</v>
      </c>
      <c r="I336" s="98" t="str">
        <f>IFERROR(__xludf.DUMMYFUNCTION("""COMPUTED_VALUE"""),"Nittambuwa")</f>
        <v>Nittambuwa</v>
      </c>
      <c r="J336" s="98" t="str">
        <f>IFERROR(__xludf.DUMMYFUNCTION("""COMPUTED_VALUE"""),"Returned To Branch Rescheduled")</f>
        <v>Returned To Branch Rescheduled</v>
      </c>
      <c r="K336" s="98" t="str">
        <f>IFERROR(__xludf.DUMMYFUNCTION("""COMPUTED_VALUE"""),"Customer Care")</f>
        <v>Customer Care</v>
      </c>
      <c r="L336" s="98" t="str">
        <f>IFERROR(__xludf.DUMMYFUNCTION("""COMPUTED_VALUE"""),"Disconected The Line")</f>
        <v>Disconected The Line</v>
      </c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>
      <c r="A337" s="82"/>
      <c r="B337" s="106" t="str">
        <f>IFERROR(__xludf.DUMMYFUNCTION("""COMPUTED_VALUE"""),"263")</f>
        <v>263</v>
      </c>
      <c r="C337" s="106" t="str">
        <f>IFERROR(__xludf.DUMMYFUNCTION("""COMPUTED_VALUE"""),"Lakshani")</f>
        <v>Lakshani</v>
      </c>
      <c r="D337" s="106" t="str">
        <f>IFERROR(__xludf.DUMMYFUNCTION("""COMPUTED_VALUE"""),"770369310")</f>
        <v>770369310</v>
      </c>
      <c r="E337" s="106" t="str">
        <f>IFERROR(__xludf.DUMMYFUNCTION("""COMPUTED_VALUE"""),"N")</f>
        <v>N</v>
      </c>
      <c r="F337" s="107" t="str">
        <f>IFERROR(__xludf.DUMMYFUNCTION("""COMPUTED_VALUE"""),"Netwave.Lk")</f>
        <v>Netwave.Lk</v>
      </c>
      <c r="G337" s="106" t="str">
        <f>IFERROR(__xludf.DUMMYFUNCTION("""COMPUTED_VALUE"""),"A4086806")</f>
        <v>A4086806</v>
      </c>
      <c r="H337" s="106" t="str">
        <f>IFERROR(__xludf.DUMMYFUNCTION("""COMPUTED_VALUE"""),"Urgent Today")</f>
        <v>Urgent Today</v>
      </c>
      <c r="I337" s="106" t="str">
        <f>IFERROR(__xludf.DUMMYFUNCTION("""COMPUTED_VALUE"""),"Colombo Metro")</f>
        <v>Colombo Metro</v>
      </c>
      <c r="J337" s="106" t="str">
        <f>IFERROR(__xludf.DUMMYFUNCTION("""COMPUTED_VALUE"""),"Received At Destination")</f>
        <v>Received At Destination</v>
      </c>
      <c r="K337" s="106" t="str">
        <f>IFERROR(__xludf.DUMMYFUNCTION("""COMPUTED_VALUE"""),"Branch Operations")</f>
        <v>Branch Operations</v>
      </c>
      <c r="L337" s="106" t="str">
        <f>IFERROR(__xludf.DUMMYFUNCTION("""COMPUTED_VALUE"""),"Informed Branch")</f>
        <v>Informed Branch</v>
      </c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>
      <c r="A338" s="82"/>
      <c r="B338" s="98" t="str">
        <f>IFERROR(__xludf.DUMMYFUNCTION("""COMPUTED_VALUE"""),"310")</f>
        <v>310</v>
      </c>
      <c r="C338" s="98" t="str">
        <f>IFERROR(__xludf.DUMMYFUNCTION("""COMPUTED_VALUE"""),"Umesha")</f>
        <v>Umesha</v>
      </c>
      <c r="D338" s="98" t="str">
        <f>IFERROR(__xludf.DUMMYFUNCTION("""COMPUTED_VALUE"""),"702269260")</f>
        <v>702269260</v>
      </c>
      <c r="E338" s="98" t="str">
        <f>IFERROR(__xludf.DUMMYFUNCTION("""COMPUTED_VALUE"""),"N")</f>
        <v>N</v>
      </c>
      <c r="F338" s="98" t="str">
        <f>IFERROR(__xludf.DUMMYFUNCTION("""COMPUTED_VALUE"""),"Sr Center")</f>
        <v>Sr Center</v>
      </c>
      <c r="G338" s="98" t="str">
        <f>IFERROR(__xludf.DUMMYFUNCTION("""COMPUTED_VALUE"""),"A4715695")</f>
        <v>A4715695</v>
      </c>
      <c r="H338" s="98" t="str">
        <f>IFERROR(__xludf.DUMMYFUNCTION("""COMPUTED_VALUE"""),"Ask Nilesha")</f>
        <v>Ask Nilesha</v>
      </c>
      <c r="I338" s="98" t="str">
        <f>IFERROR(__xludf.DUMMYFUNCTION("""COMPUTED_VALUE"""),"Rajagiriya")</f>
        <v>Rajagiriya</v>
      </c>
      <c r="J338" s="98" t="str">
        <f>IFERROR(__xludf.DUMMYFUNCTION("""COMPUTED_VALUE"""),"Out For Delivery")</f>
        <v>Out For Delivery</v>
      </c>
      <c r="K338" s="98" t="str">
        <f>IFERROR(__xludf.DUMMYFUNCTION("""COMPUTED_VALUE"""),"Customer Care")</f>
        <v>Customer Care</v>
      </c>
      <c r="L338" s="98" t="str">
        <f>IFERROR(__xludf.DUMMYFUNCTION("""COMPUTED_VALUE"""),"Disconnected")</f>
        <v>Disconnected</v>
      </c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>
      <c r="A339" s="82"/>
      <c r="B339" s="106" t="str">
        <f>IFERROR(__xludf.DUMMYFUNCTION("""COMPUTED_VALUE"""),"283")</f>
        <v>283</v>
      </c>
      <c r="C339" s="106" t="str">
        <f>IFERROR(__xludf.DUMMYFUNCTION("""COMPUTED_VALUE"""),"Umesha")</f>
        <v>Umesha</v>
      </c>
      <c r="D339" s="106" t="str">
        <f>IFERROR(__xludf.DUMMYFUNCTION("""COMPUTED_VALUE"""),"711966347")</f>
        <v>711966347</v>
      </c>
      <c r="E339" s="106" t="str">
        <f>IFERROR(__xludf.DUMMYFUNCTION("""COMPUTED_VALUE"""),"N")</f>
        <v>N</v>
      </c>
      <c r="F339" s="106" t="str">
        <f>IFERROR(__xludf.DUMMYFUNCTION("""COMPUTED_VALUE"""),"Modern Venture")</f>
        <v>Modern Venture</v>
      </c>
      <c r="G339" s="106" t="str">
        <f>IFERROR(__xludf.DUMMYFUNCTION("""COMPUTED_VALUE"""),"RA04229376")</f>
        <v>RA04229376</v>
      </c>
      <c r="H339" s="106" t="str">
        <f>IFERROR(__xludf.DUMMYFUNCTION("""COMPUTED_VALUE"""),"Way Bill Not To The System")</f>
        <v>Way Bill Not To The System</v>
      </c>
      <c r="I339" s="106" t="str">
        <f>IFERROR(__xludf.DUMMYFUNCTION("""COMPUTED_VALUE"""),"Rajagiriya")</f>
        <v>Rajagiriya</v>
      </c>
      <c r="J339" s="106" t="str">
        <f>IFERROR(__xludf.DUMMYFUNCTION("""COMPUTED_VALUE"""),"Returned To Branch Rescheduled")</f>
        <v>Returned To Branch Rescheduled</v>
      </c>
      <c r="K339" s="106" t="str">
        <f>IFERROR(__xludf.DUMMYFUNCTION("""COMPUTED_VALUE"""),"Customer Care")</f>
        <v>Customer Care</v>
      </c>
      <c r="L339" s="106" t="str">
        <f>IFERROR(__xludf.DUMMYFUNCTION("""COMPUTED_VALUE"""),"Informed Customer")</f>
        <v>Informed Customer</v>
      </c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>
      <c r="A340" s="82"/>
      <c r="B340" s="98" t="str">
        <f>IFERROR(__xludf.DUMMYFUNCTION("""COMPUTED_VALUE"""),"313")</f>
        <v>313</v>
      </c>
      <c r="C340" s="98" t="str">
        <f>IFERROR(__xludf.DUMMYFUNCTION("""COMPUTED_VALUE"""),"Umesha")</f>
        <v>Umesha</v>
      </c>
      <c r="D340" s="98" t="str">
        <f>IFERROR(__xludf.DUMMYFUNCTION("""COMPUTED_VALUE"""),"767699998")</f>
        <v>767699998</v>
      </c>
      <c r="E340" s="98" t="str">
        <f>IFERROR(__xludf.DUMMYFUNCTION("""COMPUTED_VALUE"""),"Y")</f>
        <v>Y</v>
      </c>
      <c r="F340" s="98" t="str">
        <f>IFERROR(__xludf.DUMMYFUNCTION("""COMPUTED_VALUE"""),"Dv Clothing")</f>
        <v>Dv Clothing</v>
      </c>
      <c r="G340" s="98" t="str">
        <f>IFERROR(__xludf.DUMMYFUNCTION("""COMPUTED_VALUE"""),"BA777024")</f>
        <v>BA777024</v>
      </c>
      <c r="H340" s="98" t="str">
        <f>IFERROR(__xludf.DUMMYFUNCTION("""COMPUTED_VALUE"""),"New Registration")</f>
        <v>New Registration</v>
      </c>
      <c r="I340" s="98" t="str">
        <f>IFERROR(__xludf.DUMMYFUNCTION("""COMPUTED_VALUE"""),"Embilipitiya")</f>
        <v>Embilipitiya</v>
      </c>
      <c r="J340" s="98" t="str">
        <f>IFERROR(__xludf.DUMMYFUNCTION("""COMPUTED_VALUE"""),"Received At Destination")</f>
        <v>Received At Destination</v>
      </c>
      <c r="K340" s="98" t="str">
        <f>IFERROR(__xludf.DUMMYFUNCTION("""COMPUTED_VALUE"""),"Sales")</f>
        <v>Sales</v>
      </c>
      <c r="L340" s="98" t="str">
        <f>IFERROR(__xludf.DUMMYFUNCTION("""COMPUTED_VALUE"""),"Call Transfer Sales Department")</f>
        <v>Call Transfer Sales Department</v>
      </c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>
      <c r="A341" s="82"/>
      <c r="B341" s="106" t="str">
        <f>IFERROR(__xludf.DUMMYFUNCTION("""COMPUTED_VALUE"""),"268")</f>
        <v>268</v>
      </c>
      <c r="C341" s="106" t="str">
        <f>IFERROR(__xludf.DUMMYFUNCTION("""COMPUTED_VALUE"""),"Lakshani")</f>
        <v>Lakshani</v>
      </c>
      <c r="D341" s="106" t="str">
        <f>IFERROR(__xludf.DUMMYFUNCTION("""COMPUTED_VALUE"""),"727494566")</f>
        <v>727494566</v>
      </c>
      <c r="E341" s="106" t="str">
        <f>IFERROR(__xludf.DUMMYFUNCTION("""COMPUTED_VALUE"""),"Y")</f>
        <v>Y</v>
      </c>
      <c r="F341" s="106" t="str">
        <f>IFERROR(__xludf.DUMMYFUNCTION("""COMPUTED_VALUE"""),"Janitha Kumari")</f>
        <v>Janitha Kumari</v>
      </c>
      <c r="G341" s="106" t="str">
        <f>IFERROR(__xludf.DUMMYFUNCTION("""COMPUTED_VALUE"""),"WD212718")</f>
        <v>WD212718</v>
      </c>
      <c r="H341" s="106" t="str">
        <f>IFERROR(__xludf.DUMMYFUNCTION("""COMPUTED_VALUE"""),"Urgent Today /0743614933-Customer New Number")</f>
        <v>Urgent Today /0743614933-Customer New Number</v>
      </c>
      <c r="I341" s="106" t="str">
        <f>IFERROR(__xludf.DUMMYFUNCTION("""COMPUTED_VALUE"""),"Kurunegala")</f>
        <v>Kurunegala</v>
      </c>
      <c r="J341" s="106" t="str">
        <f>IFERROR(__xludf.DUMMYFUNCTION("""COMPUTED_VALUE"""),"Received At Destination")</f>
        <v>Received At Destination</v>
      </c>
      <c r="K341" s="106" t="str">
        <f>IFERROR(__xludf.DUMMYFUNCTION("""COMPUTED_VALUE"""),"Domestic")</f>
        <v>Domestic</v>
      </c>
      <c r="L341" s="106" t="str">
        <f>IFERROR(__xludf.DUMMYFUNCTION("""COMPUTED_VALUE"""),"Informed Branch")</f>
        <v>Informed Branch</v>
      </c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>
      <c r="A342" s="82"/>
      <c r="B342" s="98" t="str">
        <f>IFERROR(__xludf.DUMMYFUNCTION("""COMPUTED_VALUE"""),"269")</f>
        <v>269</v>
      </c>
      <c r="C342" s="98" t="str">
        <f>IFERROR(__xludf.DUMMYFUNCTION("""COMPUTED_VALUE"""),"Lakshani")</f>
        <v>Lakshani</v>
      </c>
      <c r="D342" s="98" t="str">
        <f>IFERROR(__xludf.DUMMYFUNCTION("""COMPUTED_VALUE"""),"771744713")</f>
        <v>771744713</v>
      </c>
      <c r="E342" s="98" t="str">
        <f>IFERROR(__xludf.DUMMYFUNCTION("""COMPUTED_VALUE"""),"N")</f>
        <v>N</v>
      </c>
      <c r="F342" s="98" t="str">
        <f>IFERROR(__xludf.DUMMYFUNCTION("""COMPUTED_VALUE"""),"Cutie Gifts")</f>
        <v>Cutie Gifts</v>
      </c>
      <c r="G342" s="98" t="str">
        <f>IFERROR(__xludf.DUMMYFUNCTION("""COMPUTED_VALUE"""),"90954741")</f>
        <v>90954741</v>
      </c>
      <c r="H342" s="98" t="str">
        <f>IFERROR(__xludf.DUMMYFUNCTION("""COMPUTED_VALUE"""),"New Registration")</f>
        <v>New Registration</v>
      </c>
      <c r="I342" s="98" t="str">
        <f>IFERROR(__xludf.DUMMYFUNCTION("""COMPUTED_VALUE"""),"Ambalangoda")</f>
        <v>Ambalangoda</v>
      </c>
      <c r="J342" s="98" t="str">
        <f>IFERROR(__xludf.DUMMYFUNCTION("""COMPUTED_VALUE"""),"Returned To Branch Failed To Deliver")</f>
        <v>Returned To Branch Failed To Deliver</v>
      </c>
      <c r="K342" s="98" t="str">
        <f>IFERROR(__xludf.DUMMYFUNCTION("""COMPUTED_VALUE"""),"Customer Care")</f>
        <v>Customer Care</v>
      </c>
      <c r="L342" s="98" t="str">
        <f>IFERROR(__xludf.DUMMYFUNCTION("""COMPUTED_VALUE"""),"Informed Genzo Team")</f>
        <v>Informed Genzo Team</v>
      </c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>
      <c r="A343" s="82"/>
      <c r="B343" s="106" t="str">
        <f>IFERROR(__xludf.DUMMYFUNCTION("""COMPUTED_VALUE"""),"287")</f>
        <v>287</v>
      </c>
      <c r="C343" s="106" t="str">
        <f>IFERROR(__xludf.DUMMYFUNCTION("""COMPUTED_VALUE"""),"Umesha")</f>
        <v>Umesha</v>
      </c>
      <c r="D343" s="106" t="str">
        <f>IFERROR(__xludf.DUMMYFUNCTION("""COMPUTED_VALUE"""),"774868808")</f>
        <v>774868808</v>
      </c>
      <c r="E343" s="106" t="str">
        <f>IFERROR(__xludf.DUMMYFUNCTION("""COMPUTED_VALUE"""),"Y")</f>
        <v>Y</v>
      </c>
      <c r="F343" s="106" t="str">
        <f>IFERROR(__xludf.DUMMYFUNCTION("""COMPUTED_VALUE"""),"Kanro Enterprises")</f>
        <v>Kanro Enterprises</v>
      </c>
      <c r="G343" s="106" t="str">
        <f>IFERROR(__xludf.DUMMYFUNCTION("""COMPUTED_VALUE"""),"A4456082")</f>
        <v>A4456082</v>
      </c>
      <c r="H343" s="106" t="str">
        <f>IFERROR(__xludf.DUMMYFUNCTION("""COMPUTED_VALUE"""),"English Call")</f>
        <v>English Call</v>
      </c>
      <c r="I343" s="106" t="str">
        <f>IFERROR(__xludf.DUMMYFUNCTION("""COMPUTED_VALUE"""),"Negombo")</f>
        <v>Negombo</v>
      </c>
      <c r="J343" s="106" t="str">
        <f>IFERROR(__xludf.DUMMYFUNCTION("""COMPUTED_VALUE"""),"Returned To Branch Rescheduled")</f>
        <v>Returned To Branch Rescheduled</v>
      </c>
      <c r="K343" s="106" t="str">
        <f>IFERROR(__xludf.DUMMYFUNCTION("""COMPUTED_VALUE"""),"Customer Care")</f>
        <v>Customer Care</v>
      </c>
      <c r="L343" s="106" t="str">
        <f>IFERROR(__xludf.DUMMYFUNCTION("""COMPUTED_VALUE"""),"Call Transfer Jeni")</f>
        <v>Call Transfer Jeni</v>
      </c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>
      <c r="A344" s="82"/>
      <c r="B344" s="98" t="str">
        <f>IFERROR(__xludf.DUMMYFUNCTION("""COMPUTED_VALUE"""),"288")</f>
        <v>288</v>
      </c>
      <c r="C344" s="98" t="str">
        <f>IFERROR(__xludf.DUMMYFUNCTION("""COMPUTED_VALUE"""),"Umesha")</f>
        <v>Umesha</v>
      </c>
      <c r="D344" s="98" t="str">
        <f>IFERROR(__xludf.DUMMYFUNCTION("""COMPUTED_VALUE"""),"717968784")</f>
        <v>717968784</v>
      </c>
      <c r="E344" s="98" t="str">
        <f>IFERROR(__xludf.DUMMYFUNCTION("""COMPUTED_VALUE"""),"N")</f>
        <v>N</v>
      </c>
      <c r="F344" s="98" t="str">
        <f>IFERROR(__xludf.DUMMYFUNCTION("""COMPUTED_VALUE"""),"Pallet One")</f>
        <v>Pallet One</v>
      </c>
      <c r="G344" s="98" t="str">
        <f>IFERROR(__xludf.DUMMYFUNCTION("""COMPUTED_VALUE"""),"A4064999")</f>
        <v>A4064999</v>
      </c>
      <c r="H344" s="98" t="str">
        <f>IFERROR(__xludf.DUMMYFUNCTION("""COMPUTED_VALUE"""),"Still Processing")</f>
        <v>Still Processing</v>
      </c>
      <c r="I344" s="98" t="str">
        <f>IFERROR(__xludf.DUMMYFUNCTION("""COMPUTED_VALUE"""),"Negombo")</f>
        <v>Negombo</v>
      </c>
      <c r="J344" s="98" t="str">
        <f>IFERROR(__xludf.DUMMYFUNCTION("""COMPUTED_VALUE"""),"Processing")</f>
        <v>Processing</v>
      </c>
      <c r="K344" s="98" t="str">
        <f>IFERROR(__xludf.DUMMYFUNCTION("""COMPUTED_VALUE"""),"Customer Care")</f>
        <v>Customer Care</v>
      </c>
      <c r="L344" s="98" t="str">
        <f>IFERROR(__xludf.DUMMYFUNCTION("""COMPUTED_VALUE"""),"Informed Customer")</f>
        <v>Informed Customer</v>
      </c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>
      <c r="A345" s="82"/>
      <c r="B345" s="106" t="str">
        <f>IFERROR(__xludf.DUMMYFUNCTION("""COMPUTED_VALUE"""),"318")</f>
        <v>318</v>
      </c>
      <c r="C345" s="106" t="str">
        <f>IFERROR(__xludf.DUMMYFUNCTION("""COMPUTED_VALUE"""),"Umesha")</f>
        <v>Umesha</v>
      </c>
      <c r="D345" s="106" t="str">
        <f>IFERROR(__xludf.DUMMYFUNCTION("""COMPUTED_VALUE"""),"718555295")</f>
        <v>718555295</v>
      </c>
      <c r="E345" s="106" t="str">
        <f>IFERROR(__xludf.DUMMYFUNCTION("""COMPUTED_VALUE"""),"Y")</f>
        <v>Y</v>
      </c>
      <c r="F345" s="106" t="str">
        <f>IFERROR(__xludf.DUMMYFUNCTION("""COMPUTED_VALUE"""),"Sr Center")</f>
        <v>Sr Center</v>
      </c>
      <c r="G345" s="106" t="str">
        <f>IFERROR(__xludf.DUMMYFUNCTION("""COMPUTED_VALUE"""),"A4715695")</f>
        <v>A4715695</v>
      </c>
      <c r="H345" s="106" t="str">
        <f>IFERROR(__xludf.DUMMYFUNCTION("""COMPUTED_VALUE"""),"Ask Nilesha")</f>
        <v>Ask Nilesha</v>
      </c>
      <c r="I345" s="106" t="str">
        <f>IFERROR(__xludf.DUMMYFUNCTION("""COMPUTED_VALUE"""),"Rajagiriya")</f>
        <v>Rajagiriya</v>
      </c>
      <c r="J345" s="106" t="str">
        <f>IFERROR(__xludf.DUMMYFUNCTION("""COMPUTED_VALUE"""),"Out For Delivery")</f>
        <v>Out For Delivery</v>
      </c>
      <c r="K345" s="106" t="str">
        <f>IFERROR(__xludf.DUMMYFUNCTION("""COMPUTED_VALUE"""),"Return")</f>
        <v>Return</v>
      </c>
      <c r="L345" s="106" t="str">
        <f>IFERROR(__xludf.DUMMYFUNCTION("""COMPUTED_VALUE"""),"Call Transfer Return Department")</f>
        <v>Call Transfer Return Department</v>
      </c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>
      <c r="A346" s="82"/>
      <c r="B346" s="98" t="str">
        <f>IFERROR(__xludf.DUMMYFUNCTION("""COMPUTED_VALUE"""),"290")</f>
        <v>290</v>
      </c>
      <c r="C346" s="98" t="str">
        <f>IFERROR(__xludf.DUMMYFUNCTION("""COMPUTED_VALUE"""),"Umesha")</f>
        <v>Umesha</v>
      </c>
      <c r="D346" s="98" t="str">
        <f>IFERROR(__xludf.DUMMYFUNCTION("""COMPUTED_VALUE"""),"772994325")</f>
        <v>772994325</v>
      </c>
      <c r="E346" s="98" t="str">
        <f>IFERROR(__xludf.DUMMYFUNCTION("""COMPUTED_VALUE"""),"N")</f>
        <v>N</v>
      </c>
      <c r="F346" s="98" t="str">
        <f>IFERROR(__xludf.DUMMYFUNCTION("""COMPUTED_VALUE"""),"Win Lanka")</f>
        <v>Win Lanka</v>
      </c>
      <c r="G346" s="98" t="str">
        <f>IFERROR(__xludf.DUMMYFUNCTION("""COMPUTED_VALUE"""),"BD902615")</f>
        <v>BD902615</v>
      </c>
      <c r="H346" s="98" t="str">
        <f>IFERROR(__xludf.DUMMYFUNCTION("""COMPUTED_VALUE"""),"Answered")</f>
        <v>Answered</v>
      </c>
      <c r="I346" s="98" t="str">
        <f>IFERROR(__xludf.DUMMYFUNCTION("""COMPUTED_VALUE"""),"Homagama")</f>
        <v>Homagama</v>
      </c>
      <c r="J346" s="98" t="str">
        <f>IFERROR(__xludf.DUMMYFUNCTION("""COMPUTED_VALUE"""),"Delivered")</f>
        <v>Delivered</v>
      </c>
      <c r="K346" s="98" t="str">
        <f>IFERROR(__xludf.DUMMYFUNCTION("""COMPUTED_VALUE"""),"Customer Care")</f>
        <v>Customer Care</v>
      </c>
      <c r="L346" s="98" t="str">
        <f>IFERROR(__xludf.DUMMYFUNCTION("""COMPUTED_VALUE"""),"Disconnected")</f>
        <v>Disconnected</v>
      </c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>
      <c r="A347" s="82"/>
      <c r="B347" s="106" t="str">
        <f>IFERROR(__xludf.DUMMYFUNCTION("""COMPUTED_VALUE"""),"274")</f>
        <v>274</v>
      </c>
      <c r="C347" s="106" t="str">
        <f>IFERROR(__xludf.DUMMYFUNCTION("""COMPUTED_VALUE"""),"Umesha")</f>
        <v>Umesha</v>
      </c>
      <c r="D347" s="106" t="str">
        <f>IFERROR(__xludf.DUMMYFUNCTION("""COMPUTED_VALUE"""),"751580385")</f>
        <v>751580385</v>
      </c>
      <c r="E347" s="106" t="str">
        <f>IFERROR(__xludf.DUMMYFUNCTION("""COMPUTED_VALUE"""),"N")</f>
        <v>N</v>
      </c>
      <c r="F347" s="107" t="str">
        <f>IFERROR(__xludf.DUMMYFUNCTION("""COMPUTED_VALUE"""),"Mexmy.Lk")</f>
        <v>Mexmy.Lk</v>
      </c>
      <c r="G347" s="106" t="str">
        <f>IFERROR(__xludf.DUMMYFUNCTION("""COMPUTED_VALUE"""),"A4389924")</f>
        <v>A4389924</v>
      </c>
      <c r="H347" s="106" t="str">
        <f>IFERROR(__xludf.DUMMYFUNCTION("""COMPUTED_VALUE"""),"Top Urgent Today")</f>
        <v>Top Urgent Today</v>
      </c>
      <c r="I347" s="106" t="str">
        <f>IFERROR(__xludf.DUMMYFUNCTION("""COMPUTED_VALUE"""),"Polonnaruwa")</f>
        <v>Polonnaruwa</v>
      </c>
      <c r="J347" s="106" t="str">
        <f>IFERROR(__xludf.DUMMYFUNCTION("""COMPUTED_VALUE"""),"Out For Delivery")</f>
        <v>Out For Delivery</v>
      </c>
      <c r="K347" s="106" t="str">
        <f>IFERROR(__xludf.DUMMYFUNCTION("""COMPUTED_VALUE"""),"Branch Operations")</f>
        <v>Branch Operations</v>
      </c>
      <c r="L347" s="106" t="str">
        <f>IFERROR(__xludf.DUMMYFUNCTION("""COMPUTED_VALUE"""),"Informed Branch")</f>
        <v>Informed Branch</v>
      </c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>
      <c r="A348" s="82"/>
      <c r="B348" s="98" t="str">
        <f>IFERROR(__xludf.DUMMYFUNCTION("""COMPUTED_VALUE"""),"321")</f>
        <v>321</v>
      </c>
      <c r="C348" s="98" t="str">
        <f>IFERROR(__xludf.DUMMYFUNCTION("""COMPUTED_VALUE"""),"Umesha")</f>
        <v>Umesha</v>
      </c>
      <c r="D348" s="98" t="str">
        <f>IFERROR(__xludf.DUMMYFUNCTION("""COMPUTED_VALUE"""),"772172443")</f>
        <v>772172443</v>
      </c>
      <c r="E348" s="98" t="str">
        <f>IFERROR(__xludf.DUMMYFUNCTION("""COMPUTED_VALUE"""),"Y")</f>
        <v>Y</v>
      </c>
      <c r="F348" s="98" t="str">
        <f>IFERROR(__xludf.DUMMYFUNCTION("""COMPUTED_VALUE"""),"Swasthi")</f>
        <v>Swasthi</v>
      </c>
      <c r="G348" s="98" t="str">
        <f>IFERROR(__xludf.DUMMYFUNCTION("""COMPUTED_VALUE"""),"A3821395")</f>
        <v>A3821395</v>
      </c>
      <c r="H348" s="98" t="str">
        <f>IFERROR(__xludf.DUMMYFUNCTION("""COMPUTED_VALUE"""),"Tamil Call")</f>
        <v>Tamil Call</v>
      </c>
      <c r="I348" s="98" t="str">
        <f>IFERROR(__xludf.DUMMYFUNCTION("""COMPUTED_VALUE"""),"Ambalangoda")</f>
        <v>Ambalangoda</v>
      </c>
      <c r="J348" s="98" t="str">
        <f>IFERROR(__xludf.DUMMYFUNCTION("""COMPUTED_VALUE"""),"Returned To Branch Failed To Deliver")</f>
        <v>Returned To Branch Failed To Deliver</v>
      </c>
      <c r="K348" s="98" t="str">
        <f>IFERROR(__xludf.DUMMYFUNCTION("""COMPUTED_VALUE"""),"Customer Care")</f>
        <v>Customer Care</v>
      </c>
      <c r="L348" s="98" t="str">
        <f>IFERROR(__xludf.DUMMYFUNCTION("""COMPUTED_VALUE"""),"Call Transfer Jeni")</f>
        <v>Call Transfer Jeni</v>
      </c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>
      <c r="A349" s="82"/>
      <c r="B349" s="106" t="str">
        <f>IFERROR(__xludf.DUMMYFUNCTION("""COMPUTED_VALUE"""),"293")</f>
        <v>293</v>
      </c>
      <c r="C349" s="106" t="str">
        <f>IFERROR(__xludf.DUMMYFUNCTION("""COMPUTED_VALUE"""),"Umesha")</f>
        <v>Umesha</v>
      </c>
      <c r="D349" s="106" t="str">
        <f>IFERROR(__xludf.DUMMYFUNCTION("""COMPUTED_VALUE"""),"750850157")</f>
        <v>750850157</v>
      </c>
      <c r="E349" s="106" t="str">
        <f>IFERROR(__xludf.DUMMYFUNCTION("""COMPUTED_VALUE"""),"N")</f>
        <v>N</v>
      </c>
      <c r="F349" s="106" t="str">
        <f>IFERROR(__xludf.DUMMYFUNCTION("""COMPUTED_VALUE"""),"Nd Clothing")</f>
        <v>Nd Clothing</v>
      </c>
      <c r="G349" s="106" t="str">
        <f>IFERROR(__xludf.DUMMYFUNCTION("""COMPUTED_VALUE"""),"A3149166")</f>
        <v>A3149166</v>
      </c>
      <c r="H349" s="106" t="str">
        <f>IFERROR(__xludf.DUMMYFUNCTION("""COMPUTED_VALUE"""),"Didn'T Know The Tracking Number")</f>
        <v>Didn'T Know The Tracking Number</v>
      </c>
      <c r="I349" s="106" t="str">
        <f>IFERROR(__xludf.DUMMYFUNCTION("""COMPUTED_VALUE"""),"Colombo Metro")</f>
        <v>Colombo Metro</v>
      </c>
      <c r="J349" s="106" t="str">
        <f>IFERROR(__xludf.DUMMYFUNCTION("""COMPUTED_VALUE"""),"Received At Destination")</f>
        <v>Received At Destination</v>
      </c>
      <c r="K349" s="106" t="str">
        <f>IFERROR(__xludf.DUMMYFUNCTION("""COMPUTED_VALUE"""),"Customer Care")</f>
        <v>Customer Care</v>
      </c>
      <c r="L349" s="106" t="str">
        <f>IFERROR(__xludf.DUMMYFUNCTION("""COMPUTED_VALUE"""),"Check And Call Back")</f>
        <v>Check And Call Back</v>
      </c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>
      <c r="A350" s="82"/>
      <c r="B350" s="98" t="str">
        <f>IFERROR(__xludf.DUMMYFUNCTION("""COMPUTED_VALUE"""),"323")</f>
        <v>323</v>
      </c>
      <c r="C350" s="98" t="str">
        <f>IFERROR(__xludf.DUMMYFUNCTION("""COMPUTED_VALUE"""),"Umesha")</f>
        <v>Umesha</v>
      </c>
      <c r="D350" s="98" t="str">
        <f>IFERROR(__xludf.DUMMYFUNCTION("""COMPUTED_VALUE"""),"729394331")</f>
        <v>729394331</v>
      </c>
      <c r="E350" s="98" t="str">
        <f>IFERROR(__xludf.DUMMYFUNCTION("""COMPUTED_VALUE"""),"N")</f>
        <v>N</v>
      </c>
      <c r="F350" s="98" t="str">
        <f>IFERROR(__xludf.DUMMYFUNCTION("""COMPUTED_VALUE"""),"Cutie Gifts")</f>
        <v>Cutie Gifts</v>
      </c>
      <c r="G350" s="98" t="str">
        <f>IFERROR(__xludf.DUMMYFUNCTION("""COMPUTED_VALUE"""),"90954741")</f>
        <v>90954741</v>
      </c>
      <c r="H350" s="98" t="str">
        <f>IFERROR(__xludf.DUMMYFUNCTION("""COMPUTED_VALUE"""),"New Registration")</f>
        <v>New Registration</v>
      </c>
      <c r="I350" s="98" t="str">
        <f>IFERROR(__xludf.DUMMYFUNCTION("""COMPUTED_VALUE"""),"Ambalangoda")</f>
        <v>Ambalangoda</v>
      </c>
      <c r="J350" s="98" t="str">
        <f>IFERROR(__xludf.DUMMYFUNCTION("""COMPUTED_VALUE"""),"Returned To Branch Failed To Deliver")</f>
        <v>Returned To Branch Failed To Deliver</v>
      </c>
      <c r="K350" s="98" t="str">
        <f>IFERROR(__xludf.DUMMYFUNCTION("""COMPUTED_VALUE"""),"Sales")</f>
        <v>Sales</v>
      </c>
      <c r="L350" s="98" t="str">
        <f>IFERROR(__xludf.DUMMYFUNCTION("""COMPUTED_VALUE"""),"Call Transfer Sales Department")</f>
        <v>Call Transfer Sales Department</v>
      </c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>
      <c r="A351" s="82"/>
      <c r="B351" s="106" t="str">
        <f>IFERROR(__xludf.DUMMYFUNCTION("""COMPUTED_VALUE"""),"278")</f>
        <v>278</v>
      </c>
      <c r="C351" s="106" t="str">
        <f>IFERROR(__xludf.DUMMYFUNCTION("""COMPUTED_VALUE"""),"Umesha")</f>
        <v>Umesha</v>
      </c>
      <c r="D351" s="106" t="str">
        <f>IFERROR(__xludf.DUMMYFUNCTION("""COMPUTED_VALUE"""),"740750103")</f>
        <v>740750103</v>
      </c>
      <c r="E351" s="106" t="str">
        <f>IFERROR(__xludf.DUMMYFUNCTION("""COMPUTED_VALUE"""),"N")</f>
        <v>N</v>
      </c>
      <c r="F351" s="106" t="str">
        <f>IFERROR(__xludf.DUMMYFUNCTION("""COMPUTED_VALUE"""),"Flora Natural")</f>
        <v>Flora Natural</v>
      </c>
      <c r="G351" s="106" t="str">
        <f>IFERROR(__xludf.DUMMYFUNCTION("""COMPUTED_VALUE"""),"A1124299")</f>
        <v>A1124299</v>
      </c>
      <c r="H351" s="106" t="str">
        <f>IFERROR(__xludf.DUMMYFUNCTION("""COMPUTED_VALUE"""),"Arrange Delivery Today / Top Urgent")</f>
        <v>Arrange Delivery Today / Top Urgent</v>
      </c>
      <c r="I351" s="106" t="str">
        <f>IFERROR(__xludf.DUMMYFUNCTION("""COMPUTED_VALUE"""),"Puttalam")</f>
        <v>Puttalam</v>
      </c>
      <c r="J351" s="106" t="str">
        <f>IFERROR(__xludf.DUMMYFUNCTION("""COMPUTED_VALUE"""),"Returned To Branch Rescheduled")</f>
        <v>Returned To Branch Rescheduled</v>
      </c>
      <c r="K351" s="106" t="str">
        <f>IFERROR(__xludf.DUMMYFUNCTION("""COMPUTED_VALUE"""),"Branch Operations")</f>
        <v>Branch Operations</v>
      </c>
      <c r="L351" s="106" t="str">
        <f>IFERROR(__xludf.DUMMYFUNCTION("""COMPUTED_VALUE"""),"Informed Branch")</f>
        <v>Informed Branch</v>
      </c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>
      <c r="A352" s="82"/>
      <c r="B352" s="98" t="str">
        <f>IFERROR(__xludf.DUMMYFUNCTION("""COMPUTED_VALUE"""),"279")</f>
        <v>279</v>
      </c>
      <c r="C352" s="98" t="str">
        <f>IFERROR(__xludf.DUMMYFUNCTION("""COMPUTED_VALUE"""),"Umesha")</f>
        <v>Umesha</v>
      </c>
      <c r="D352" s="98" t="str">
        <f>IFERROR(__xludf.DUMMYFUNCTION("""COMPUTED_VALUE"""),"763770209")</f>
        <v>763770209</v>
      </c>
      <c r="E352" s="98" t="str">
        <f>IFERROR(__xludf.DUMMYFUNCTION("""COMPUTED_VALUE"""),"N")</f>
        <v>N</v>
      </c>
      <c r="F352" s="98" t="str">
        <f>IFERROR(__xludf.DUMMYFUNCTION("""COMPUTED_VALUE"""),"Sumexholding")</f>
        <v>Sumexholding</v>
      </c>
      <c r="G352" s="98" t="str">
        <f>IFERROR(__xludf.DUMMYFUNCTION("""COMPUTED_VALUE"""),"BE082366")</f>
        <v>BE082366</v>
      </c>
      <c r="H352" s="98" t="str">
        <f>IFERROR(__xludf.DUMMYFUNCTION("""COMPUTED_VALUE"""),"763770209 -Customer Requested Re-Delivery. Please Arrange It For Tomorrow.")</f>
        <v>763770209 -Customer Requested Re-Delivery. Please Arrange It For Tomorrow.</v>
      </c>
      <c r="I352" s="98" t="str">
        <f>IFERROR(__xludf.DUMMYFUNCTION("""COMPUTED_VALUE"""),"Karawanella")</f>
        <v>Karawanella</v>
      </c>
      <c r="J352" s="98" t="str">
        <f>IFERROR(__xludf.DUMMYFUNCTION("""COMPUTED_VALUE"""),"Returned To Ho")</f>
        <v>Returned To Ho</v>
      </c>
      <c r="K352" s="98" t="str">
        <f>IFERROR(__xludf.DUMMYFUNCTION("""COMPUTED_VALUE"""),"Branch Operations")</f>
        <v>Branch Operations</v>
      </c>
      <c r="L352" s="98" t="str">
        <f>IFERROR(__xludf.DUMMYFUNCTION("""COMPUTED_VALUE"""),"Informed Branch")</f>
        <v>Informed Branch</v>
      </c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>
      <c r="A353" s="82"/>
      <c r="B353" s="106" t="str">
        <f>IFERROR(__xludf.DUMMYFUNCTION("""COMPUTED_VALUE"""),"280")</f>
        <v>280</v>
      </c>
      <c r="C353" s="106" t="str">
        <f>IFERROR(__xludf.DUMMYFUNCTION("""COMPUTED_VALUE"""),"Umesha")</f>
        <v>Umesha</v>
      </c>
      <c r="D353" s="106" t="str">
        <f>IFERROR(__xludf.DUMMYFUNCTION("""COMPUTED_VALUE"""),"768931820")</f>
        <v>768931820</v>
      </c>
      <c r="E353" s="106" t="str">
        <f>IFERROR(__xludf.DUMMYFUNCTION("""COMPUTED_VALUE"""),"Y")</f>
        <v>Y</v>
      </c>
      <c r="F353" s="106" t="str">
        <f>IFERROR(__xludf.DUMMYFUNCTION("""COMPUTED_VALUE"""),"Dona Shireen")</f>
        <v>Dona Shireen</v>
      </c>
      <c r="G353" s="106" t="str">
        <f>IFERROR(__xludf.DUMMYFUNCTION("""COMPUTED_VALUE"""),"A3998689")</f>
        <v>A3998689</v>
      </c>
      <c r="H353" s="106" t="str">
        <f>IFERROR(__xludf.DUMMYFUNCTION("""COMPUTED_VALUE"""),"Urgent Return Package")</f>
        <v>Urgent Return Package</v>
      </c>
      <c r="I353" s="106" t="str">
        <f>IFERROR(__xludf.DUMMYFUNCTION("""COMPUTED_VALUE"""),"Karawanella")</f>
        <v>Karawanella</v>
      </c>
      <c r="J353" s="106" t="str">
        <f>IFERROR(__xludf.DUMMYFUNCTION("""COMPUTED_VALUE"""),"Returned To Ho")</f>
        <v>Returned To Ho</v>
      </c>
      <c r="K353" s="106" t="str">
        <f>IFERROR(__xludf.DUMMYFUNCTION("""COMPUTED_VALUE"""),"Branch Operations")</f>
        <v>Branch Operations</v>
      </c>
      <c r="L353" s="106" t="str">
        <f>IFERROR(__xludf.DUMMYFUNCTION("""COMPUTED_VALUE"""),"Informed Branch")</f>
        <v>Informed Branch</v>
      </c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>
      <c r="A354" s="82"/>
      <c r="B354" s="98" t="str">
        <f>IFERROR(__xludf.DUMMYFUNCTION("""COMPUTED_VALUE"""),"298")</f>
        <v>298</v>
      </c>
      <c r="C354" s="98" t="str">
        <f>IFERROR(__xludf.DUMMYFUNCTION("""COMPUTED_VALUE"""),"Umesha")</f>
        <v>Umesha</v>
      </c>
      <c r="D354" s="98" t="str">
        <f>IFERROR(__xludf.DUMMYFUNCTION("""COMPUTED_VALUE"""),"772853693")</f>
        <v>772853693</v>
      </c>
      <c r="E354" s="98" t="str">
        <f>IFERROR(__xludf.DUMMYFUNCTION("""COMPUTED_VALUE"""),"N")</f>
        <v>N</v>
      </c>
      <c r="F354" s="98" t="str">
        <f>IFERROR(__xludf.DUMMYFUNCTION("""COMPUTED_VALUE"""),"Alpha.Com(Pvt)Ltd")</f>
        <v>Alpha.Com(Pvt)Ltd</v>
      </c>
      <c r="G354" s="98" t="str">
        <f>IFERROR(__xludf.DUMMYFUNCTION("""COMPUTED_VALUE"""),"15126322")</f>
        <v>15126322</v>
      </c>
      <c r="H354" s="98" t="str">
        <f>IFERROR(__xludf.DUMMYFUNCTION("""COMPUTED_VALUE"""),"Didn'T Know The Tracking Number")</f>
        <v>Didn'T Know The Tracking Number</v>
      </c>
      <c r="I354" s="98" t="str">
        <f>IFERROR(__xludf.DUMMYFUNCTION("""COMPUTED_VALUE"""),"Wattala")</f>
        <v>Wattala</v>
      </c>
      <c r="J354" s="98" t="str">
        <f>IFERROR(__xludf.DUMMYFUNCTION("""COMPUTED_VALUE"""),"Returned To Branch Failed To Deliver")</f>
        <v>Returned To Branch Failed To Deliver</v>
      </c>
      <c r="K354" s="98" t="str">
        <f>IFERROR(__xludf.DUMMYFUNCTION("""COMPUTED_VALUE"""),"Customer Care")</f>
        <v>Customer Care</v>
      </c>
      <c r="L354" s="98" t="str">
        <f>IFERROR(__xludf.DUMMYFUNCTION("""COMPUTED_VALUE"""),"Check And Call Back")</f>
        <v>Check And Call Back</v>
      </c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>
      <c r="A355" s="82"/>
      <c r="B355" s="106" t="str">
        <f>IFERROR(__xludf.DUMMYFUNCTION("""COMPUTED_VALUE"""),"327")</f>
        <v>327</v>
      </c>
      <c r="C355" s="106" t="str">
        <f>IFERROR(__xludf.DUMMYFUNCTION("""COMPUTED_VALUE"""),"Umesha")</f>
        <v>Umesha</v>
      </c>
      <c r="D355" s="106" t="str">
        <f>IFERROR(__xludf.DUMMYFUNCTION("""COMPUTED_VALUE"""),"764260766")</f>
        <v>764260766</v>
      </c>
      <c r="E355" s="106" t="str">
        <f>IFERROR(__xludf.DUMMYFUNCTION("""COMPUTED_VALUE"""),"Y")</f>
        <v>Y</v>
      </c>
      <c r="F355" s="106" t="str">
        <f>IFERROR(__xludf.DUMMYFUNCTION("""COMPUTED_VALUE"""),"Win Lanka")</f>
        <v>Win Lanka</v>
      </c>
      <c r="G355" s="106" t="str">
        <f>IFERROR(__xludf.DUMMYFUNCTION("""COMPUTED_VALUE"""),"BD902615")</f>
        <v>BD902615</v>
      </c>
      <c r="H355" s="106" t="str">
        <f>IFERROR(__xludf.DUMMYFUNCTION("""COMPUTED_VALUE"""),"The Client Is Asking Whether It Is Possible To Deliver A Package That Is 4 Feet Long.")</f>
        <v>The Client Is Asking Whether It Is Possible To Deliver A Package That Is 4 Feet Long.</v>
      </c>
      <c r="I355" s="106" t="str">
        <f>IFERROR(__xludf.DUMMYFUNCTION("""COMPUTED_VALUE"""),"Nuwara Eliya")</f>
        <v>Nuwara Eliya</v>
      </c>
      <c r="J355" s="106" t="str">
        <f>IFERROR(__xludf.DUMMYFUNCTION("""COMPUTED_VALUE"""),"Out For Delivery")</f>
        <v>Out For Delivery</v>
      </c>
      <c r="K355" s="106" t="str">
        <f>IFERROR(__xludf.DUMMYFUNCTION("""COMPUTED_VALUE"""),"Customer Care")</f>
        <v>Customer Care</v>
      </c>
      <c r="L355" s="106" t="str">
        <f>IFERROR(__xludf.DUMMYFUNCTION("""COMPUTED_VALUE"""),"Given Details")</f>
        <v>Given Details</v>
      </c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>
      <c r="A356" s="82"/>
      <c r="B356" s="98" t="str">
        <f>IFERROR(__xludf.DUMMYFUNCTION("""COMPUTED_VALUE"""),"328")</f>
        <v>328</v>
      </c>
      <c r="C356" s="98" t="str">
        <f>IFERROR(__xludf.DUMMYFUNCTION("""COMPUTED_VALUE"""),"Umesha")</f>
        <v>Umesha</v>
      </c>
      <c r="D356" s="98" t="str">
        <f>IFERROR(__xludf.DUMMYFUNCTION("""COMPUTED_VALUE"""),"769357268")</f>
        <v>769357268</v>
      </c>
      <c r="E356" s="98" t="str">
        <f>IFERROR(__xludf.DUMMYFUNCTION("""COMPUTED_VALUE"""),"N")</f>
        <v>N</v>
      </c>
      <c r="F356" s="98" t="str">
        <f>IFERROR(__xludf.DUMMYFUNCTION("""COMPUTED_VALUE"""),"Coco Leaf")</f>
        <v>Coco Leaf</v>
      </c>
      <c r="G356" s="98" t="str">
        <f>IFERROR(__xludf.DUMMYFUNCTION("""COMPUTED_VALUE"""),"A4338583")</f>
        <v>A4338583</v>
      </c>
      <c r="H356" s="98" t="str">
        <f>IFERROR(__xludf.DUMMYFUNCTION("""COMPUTED_VALUE"""),"Still Processing")</f>
        <v>Still Processing</v>
      </c>
      <c r="I356" s="98" t="str">
        <f>IFERROR(__xludf.DUMMYFUNCTION("""COMPUTED_VALUE"""),"Nuwara Eliya")</f>
        <v>Nuwara Eliya</v>
      </c>
      <c r="J356" s="98" t="str">
        <f>IFERROR(__xludf.DUMMYFUNCTION("""COMPUTED_VALUE"""),"Processing")</f>
        <v>Processing</v>
      </c>
      <c r="K356" s="98" t="str">
        <f>IFERROR(__xludf.DUMMYFUNCTION("""COMPUTED_VALUE"""),"Customer Care")</f>
        <v>Customer Care</v>
      </c>
      <c r="L356" s="98" t="str">
        <f>IFERROR(__xludf.DUMMYFUNCTION("""COMPUTED_VALUE"""),"Informed Customer")</f>
        <v>Informed Customer</v>
      </c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>
      <c r="A357" s="82"/>
      <c r="B357" s="106" t="str">
        <f>IFERROR(__xludf.DUMMYFUNCTION("""COMPUTED_VALUE"""),"301")</f>
        <v>301</v>
      </c>
      <c r="C357" s="106" t="str">
        <f>IFERROR(__xludf.DUMMYFUNCTION("""COMPUTED_VALUE"""),"Umesha")</f>
        <v>Umesha</v>
      </c>
      <c r="D357" s="106" t="str">
        <f>IFERROR(__xludf.DUMMYFUNCTION("""COMPUTED_VALUE"""),"754916035")</f>
        <v>754916035</v>
      </c>
      <c r="E357" s="106" t="str">
        <f>IFERROR(__xludf.DUMMYFUNCTION("""COMPUTED_VALUE"""),"Y")</f>
        <v>Y</v>
      </c>
      <c r="F357" s="106" t="str">
        <f>IFERROR(__xludf.DUMMYFUNCTION("""COMPUTED_VALUE"""),"Clothing Brands")</f>
        <v>Clothing Brands</v>
      </c>
      <c r="G357" s="106" t="str">
        <f>IFERROR(__xludf.DUMMYFUNCTION("""COMPUTED_VALUE"""),"WD246578")</f>
        <v>WD246578</v>
      </c>
      <c r="H357" s="106" t="str">
        <f>IFERROR(__xludf.DUMMYFUNCTION("""COMPUTED_VALUE"""),"Way Bill Not To The System")</f>
        <v>Way Bill Not To The System</v>
      </c>
      <c r="I357" s="106" t="str">
        <f>IFERROR(__xludf.DUMMYFUNCTION("""COMPUTED_VALUE"""),"Karawanella")</f>
        <v>Karawanella</v>
      </c>
      <c r="J357" s="106" t="str">
        <f>IFERROR(__xludf.DUMMYFUNCTION("""COMPUTED_VALUE"""),"Returned To Ho")</f>
        <v>Returned To Ho</v>
      </c>
      <c r="K357" s="106" t="str">
        <f>IFERROR(__xludf.DUMMYFUNCTION("""COMPUTED_VALUE"""),"Domestic")</f>
        <v>Domestic</v>
      </c>
      <c r="L357" s="106" t="str">
        <f>IFERROR(__xludf.DUMMYFUNCTION("""COMPUTED_VALUE"""),"Call Transfer Domestic Department")</f>
        <v>Call Transfer Domestic Department</v>
      </c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>
      <c r="A358" s="82"/>
      <c r="B358" s="98" t="str">
        <f>IFERROR(__xludf.DUMMYFUNCTION("""COMPUTED_VALUE"""),"302")</f>
        <v>302</v>
      </c>
      <c r="C358" s="98" t="str">
        <f>IFERROR(__xludf.DUMMYFUNCTION("""COMPUTED_VALUE"""),"Umesha")</f>
        <v>Umesha</v>
      </c>
      <c r="D358" s="98" t="str">
        <f>IFERROR(__xludf.DUMMYFUNCTION("""COMPUTED_VALUE"""),"740350585")</f>
        <v>740350585</v>
      </c>
      <c r="E358" s="98" t="str">
        <f>IFERROR(__xludf.DUMMYFUNCTION("""COMPUTED_VALUE"""),"Y")</f>
        <v>Y</v>
      </c>
      <c r="F358" s="98" t="str">
        <f>IFERROR(__xludf.DUMMYFUNCTION("""COMPUTED_VALUE"""),"Clothing Brands")</f>
        <v>Clothing Brands</v>
      </c>
      <c r="G358" s="98" t="str">
        <f>IFERROR(__xludf.DUMMYFUNCTION("""COMPUTED_VALUE"""),"WD246578")</f>
        <v>WD246578</v>
      </c>
      <c r="H358" s="98" t="str">
        <f>IFERROR(__xludf.DUMMYFUNCTION("""COMPUTED_VALUE"""),"Ask Some Details")</f>
        <v>Ask Some Details</v>
      </c>
      <c r="I358" s="98" t="str">
        <f>IFERROR(__xludf.DUMMYFUNCTION("""COMPUTED_VALUE"""),"Karawanella")</f>
        <v>Karawanella</v>
      </c>
      <c r="J358" s="98" t="str">
        <f>IFERROR(__xludf.DUMMYFUNCTION("""COMPUTED_VALUE"""),"Returned To Ho")</f>
        <v>Returned To Ho</v>
      </c>
      <c r="K358" s="98" t="str">
        <f>IFERROR(__xludf.DUMMYFUNCTION("""COMPUTED_VALUE"""),"Customer Care")</f>
        <v>Customer Care</v>
      </c>
      <c r="L358" s="98" t="str">
        <f>IFERROR(__xludf.DUMMYFUNCTION("""COMPUTED_VALUE"""),"Given Details")</f>
        <v>Given Details</v>
      </c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>
      <c r="A359" s="82"/>
      <c r="B359" s="106" t="str">
        <f>IFERROR(__xludf.DUMMYFUNCTION("""COMPUTED_VALUE"""),"285")</f>
        <v>285</v>
      </c>
      <c r="C359" s="106" t="str">
        <f>IFERROR(__xludf.DUMMYFUNCTION("""COMPUTED_VALUE"""),"Umesha")</f>
        <v>Umesha</v>
      </c>
      <c r="D359" s="106" t="str">
        <f>IFERROR(__xludf.DUMMYFUNCTION("""COMPUTED_VALUE"""),"761930973")</f>
        <v>761930973</v>
      </c>
      <c r="E359" s="106" t="str">
        <f>IFERROR(__xludf.DUMMYFUNCTION("""COMPUTED_VALUE"""),"N")</f>
        <v>N</v>
      </c>
      <c r="F359" s="106" t="str">
        <f>IFERROR(__xludf.DUMMYFUNCTION("""COMPUTED_VALUE"""),"Win Lanka")</f>
        <v>Win Lanka</v>
      </c>
      <c r="G359" s="106" t="str">
        <f>IFERROR(__xludf.DUMMYFUNCTION("""COMPUTED_VALUE"""),"BD902615")</f>
        <v>BD902615</v>
      </c>
      <c r="H359" s="106" t="str">
        <f>IFERROR(__xludf.DUMMYFUNCTION("""COMPUTED_VALUE"""),"Top Urgent Today")</f>
        <v>Top Urgent Today</v>
      </c>
      <c r="I359" s="106" t="str">
        <f>IFERROR(__xludf.DUMMYFUNCTION("""COMPUTED_VALUE"""),"Ambalangoda")</f>
        <v>Ambalangoda</v>
      </c>
      <c r="J359" s="106" t="str">
        <f>IFERROR(__xludf.DUMMYFUNCTION("""COMPUTED_VALUE"""),"Out For Delivery")</f>
        <v>Out For Delivery</v>
      </c>
      <c r="K359" s="106" t="str">
        <f>IFERROR(__xludf.DUMMYFUNCTION("""COMPUTED_VALUE"""),"Branch Operations")</f>
        <v>Branch Operations</v>
      </c>
      <c r="L359" s="106" t="str">
        <f>IFERROR(__xludf.DUMMYFUNCTION("""COMPUTED_VALUE"""),"Informed Branch")</f>
        <v>Informed Branch</v>
      </c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>
      <c r="A360" s="82"/>
      <c r="B360" s="98" t="str">
        <f>IFERROR(__xludf.DUMMYFUNCTION("""COMPUTED_VALUE"""),"286")</f>
        <v>286</v>
      </c>
      <c r="C360" s="98" t="str">
        <f>IFERROR(__xludf.DUMMYFUNCTION("""COMPUTED_VALUE"""),"Umesha")</f>
        <v>Umesha</v>
      </c>
      <c r="D360" s="98" t="str">
        <f>IFERROR(__xludf.DUMMYFUNCTION("""COMPUTED_VALUE"""),"760189186")</f>
        <v>760189186</v>
      </c>
      <c r="E360" s="98" t="str">
        <f>IFERROR(__xludf.DUMMYFUNCTION("""COMPUTED_VALUE"""),"Y")</f>
        <v>Y</v>
      </c>
      <c r="F360" s="98" t="str">
        <f>IFERROR(__xludf.DUMMYFUNCTION("""COMPUTED_VALUE"""),"Kanro Enterprises")</f>
        <v>Kanro Enterprises</v>
      </c>
      <c r="G360" s="98" t="str">
        <f>IFERROR(__xludf.DUMMYFUNCTION("""COMPUTED_VALUE"""),"A4456089")</f>
        <v>A4456089</v>
      </c>
      <c r="H360" s="98" t="str">
        <f>IFERROR(__xludf.DUMMYFUNCTION("""COMPUTED_VALUE"""),"Arrange Delivery Today / Top Urgent")</f>
        <v>Arrange Delivery Today / Top Urgent</v>
      </c>
      <c r="I360" s="98" t="str">
        <f>IFERROR(__xludf.DUMMYFUNCTION("""COMPUTED_VALUE"""),"Kaduwela")</f>
        <v>Kaduwela</v>
      </c>
      <c r="J360" s="98" t="str">
        <f>IFERROR(__xludf.DUMMYFUNCTION("""COMPUTED_VALUE"""),"Received At Destination")</f>
        <v>Received At Destination</v>
      </c>
      <c r="K360" s="98" t="str">
        <f>IFERROR(__xludf.DUMMYFUNCTION("""COMPUTED_VALUE"""),"Branch Operations")</f>
        <v>Branch Operations</v>
      </c>
      <c r="L360" s="98" t="str">
        <f>IFERROR(__xludf.DUMMYFUNCTION("""COMPUTED_VALUE"""),"Informed Branch")</f>
        <v>Informed Branch</v>
      </c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>
      <c r="A361" s="82"/>
      <c r="B361" s="106" t="str">
        <f>IFERROR(__xludf.DUMMYFUNCTION("""COMPUTED_VALUE"""),"286")</f>
        <v>286</v>
      </c>
      <c r="C361" s="106" t="str">
        <f>IFERROR(__xludf.DUMMYFUNCTION("""COMPUTED_VALUE"""),"Umesha")</f>
        <v>Umesha</v>
      </c>
      <c r="D361" s="106" t="str">
        <f>IFERROR(__xludf.DUMMYFUNCTION("""COMPUTED_VALUE"""),"760189186")</f>
        <v>760189186</v>
      </c>
      <c r="E361" s="106" t="str">
        <f>IFERROR(__xludf.DUMMYFUNCTION("""COMPUTED_VALUE"""),"Y")</f>
        <v>Y</v>
      </c>
      <c r="F361" s="106" t="str">
        <f>IFERROR(__xludf.DUMMYFUNCTION("""COMPUTED_VALUE"""),"Kanro Enterprises")</f>
        <v>Kanro Enterprises</v>
      </c>
      <c r="G361" s="106" t="str">
        <f>IFERROR(__xludf.DUMMYFUNCTION("""COMPUTED_VALUE"""),"A4456082")</f>
        <v>A4456082</v>
      </c>
      <c r="H361" s="106" t="str">
        <f>IFERROR(__xludf.DUMMYFUNCTION("""COMPUTED_VALUE"""),"Arrange Delivery Today / Top Urgent")</f>
        <v>Arrange Delivery Today / Top Urgent</v>
      </c>
      <c r="I361" s="106" t="str">
        <f>IFERROR(__xludf.DUMMYFUNCTION("""COMPUTED_VALUE"""),"Negombo")</f>
        <v>Negombo</v>
      </c>
      <c r="J361" s="106" t="str">
        <f>IFERROR(__xludf.DUMMYFUNCTION("""COMPUTED_VALUE"""),"Returned To Branch Rescheduled")</f>
        <v>Returned To Branch Rescheduled</v>
      </c>
      <c r="K361" s="106" t="str">
        <f>IFERROR(__xludf.DUMMYFUNCTION("""COMPUTED_VALUE"""),"Branch Operations")</f>
        <v>Branch Operations</v>
      </c>
      <c r="L361" s="106" t="str">
        <f>IFERROR(__xludf.DUMMYFUNCTION("""COMPUTED_VALUE"""),"Informed Branch")</f>
        <v>Informed Branch</v>
      </c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>
      <c r="A362" s="82"/>
      <c r="B362" s="98" t="str">
        <f>IFERROR(__xludf.DUMMYFUNCTION("""COMPUTED_VALUE"""),"306")</f>
        <v>306</v>
      </c>
      <c r="C362" s="98" t="str">
        <f>IFERROR(__xludf.DUMMYFUNCTION("""COMPUTED_VALUE"""),"Umesha")</f>
        <v>Umesha</v>
      </c>
      <c r="D362" s="98" t="str">
        <f>IFERROR(__xludf.DUMMYFUNCTION("""COMPUTED_VALUE"""),"768804852")</f>
        <v>768804852</v>
      </c>
      <c r="E362" s="98" t="str">
        <f>IFERROR(__xludf.DUMMYFUNCTION("""COMPUTED_VALUE"""),"N")</f>
        <v>N</v>
      </c>
      <c r="F362" s="98" t="str">
        <f>IFERROR(__xludf.DUMMYFUNCTION("""COMPUTED_VALUE"""),"Ceylon Ayura")</f>
        <v>Ceylon Ayura</v>
      </c>
      <c r="G362" s="98" t="str">
        <f>IFERROR(__xludf.DUMMYFUNCTION("""COMPUTED_VALUE"""),"BE075435")</f>
        <v>BE075435</v>
      </c>
      <c r="H362" s="98" t="str">
        <f>IFERROR(__xludf.DUMMYFUNCTION("""COMPUTED_VALUE"""),"Tamil Call")</f>
        <v>Tamil Call</v>
      </c>
      <c r="I362" s="98" t="str">
        <f>IFERROR(__xludf.DUMMYFUNCTION("""COMPUTED_VALUE"""),"Horana")</f>
        <v>Horana</v>
      </c>
      <c r="J362" s="98" t="str">
        <f>IFERROR(__xludf.DUMMYFUNCTION("""COMPUTED_VALUE"""),"Returned To Branch Rescheduled")</f>
        <v>Returned To Branch Rescheduled</v>
      </c>
      <c r="K362" s="98" t="str">
        <f>IFERROR(__xludf.DUMMYFUNCTION("""COMPUTED_VALUE"""),"Customer Care")</f>
        <v>Customer Care</v>
      </c>
      <c r="L362" s="98" t="str">
        <f>IFERROR(__xludf.DUMMYFUNCTION("""COMPUTED_VALUE"""),"Call Transfer Jeni")</f>
        <v>Call Transfer Jeni</v>
      </c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>
      <c r="A363" s="82"/>
      <c r="B363" s="106" t="str">
        <f>IFERROR(__xludf.DUMMYFUNCTION("""COMPUTED_VALUE"""),"344")</f>
        <v>344</v>
      </c>
      <c r="C363" s="106" t="str">
        <f>IFERROR(__xludf.DUMMYFUNCTION("""COMPUTED_VALUE"""),"Umesha")</f>
        <v>Umesha</v>
      </c>
      <c r="D363" s="106" t="str">
        <f>IFERROR(__xludf.DUMMYFUNCTION("""COMPUTED_VALUE"""),"777595849")</f>
        <v>777595849</v>
      </c>
      <c r="E363" s="106" t="str">
        <f>IFERROR(__xludf.DUMMYFUNCTION("""COMPUTED_VALUE"""),"N")</f>
        <v>N</v>
      </c>
      <c r="F363" s="106" t="str">
        <f>IFERROR(__xludf.DUMMYFUNCTION("""COMPUTED_VALUE"""),"Win Lanka")</f>
        <v>Win Lanka</v>
      </c>
      <c r="G363" s="106" t="str">
        <f>IFERROR(__xludf.DUMMYFUNCTION("""COMPUTED_VALUE"""),"BD902615")</f>
        <v>BD902615</v>
      </c>
      <c r="H363" s="106" t="str">
        <f>IFERROR(__xludf.DUMMYFUNCTION("""COMPUTED_VALUE"""),"Tamil Call")</f>
        <v>Tamil Call</v>
      </c>
      <c r="I363" s="106" t="str">
        <f>IFERROR(__xludf.DUMMYFUNCTION("""COMPUTED_VALUE"""),"Ambalangoda")</f>
        <v>Ambalangoda</v>
      </c>
      <c r="J363" s="106" t="str">
        <f>IFERROR(__xludf.DUMMYFUNCTION("""COMPUTED_VALUE"""),"Returned To Branch Failed To Deliver")</f>
        <v>Returned To Branch Failed To Deliver</v>
      </c>
      <c r="K363" s="106" t="str">
        <f>IFERROR(__xludf.DUMMYFUNCTION("""COMPUTED_VALUE"""),"Customer Care")</f>
        <v>Customer Care</v>
      </c>
      <c r="L363" s="106" t="str">
        <f>IFERROR(__xludf.DUMMYFUNCTION("""COMPUTED_VALUE"""),"Call Transfer Jeni")</f>
        <v>Call Transfer Jeni</v>
      </c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>
      <c r="A364" s="82"/>
      <c r="B364" s="98" t="str">
        <f>IFERROR(__xludf.DUMMYFUNCTION("""COMPUTED_VALUE"""),"345")</f>
        <v>345</v>
      </c>
      <c r="C364" s="98" t="str">
        <f>IFERROR(__xludf.DUMMYFUNCTION("""COMPUTED_VALUE"""),"Umesha")</f>
        <v>Umesha</v>
      </c>
      <c r="D364" s="98" t="str">
        <f>IFERROR(__xludf.DUMMYFUNCTION("""COMPUTED_VALUE"""),"778694249")</f>
        <v>778694249</v>
      </c>
      <c r="E364" s="98" t="str">
        <f>IFERROR(__xludf.DUMMYFUNCTION("""COMPUTED_VALUE"""),"N")</f>
        <v>N</v>
      </c>
      <c r="F364" s="98" t="str">
        <f>IFERROR(__xludf.DUMMYFUNCTION("""COMPUTED_VALUE"""),"Win Lanka")</f>
        <v>Win Lanka</v>
      </c>
      <c r="G364" s="98" t="str">
        <f>IFERROR(__xludf.DUMMYFUNCTION("""COMPUTED_VALUE"""),"BD902615")</f>
        <v>BD902615</v>
      </c>
      <c r="H364" s="98" t="str">
        <f>IFERROR(__xludf.DUMMYFUNCTION("""COMPUTED_VALUE"""),"English Call")</f>
        <v>English Call</v>
      </c>
      <c r="I364" s="98" t="str">
        <f>IFERROR(__xludf.DUMMYFUNCTION("""COMPUTED_VALUE"""),"Ambalangoda")</f>
        <v>Ambalangoda</v>
      </c>
      <c r="J364" s="98" t="str">
        <f>IFERROR(__xludf.DUMMYFUNCTION("""COMPUTED_VALUE"""),"Returned To Branch Failed To Deliver")</f>
        <v>Returned To Branch Failed To Deliver</v>
      </c>
      <c r="K364" s="98" t="str">
        <f>IFERROR(__xludf.DUMMYFUNCTION("""COMPUTED_VALUE"""),"Customer Care")</f>
        <v>Customer Care</v>
      </c>
      <c r="L364" s="98" t="str">
        <f>IFERROR(__xludf.DUMMYFUNCTION("""COMPUTED_VALUE"""),"Call Transfer Malik")</f>
        <v>Call Transfer Malik</v>
      </c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>
      <c r="A365" s="82"/>
      <c r="B365" s="106" t="str">
        <f>IFERROR(__xludf.DUMMYFUNCTION("""COMPUTED_VALUE"""),"290")</f>
        <v>290</v>
      </c>
      <c r="C365" s="106" t="str">
        <f>IFERROR(__xludf.DUMMYFUNCTION("""COMPUTED_VALUE"""),"Umesha")</f>
        <v>Umesha</v>
      </c>
      <c r="D365" s="106" t="str">
        <f>IFERROR(__xludf.DUMMYFUNCTION("""COMPUTED_VALUE"""),"772994325")</f>
        <v>772994325</v>
      </c>
      <c r="E365" s="106" t="str">
        <f>IFERROR(__xludf.DUMMYFUNCTION("""COMPUTED_VALUE"""),"N")</f>
        <v>N</v>
      </c>
      <c r="F365" s="106" t="str">
        <f>IFERROR(__xludf.DUMMYFUNCTION("""COMPUTED_VALUE"""),"Win Lanka")</f>
        <v>Win Lanka</v>
      </c>
      <c r="G365" s="106" t="str">
        <f>IFERROR(__xludf.DUMMYFUNCTION("""COMPUTED_VALUE"""),"BD902615")</f>
        <v>BD902615</v>
      </c>
      <c r="H365" s="106" t="str">
        <f>IFERROR(__xludf.DUMMYFUNCTION("""COMPUTED_VALUE"""),"Answered")</f>
        <v>Answered</v>
      </c>
      <c r="I365" s="106" t="str">
        <f>IFERROR(__xludf.DUMMYFUNCTION("""COMPUTED_VALUE"""),"Embilipitiya")</f>
        <v>Embilipitiya</v>
      </c>
      <c r="J365" s="106" t="str">
        <f>IFERROR(__xludf.DUMMYFUNCTION("""COMPUTED_VALUE"""),"Received At Destination")</f>
        <v>Received At Destination</v>
      </c>
      <c r="K365" s="106" t="str">
        <f>IFERROR(__xludf.DUMMYFUNCTION("""COMPUTED_VALUE"""),"Customer Care")</f>
        <v>Customer Care</v>
      </c>
      <c r="L365" s="106" t="str">
        <f>IFERROR(__xludf.DUMMYFUNCTION("""COMPUTED_VALUE"""),"Disconnected")</f>
        <v>Disconnected</v>
      </c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>
      <c r="A366" s="82"/>
      <c r="B366" s="98" t="str">
        <f>IFERROR(__xludf.DUMMYFUNCTION("""COMPUTED_VALUE"""),"310")</f>
        <v>310</v>
      </c>
      <c r="C366" s="98" t="str">
        <f>IFERROR(__xludf.DUMMYFUNCTION("""COMPUTED_VALUE"""),"Umesha")</f>
        <v>Umesha</v>
      </c>
      <c r="D366" s="98" t="str">
        <f>IFERROR(__xludf.DUMMYFUNCTION("""COMPUTED_VALUE"""),"702269260")</f>
        <v>702269260</v>
      </c>
      <c r="E366" s="98" t="str">
        <f>IFERROR(__xludf.DUMMYFUNCTION("""COMPUTED_VALUE"""),"Y")</f>
        <v>Y</v>
      </c>
      <c r="F366" s="98" t="str">
        <f>IFERROR(__xludf.DUMMYFUNCTION("""COMPUTED_VALUE"""),"Bluetex Pvt Ltd")</f>
        <v>Bluetex Pvt Ltd</v>
      </c>
      <c r="G366" s="98" t="str">
        <f>IFERROR(__xludf.DUMMYFUNCTION("""COMPUTED_VALUE"""),"A4584065")</f>
        <v>A4584065</v>
      </c>
      <c r="H366" s="98" t="str">
        <f>IFERROR(__xludf.DUMMYFUNCTION("""COMPUTED_VALUE"""),"Answered")</f>
        <v>Answered</v>
      </c>
      <c r="I366" s="98" t="str">
        <f>IFERROR(__xludf.DUMMYFUNCTION("""COMPUTED_VALUE"""),"Kandy")</f>
        <v>Kandy</v>
      </c>
      <c r="J366" s="98" t="str">
        <f>IFERROR(__xludf.DUMMYFUNCTION("""COMPUTED_VALUE"""),"Returned To Branch Failed To Deliver")</f>
        <v>Returned To Branch Failed To Deliver</v>
      </c>
      <c r="K366" s="98" t="str">
        <f>IFERROR(__xludf.DUMMYFUNCTION("""COMPUTED_VALUE"""),"Customer Care")</f>
        <v>Customer Care</v>
      </c>
      <c r="L366" s="98" t="str">
        <f>IFERROR(__xludf.DUMMYFUNCTION("""COMPUTED_VALUE"""),"Disconnected")</f>
        <v>Disconnected</v>
      </c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>
      <c r="A367" s="82"/>
      <c r="B367" s="106" t="str">
        <f>IFERROR(__xludf.DUMMYFUNCTION("""COMPUTED_VALUE"""),"348")</f>
        <v>348</v>
      </c>
      <c r="C367" s="106" t="str">
        <f>IFERROR(__xludf.DUMMYFUNCTION("""COMPUTED_VALUE"""),"Umesha")</f>
        <v>Umesha</v>
      </c>
      <c r="D367" s="106" t="str">
        <f>IFERROR(__xludf.DUMMYFUNCTION("""COMPUTED_VALUE"""),"741005782")</f>
        <v>741005782</v>
      </c>
      <c r="E367" s="106" t="str">
        <f>IFERROR(__xludf.DUMMYFUNCTION("""COMPUTED_VALUE"""),"Y")</f>
        <v>Y</v>
      </c>
      <c r="F367" s="106" t="str">
        <f>IFERROR(__xludf.DUMMYFUNCTION("""COMPUTED_VALUE"""),"Quick Mart.Lk")</f>
        <v>Quick Mart.Lk</v>
      </c>
      <c r="G367" s="106" t="str">
        <f>IFERROR(__xludf.DUMMYFUNCTION("""COMPUTED_VALUE"""),"BE091724")</f>
        <v>BE091724</v>
      </c>
      <c r="H367" s="106" t="str">
        <f>IFERROR(__xludf.DUMMYFUNCTION("""COMPUTED_VALUE"""),"System Issue")</f>
        <v>System Issue</v>
      </c>
      <c r="I367" s="106" t="str">
        <f>IFERROR(__xludf.DUMMYFUNCTION("""COMPUTED_VALUE"""),"Mathugama")</f>
        <v>Mathugama</v>
      </c>
      <c r="J367" s="106" t="str">
        <f>IFERROR(__xludf.DUMMYFUNCTION("""COMPUTED_VALUE"""),"Returned To Branch Failed To Deliver")</f>
        <v>Returned To Branch Failed To Deliver</v>
      </c>
      <c r="K367" s="106" t="str">
        <f>IFERROR(__xludf.DUMMYFUNCTION("""COMPUTED_VALUE"""),"Sales")</f>
        <v>Sales</v>
      </c>
      <c r="L367" s="106" t="str">
        <f>IFERROR(__xludf.DUMMYFUNCTION("""COMPUTED_VALUE"""),"Call Transfer Sales Department")</f>
        <v>Call Transfer Sales Department</v>
      </c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>
      <c r="A368" s="82"/>
      <c r="B368" s="98" t="str">
        <f>IFERROR(__xludf.DUMMYFUNCTION("""COMPUTED_VALUE"""),"293")</f>
        <v>293</v>
      </c>
      <c r="C368" s="98" t="str">
        <f>IFERROR(__xludf.DUMMYFUNCTION("""COMPUTED_VALUE"""),"Umesha")</f>
        <v>Umesha</v>
      </c>
      <c r="D368" s="98" t="str">
        <f>IFERROR(__xludf.DUMMYFUNCTION("""COMPUTED_VALUE"""),"750850157")</f>
        <v>750850157</v>
      </c>
      <c r="E368" s="98" t="str">
        <f>IFERROR(__xludf.DUMMYFUNCTION("""COMPUTED_VALUE"""),"N")</f>
        <v>N</v>
      </c>
      <c r="F368" s="98" t="str">
        <f>IFERROR(__xludf.DUMMYFUNCTION("""COMPUTED_VALUE"""),"Quick Mart.Lk")</f>
        <v>Quick Mart.Lk</v>
      </c>
      <c r="G368" s="98" t="str">
        <f>IFERROR(__xludf.DUMMYFUNCTION("""COMPUTED_VALUE"""),"BE091724")</f>
        <v>BE091724</v>
      </c>
      <c r="H368" s="98" t="str">
        <f>IFERROR(__xludf.DUMMYFUNCTION("""COMPUTED_VALUE"""),"Didn'T Know The Tracking Number")</f>
        <v>Didn'T Know The Tracking Number</v>
      </c>
      <c r="I368" s="98" t="str">
        <f>IFERROR(__xludf.DUMMYFUNCTION("""COMPUTED_VALUE"""),"Mathugama")</f>
        <v>Mathugama</v>
      </c>
      <c r="J368" s="98" t="str">
        <f>IFERROR(__xludf.DUMMYFUNCTION("""COMPUTED_VALUE"""),"Returned To Branch Failed To Deliver")</f>
        <v>Returned To Branch Failed To Deliver</v>
      </c>
      <c r="K368" s="98" t="str">
        <f>IFERROR(__xludf.DUMMYFUNCTION("""COMPUTED_VALUE"""),"Customer Care")</f>
        <v>Customer Care</v>
      </c>
      <c r="L368" s="98" t="str">
        <f>IFERROR(__xludf.DUMMYFUNCTION("""COMPUTED_VALUE"""),"Check And Call Back")</f>
        <v>Check And Call Back</v>
      </c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>
      <c r="A369" s="82"/>
      <c r="B369" s="106" t="str">
        <f>IFERROR(__xludf.DUMMYFUNCTION("""COMPUTED_VALUE"""),"295")</f>
        <v>295</v>
      </c>
      <c r="C369" s="106" t="str">
        <f>IFERROR(__xludf.DUMMYFUNCTION("""COMPUTED_VALUE"""),"Umesha")</f>
        <v>Umesha</v>
      </c>
      <c r="D369" s="106" t="str">
        <f>IFERROR(__xludf.DUMMYFUNCTION("""COMPUTED_VALUE"""),"764268748")</f>
        <v>764268748</v>
      </c>
      <c r="E369" s="106" t="str">
        <f>IFERROR(__xludf.DUMMYFUNCTION("""COMPUTED_VALUE"""),"Y")</f>
        <v>Y</v>
      </c>
      <c r="F369" s="106" t="str">
        <f>IFERROR(__xludf.DUMMYFUNCTION("""COMPUTED_VALUE"""),"Wasana Nishpadana")</f>
        <v>Wasana Nishpadana</v>
      </c>
      <c r="G369" s="106" t="str">
        <f>IFERROR(__xludf.DUMMYFUNCTION("""COMPUTED_VALUE"""),"A3948772")</f>
        <v>A3948772</v>
      </c>
      <c r="H369" s="106" t="str">
        <f>IFERROR(__xludf.DUMMYFUNCTION("""COMPUTED_VALUE"""),"Arrange Delivery Today / Top Urgent")</f>
        <v>Arrange Delivery Today / Top Urgent</v>
      </c>
      <c r="I369" s="106" t="str">
        <f>IFERROR(__xludf.DUMMYFUNCTION("""COMPUTED_VALUE"""),"Rajagiriya")</f>
        <v>Rajagiriya</v>
      </c>
      <c r="J369" s="106" t="str">
        <f>IFERROR(__xludf.DUMMYFUNCTION("""COMPUTED_VALUE"""),"Out For Delivery")</f>
        <v>Out For Delivery</v>
      </c>
      <c r="K369" s="106" t="str">
        <f>IFERROR(__xludf.DUMMYFUNCTION("""COMPUTED_VALUE"""),"Branch Operations")</f>
        <v>Branch Operations</v>
      </c>
      <c r="L369" s="106" t="str">
        <f>IFERROR(__xludf.DUMMYFUNCTION("""COMPUTED_VALUE"""),"Informed Branch")</f>
        <v>Informed Branch</v>
      </c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>
      <c r="A370" s="82"/>
      <c r="B370" s="98" t="str">
        <f>IFERROR(__xludf.DUMMYFUNCTION("""COMPUTED_VALUE"""),"353")</f>
        <v>353</v>
      </c>
      <c r="C370" s="98" t="str">
        <f>IFERROR(__xludf.DUMMYFUNCTION("""COMPUTED_VALUE"""),"Umesha")</f>
        <v>Umesha</v>
      </c>
      <c r="D370" s="98" t="str">
        <f>IFERROR(__xludf.DUMMYFUNCTION("""COMPUTED_VALUE"""),"778694249")</f>
        <v>778694249</v>
      </c>
      <c r="E370" s="98" t="str">
        <f>IFERROR(__xludf.DUMMYFUNCTION("""COMPUTED_VALUE"""),"N")</f>
        <v>N</v>
      </c>
      <c r="F370" s="98" t="str">
        <f>IFERROR(__xludf.DUMMYFUNCTION("""COMPUTED_VALUE"""),"Neth Fashion Clothing")</f>
        <v>Neth Fashion Clothing</v>
      </c>
      <c r="G370" s="98" t="str">
        <f>IFERROR(__xludf.DUMMYFUNCTION("""COMPUTED_VALUE"""),"A4470093")</f>
        <v>A4470093</v>
      </c>
      <c r="H370" s="98" t="str">
        <f>IFERROR(__xludf.DUMMYFUNCTION("""COMPUTED_VALUE"""),"Ask Malik")</f>
        <v>Ask Malik</v>
      </c>
      <c r="I370" s="98" t="str">
        <f>IFERROR(__xludf.DUMMYFUNCTION("""COMPUTED_VALUE"""),"Colombo Metro")</f>
        <v>Colombo Metro</v>
      </c>
      <c r="J370" s="98" t="str">
        <f>IFERROR(__xludf.DUMMYFUNCTION("""COMPUTED_VALUE"""),"Returned To Branch Rescheduled")</f>
        <v>Returned To Branch Rescheduled</v>
      </c>
      <c r="K370" s="98" t="str">
        <f>IFERROR(__xludf.DUMMYFUNCTION("""COMPUTED_VALUE"""),"Customer Care")</f>
        <v>Customer Care</v>
      </c>
      <c r="L370" s="98" t="str">
        <f>IFERROR(__xludf.DUMMYFUNCTION("""COMPUTED_VALUE"""),"Informed Malik")</f>
        <v>Informed Malik</v>
      </c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>
      <c r="A371" s="82"/>
      <c r="B371" s="106" t="str">
        <f>IFERROR(__xludf.DUMMYFUNCTION("""COMPUTED_VALUE"""),"297")</f>
        <v>297</v>
      </c>
      <c r="C371" s="106" t="str">
        <f>IFERROR(__xludf.DUMMYFUNCTION("""COMPUTED_VALUE"""),"Umesha")</f>
        <v>Umesha</v>
      </c>
      <c r="D371" s="106" t="str">
        <f>IFERROR(__xludf.DUMMYFUNCTION("""COMPUTED_VALUE"""),"770096508")</f>
        <v>770096508</v>
      </c>
      <c r="E371" s="106" t="str">
        <f>IFERROR(__xludf.DUMMYFUNCTION("""COMPUTED_VALUE"""),"N")</f>
        <v>N</v>
      </c>
      <c r="F371" s="106" t="str">
        <f>IFERROR(__xludf.DUMMYFUNCTION("""COMPUTED_VALUE"""),"Neth Fashion Clothing")</f>
        <v>Neth Fashion Clothing</v>
      </c>
      <c r="G371" s="106" t="str">
        <f>IFERROR(__xludf.DUMMYFUNCTION("""COMPUTED_VALUE"""),"A4470093")</f>
        <v>A4470093</v>
      </c>
      <c r="H371" s="106" t="str">
        <f>IFERROR(__xludf.DUMMYFUNCTION("""COMPUTED_VALUE"""),"Ask Malik")</f>
        <v>Ask Malik</v>
      </c>
      <c r="I371" s="106" t="str">
        <f>IFERROR(__xludf.DUMMYFUNCTION("""COMPUTED_VALUE"""),"Colombo Metro")</f>
        <v>Colombo Metro</v>
      </c>
      <c r="J371" s="106" t="str">
        <f>IFERROR(__xludf.DUMMYFUNCTION("""COMPUTED_VALUE"""),"Returned To Branch Rescheduled")</f>
        <v>Returned To Branch Rescheduled</v>
      </c>
      <c r="K371" s="106" t="str">
        <f>IFERROR(__xludf.DUMMYFUNCTION("""COMPUTED_VALUE"""),"Branch Operations")</f>
        <v>Branch Operations</v>
      </c>
      <c r="L371" s="106" t="str">
        <f>IFERROR(__xludf.DUMMYFUNCTION("""COMPUTED_VALUE"""),"Informed Branch")</f>
        <v>Informed Branch</v>
      </c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>
      <c r="A372" s="82"/>
      <c r="B372" s="98" t="str">
        <f>IFERROR(__xludf.DUMMYFUNCTION("""COMPUTED_VALUE"""),"298")</f>
        <v>298</v>
      </c>
      <c r="C372" s="98" t="str">
        <f>IFERROR(__xludf.DUMMYFUNCTION("""COMPUTED_VALUE"""),"Umesha")</f>
        <v>Umesha</v>
      </c>
      <c r="D372" s="98" t="str">
        <f>IFERROR(__xludf.DUMMYFUNCTION("""COMPUTED_VALUE"""),"772853693")</f>
        <v>772853693</v>
      </c>
      <c r="E372" s="98" t="str">
        <f>IFERROR(__xludf.DUMMYFUNCTION("""COMPUTED_VALUE"""),"N")</f>
        <v>N</v>
      </c>
      <c r="F372" s="98" t="str">
        <f>IFERROR(__xludf.DUMMYFUNCTION("""COMPUTED_VALUE"""),"Neth Fashion Clothing")</f>
        <v>Neth Fashion Clothing</v>
      </c>
      <c r="G372" s="98" t="str">
        <f>IFERROR(__xludf.DUMMYFUNCTION("""COMPUTED_VALUE"""),"A4470093")</f>
        <v>A4470093</v>
      </c>
      <c r="H372" s="98" t="str">
        <f>IFERROR(__xludf.DUMMYFUNCTION("""COMPUTED_VALUE"""),"Didn'T Know The Tracking Number")</f>
        <v>Didn'T Know The Tracking Number</v>
      </c>
      <c r="I372" s="98" t="str">
        <f>IFERROR(__xludf.DUMMYFUNCTION("""COMPUTED_VALUE"""),"Thalawathugoda")</f>
        <v>Thalawathugoda</v>
      </c>
      <c r="J372" s="98" t="str">
        <f>IFERROR(__xludf.DUMMYFUNCTION("""COMPUTED_VALUE"""),"Received At Destination")</f>
        <v>Received At Destination</v>
      </c>
      <c r="K372" s="98" t="str">
        <f>IFERROR(__xludf.DUMMYFUNCTION("""COMPUTED_VALUE"""),"Customer Care")</f>
        <v>Customer Care</v>
      </c>
      <c r="L372" s="98" t="str">
        <f>IFERROR(__xludf.DUMMYFUNCTION("""COMPUTED_VALUE"""),"Check And Call Back")</f>
        <v>Check And Call Back</v>
      </c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>
      <c r="A373" s="82"/>
      <c r="B373" s="106" t="str">
        <f>IFERROR(__xludf.DUMMYFUNCTION("""COMPUTED_VALUE"""),"371")</f>
        <v>371</v>
      </c>
      <c r="C373" s="106" t="str">
        <f>IFERROR(__xludf.DUMMYFUNCTION("""COMPUTED_VALUE"""),"Lakshani")</f>
        <v>Lakshani</v>
      </c>
      <c r="D373" s="106" t="str">
        <f>IFERROR(__xludf.DUMMYFUNCTION("""COMPUTED_VALUE"""),"793682756")</f>
        <v>793682756</v>
      </c>
      <c r="E373" s="106" t="str">
        <f>IFERROR(__xludf.DUMMYFUNCTION("""COMPUTED_VALUE"""),"Y")</f>
        <v>Y</v>
      </c>
      <c r="F373" s="106" t="str">
        <f>IFERROR(__xludf.DUMMYFUNCTION("""COMPUTED_VALUE"""),"77 956 2259")</f>
        <v>77 956 2259</v>
      </c>
      <c r="G373" s="106" t="str">
        <f>IFERROR(__xludf.DUMMYFUNCTION("""COMPUTED_VALUE"""),"BE100437")</f>
        <v>BE100437</v>
      </c>
      <c r="H373" s="106" t="str">
        <f>IFERROR(__xludf.DUMMYFUNCTION("""COMPUTED_VALUE"""),"Branch Number List")</f>
        <v>Branch Number List</v>
      </c>
      <c r="I373" s="106" t="str">
        <f>IFERROR(__xludf.DUMMYFUNCTION("""COMPUTED_VALUE"""),"Ja-Ela")</f>
        <v>Ja-Ela</v>
      </c>
      <c r="J373" s="106" t="str">
        <f>IFERROR(__xludf.DUMMYFUNCTION("""COMPUTED_VALUE"""),"Delivered")</f>
        <v>Delivered</v>
      </c>
      <c r="K373" s="106" t="str">
        <f>IFERROR(__xludf.DUMMYFUNCTION("""COMPUTED_VALUE"""),"Customer Care")</f>
        <v>Customer Care</v>
      </c>
      <c r="L373" s="106" t="str">
        <f>IFERROR(__xludf.DUMMYFUNCTION("""COMPUTED_VALUE"""),"Informed")</f>
        <v>Informed</v>
      </c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>
      <c r="A374" s="82"/>
      <c r="B374" s="98" t="str">
        <f>IFERROR(__xludf.DUMMYFUNCTION("""COMPUTED_VALUE"""),"300")</f>
        <v>300</v>
      </c>
      <c r="C374" s="98" t="str">
        <f>IFERROR(__xludf.DUMMYFUNCTION("""COMPUTED_VALUE"""),"Umesha")</f>
        <v>Umesha</v>
      </c>
      <c r="D374" s="98" t="str">
        <f>IFERROR(__xludf.DUMMYFUNCTION("""COMPUTED_VALUE"""),"740541293")</f>
        <v>740541293</v>
      </c>
      <c r="E374" s="98" t="str">
        <f>IFERROR(__xludf.DUMMYFUNCTION("""COMPUTED_VALUE"""),"N")</f>
        <v>N</v>
      </c>
      <c r="F374" s="98" t="str">
        <f>IFERROR(__xludf.DUMMYFUNCTION("""COMPUTED_VALUE"""),"77 956 2259")</f>
        <v>77 956 2259</v>
      </c>
      <c r="G374" s="98" t="str">
        <f>IFERROR(__xludf.DUMMYFUNCTION("""COMPUTED_VALUE"""),"BE100437")</f>
        <v>BE100437</v>
      </c>
      <c r="H374" s="98" t="str">
        <f>IFERROR(__xludf.DUMMYFUNCTION("""COMPUTED_VALUE"""),"Answered")</f>
        <v>Answered</v>
      </c>
      <c r="I374" s="98" t="str">
        <f>IFERROR(__xludf.DUMMYFUNCTION("""COMPUTED_VALUE"""),"Kuliyapitiya")</f>
        <v>Kuliyapitiya</v>
      </c>
      <c r="J374" s="98" t="str">
        <f>IFERROR(__xludf.DUMMYFUNCTION("""COMPUTED_VALUE"""),"Received At Destination")</f>
        <v>Received At Destination</v>
      </c>
      <c r="K374" s="98" t="str">
        <f>IFERROR(__xludf.DUMMYFUNCTION("""COMPUTED_VALUE"""),"Customer Care")</f>
        <v>Customer Care</v>
      </c>
      <c r="L374" s="98" t="str">
        <f>IFERROR(__xludf.DUMMYFUNCTION("""COMPUTED_VALUE"""),"Disconnected")</f>
        <v>Disconnected</v>
      </c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>
      <c r="A375" s="82"/>
      <c r="B375" s="106" t="str">
        <f>IFERROR(__xludf.DUMMYFUNCTION("""COMPUTED_VALUE"""),"374")</f>
        <v>374</v>
      </c>
      <c r="C375" s="106" t="str">
        <f>IFERROR(__xludf.DUMMYFUNCTION("""COMPUTED_VALUE"""),"Umesha")</f>
        <v>Umesha</v>
      </c>
      <c r="D375" s="106" t="str">
        <f>IFERROR(__xludf.DUMMYFUNCTION("""COMPUTED_VALUE"""),"768484847")</f>
        <v>768484847</v>
      </c>
      <c r="E375" s="106" t="str">
        <f>IFERROR(__xludf.DUMMYFUNCTION("""COMPUTED_VALUE"""),"N")</f>
        <v>N</v>
      </c>
      <c r="F375" s="106" t="str">
        <f>IFERROR(__xludf.DUMMYFUNCTION("""COMPUTED_VALUE"""),"Vethu Fashion")</f>
        <v>Vethu Fashion</v>
      </c>
      <c r="G375" s="106" t="str">
        <f>IFERROR(__xludf.DUMMYFUNCTION("""COMPUTED_VALUE"""),"BA771537")</f>
        <v>BA771537</v>
      </c>
      <c r="H375" s="106" t="str">
        <f>IFERROR(__xludf.DUMMYFUNCTION("""COMPUTED_VALUE"""),"Re Delivery")</f>
        <v>Re Delivery</v>
      </c>
      <c r="I375" s="106" t="str">
        <f>IFERROR(__xludf.DUMMYFUNCTION("""COMPUTED_VALUE"""),"Horana")</f>
        <v>Horana</v>
      </c>
      <c r="J375" s="106" t="str">
        <f>IFERROR(__xludf.DUMMYFUNCTION("""COMPUTED_VALUE"""),"Returned To Branch Rescheduled")</f>
        <v>Returned To Branch Rescheduled</v>
      </c>
      <c r="K375" s="106" t="str">
        <f>IFERROR(__xludf.DUMMYFUNCTION("""COMPUTED_VALUE"""),"Customer Care")</f>
        <v>Customer Care</v>
      </c>
      <c r="L375" s="106" t="str">
        <f>IFERROR(__xludf.DUMMYFUNCTION("""COMPUTED_VALUE"""),"Done")</f>
        <v>Done</v>
      </c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>
      <c r="A376" s="82"/>
      <c r="B376" s="98" t="str">
        <f>IFERROR(__xludf.DUMMYFUNCTION("""COMPUTED_VALUE"""),"375")</f>
        <v>375</v>
      </c>
      <c r="C376" s="98" t="str">
        <f>IFERROR(__xludf.DUMMYFUNCTION("""COMPUTED_VALUE"""),"Umesha")</f>
        <v>Umesha</v>
      </c>
      <c r="D376" s="98" t="str">
        <f>IFERROR(__xludf.DUMMYFUNCTION("""COMPUTED_VALUE"""),"704881044")</f>
        <v>704881044</v>
      </c>
      <c r="E376" s="98" t="str">
        <f>IFERROR(__xludf.DUMMYFUNCTION("""COMPUTED_VALUE"""),"N")</f>
        <v>N</v>
      </c>
      <c r="F376" s="98" t="str">
        <f>IFERROR(__xludf.DUMMYFUNCTION("""COMPUTED_VALUE"""),"Vethu Fashion")</f>
        <v>Vethu Fashion</v>
      </c>
      <c r="G376" s="98" t="str">
        <f>IFERROR(__xludf.DUMMYFUNCTION("""COMPUTED_VALUE"""),"BE056181")</f>
        <v>BE056181</v>
      </c>
      <c r="H376" s="98" t="str">
        <f>IFERROR(__xludf.DUMMYFUNCTION("""COMPUTED_VALUE"""),"Re Delivery")</f>
        <v>Re Delivery</v>
      </c>
      <c r="I376" s="98" t="str">
        <f>IFERROR(__xludf.DUMMYFUNCTION("""COMPUTED_VALUE"""),"Horana")</f>
        <v>Horana</v>
      </c>
      <c r="J376" s="98" t="str">
        <f>IFERROR(__xludf.DUMMYFUNCTION("""COMPUTED_VALUE"""),"Returned To Branch Rescheduled")</f>
        <v>Returned To Branch Rescheduled</v>
      </c>
      <c r="K376" s="98" t="str">
        <f>IFERROR(__xludf.DUMMYFUNCTION("""COMPUTED_VALUE"""),"Customer Care")</f>
        <v>Customer Care</v>
      </c>
      <c r="L376" s="98" t="str">
        <f>IFERROR(__xludf.DUMMYFUNCTION("""COMPUTED_VALUE"""),"Done")</f>
        <v>Done</v>
      </c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>
      <c r="A377" s="82"/>
      <c r="B377" s="106" t="str">
        <f>IFERROR(__xludf.DUMMYFUNCTION("""COMPUTED_VALUE"""),"303")</f>
        <v>303</v>
      </c>
      <c r="C377" s="106" t="str">
        <f>IFERROR(__xludf.DUMMYFUNCTION("""COMPUTED_VALUE"""),"Umesha")</f>
        <v>Umesha</v>
      </c>
      <c r="D377" s="106" t="str">
        <f>IFERROR(__xludf.DUMMYFUNCTION("""COMPUTED_VALUE"""),"778749643")</f>
        <v>778749643</v>
      </c>
      <c r="E377" s="106" t="str">
        <f>IFERROR(__xludf.DUMMYFUNCTION("""COMPUTED_VALUE"""),"N")</f>
        <v>N</v>
      </c>
      <c r="F377" s="106" t="str">
        <f>IFERROR(__xludf.DUMMYFUNCTION("""COMPUTED_VALUE"""),"Bella Flower")</f>
        <v>Bella Flower</v>
      </c>
      <c r="G377" s="106" t="str">
        <f>IFERROR(__xludf.DUMMYFUNCTION("""COMPUTED_VALUE"""),"A4601910")</f>
        <v>A4601910</v>
      </c>
      <c r="H377" s="106" t="str">
        <f>IFERROR(__xludf.DUMMYFUNCTION("""COMPUTED_VALUE"""),"Customer Collect At The Branch")</f>
        <v>Customer Collect At The Branch</v>
      </c>
      <c r="I377" s="106" t="str">
        <f>IFERROR(__xludf.DUMMYFUNCTION("""COMPUTED_VALUE"""),"Nittambuwa")</f>
        <v>Nittambuwa</v>
      </c>
      <c r="J377" s="106" t="str">
        <f>IFERROR(__xludf.DUMMYFUNCTION("""COMPUTED_VALUE"""),"Received At Destination")</f>
        <v>Received At Destination</v>
      </c>
      <c r="K377" s="106" t="str">
        <f>IFERROR(__xludf.DUMMYFUNCTION("""COMPUTED_VALUE"""),"Branch Operations")</f>
        <v>Branch Operations</v>
      </c>
      <c r="L377" s="106" t="str">
        <f>IFERROR(__xludf.DUMMYFUNCTION("""COMPUTED_VALUE"""),"Informed Branch")</f>
        <v>Informed Branch</v>
      </c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>
      <c r="A378" s="82"/>
      <c r="B378" s="98" t="str">
        <f>IFERROR(__xludf.DUMMYFUNCTION("""COMPUTED_VALUE"""),"323")</f>
        <v>323</v>
      </c>
      <c r="C378" s="98" t="str">
        <f>IFERROR(__xludf.DUMMYFUNCTION("""COMPUTED_VALUE"""),"Umesha")</f>
        <v>Umesha</v>
      </c>
      <c r="D378" s="98" t="str">
        <f>IFERROR(__xludf.DUMMYFUNCTION("""COMPUTED_VALUE"""),"729394331")</f>
        <v>729394331</v>
      </c>
      <c r="E378" s="98" t="str">
        <f>IFERROR(__xludf.DUMMYFUNCTION("""COMPUTED_VALUE"""),"N")</f>
        <v>N</v>
      </c>
      <c r="F378" s="98" t="str">
        <f>IFERROR(__xludf.DUMMYFUNCTION("""COMPUTED_VALUE"""),"Cutie Gifts")</f>
        <v>Cutie Gifts</v>
      </c>
      <c r="G378" s="98" t="str">
        <f>IFERROR(__xludf.DUMMYFUNCTION("""COMPUTED_VALUE"""),"90954741")</f>
        <v>90954741</v>
      </c>
      <c r="H378" s="98" t="str">
        <f>IFERROR(__xludf.DUMMYFUNCTION("""COMPUTED_VALUE"""),"New Registration")</f>
        <v>New Registration</v>
      </c>
      <c r="I378" s="98" t="str">
        <f>IFERROR(__xludf.DUMMYFUNCTION("""COMPUTED_VALUE"""),"Kuliyapitiya")</f>
        <v>Kuliyapitiya</v>
      </c>
      <c r="J378" s="98" t="str">
        <f>IFERROR(__xludf.DUMMYFUNCTION("""COMPUTED_VALUE"""),"Received At Destination")</f>
        <v>Received At Destination</v>
      </c>
      <c r="K378" s="98" t="str">
        <f>IFERROR(__xludf.DUMMYFUNCTION("""COMPUTED_VALUE"""),"Sales")</f>
        <v>Sales</v>
      </c>
      <c r="L378" s="98" t="str">
        <f>IFERROR(__xludf.DUMMYFUNCTION("""COMPUTED_VALUE"""),"Call Transfer Sales Department")</f>
        <v>Call Transfer Sales Department</v>
      </c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>
      <c r="A379" s="82"/>
      <c r="B379" s="106" t="str">
        <f>IFERROR(__xludf.DUMMYFUNCTION("""COMPUTED_VALUE"""),"305")</f>
        <v>305</v>
      </c>
      <c r="C379" s="106" t="str">
        <f>IFERROR(__xludf.DUMMYFUNCTION("""COMPUTED_VALUE"""),"Umesha")</f>
        <v>Umesha</v>
      </c>
      <c r="D379" s="106" t="str">
        <f>IFERROR(__xludf.DUMMYFUNCTION("""COMPUTED_VALUE"""),"776111666")</f>
        <v>776111666</v>
      </c>
      <c r="E379" s="106" t="str">
        <f>IFERROR(__xludf.DUMMYFUNCTION("""COMPUTED_VALUE"""),"N")</f>
        <v>N</v>
      </c>
      <c r="F379" s="106" t="str">
        <f>IFERROR(__xludf.DUMMYFUNCTION("""COMPUTED_VALUE"""),"Ceylon Ayura")</f>
        <v>Ceylon Ayura</v>
      </c>
      <c r="G379" s="106" t="str">
        <f>IFERROR(__xludf.DUMMYFUNCTION("""COMPUTED_VALUE"""),"BE075435")</f>
        <v>BE075435</v>
      </c>
      <c r="H379" s="106" t="str">
        <f>IFERROR(__xludf.DUMMYFUNCTION("""COMPUTED_VALUE"""),"Arrange Delivery Tomorrow / Urgent")</f>
        <v>Arrange Delivery Tomorrow / Urgent</v>
      </c>
      <c r="I379" s="106" t="str">
        <f>IFERROR(__xludf.DUMMYFUNCTION("""COMPUTED_VALUE"""),"Nittambuwa")</f>
        <v>Nittambuwa</v>
      </c>
      <c r="J379" s="106" t="str">
        <f>IFERROR(__xludf.DUMMYFUNCTION("""COMPUTED_VALUE"""),"Returned To Branch Rescheduled")</f>
        <v>Returned To Branch Rescheduled</v>
      </c>
      <c r="K379" s="106" t="str">
        <f>IFERROR(__xludf.DUMMYFUNCTION("""COMPUTED_VALUE"""),"Branch Operations")</f>
        <v>Branch Operations</v>
      </c>
      <c r="L379" s="106" t="str">
        <f>IFERROR(__xludf.DUMMYFUNCTION("""COMPUTED_VALUE"""),"Informed Rm")</f>
        <v>Informed Rm</v>
      </c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>
      <c r="A380" s="82"/>
      <c r="B380" s="98" t="str">
        <f>IFERROR(__xludf.DUMMYFUNCTION("""COMPUTED_VALUE"""),"379")</f>
        <v>379</v>
      </c>
      <c r="C380" s="98" t="str">
        <f>IFERROR(__xludf.DUMMYFUNCTION("""COMPUTED_VALUE"""),"Umesha")</f>
        <v>Umesha</v>
      </c>
      <c r="D380" s="98" t="str">
        <f>IFERROR(__xludf.DUMMYFUNCTION("""COMPUTED_VALUE"""),"752141448")</f>
        <v>752141448</v>
      </c>
      <c r="E380" s="98" t="str">
        <f>IFERROR(__xludf.DUMMYFUNCTION("""COMPUTED_VALUE"""),"Y")</f>
        <v>Y</v>
      </c>
      <c r="F380" s="98" t="str">
        <f>IFERROR(__xludf.DUMMYFUNCTION("""COMPUTED_VALUE"""),"Rosi Luggage &amp; Bags")</f>
        <v>Rosi Luggage &amp; Bags</v>
      </c>
      <c r="G380" s="98" t="str">
        <f>IFERROR(__xludf.DUMMYFUNCTION("""COMPUTED_VALUE"""),"BA733879")</f>
        <v>BA733879</v>
      </c>
      <c r="H380" s="98" t="str">
        <f>IFERROR(__xludf.DUMMYFUNCTION("""COMPUTED_VALUE"""),"Re Delivery")</f>
        <v>Re Delivery</v>
      </c>
      <c r="I380" s="98" t="str">
        <f>IFERROR(__xludf.DUMMYFUNCTION("""COMPUTED_VALUE"""),"Horana")</f>
        <v>Horana</v>
      </c>
      <c r="J380" s="98" t="str">
        <f>IFERROR(__xludf.DUMMYFUNCTION("""COMPUTED_VALUE"""),"Returned To Branch Rescheduled")</f>
        <v>Returned To Branch Rescheduled</v>
      </c>
      <c r="K380" s="98" t="str">
        <f>IFERROR(__xludf.DUMMYFUNCTION("""COMPUTED_VALUE"""),"Customer Care")</f>
        <v>Customer Care</v>
      </c>
      <c r="L380" s="98" t="str">
        <f>IFERROR(__xludf.DUMMYFUNCTION("""COMPUTED_VALUE"""),"Done")</f>
        <v>Done</v>
      </c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>
      <c r="A381" s="82"/>
      <c r="B381" s="106" t="str">
        <f>IFERROR(__xludf.DUMMYFUNCTION("""COMPUTED_VALUE"""),"380")</f>
        <v>380</v>
      </c>
      <c r="C381" s="106" t="str">
        <f>IFERROR(__xludf.DUMMYFUNCTION("""COMPUTED_VALUE"""),"Umesha")</f>
        <v>Umesha</v>
      </c>
      <c r="D381" s="106" t="str">
        <f>IFERROR(__xludf.DUMMYFUNCTION("""COMPUTED_VALUE"""),"740381494")</f>
        <v>740381494</v>
      </c>
      <c r="E381" s="106" t="str">
        <f>IFERROR(__xludf.DUMMYFUNCTION("""COMPUTED_VALUE"""),"Y")</f>
        <v>Y</v>
      </c>
      <c r="F381" s="106" t="str">
        <f>IFERROR(__xludf.DUMMYFUNCTION("""COMPUTED_VALUE"""),"Rosi Luggage &amp; Bags")</f>
        <v>Rosi Luggage &amp; Bags</v>
      </c>
      <c r="G381" s="106" t="str">
        <f>IFERROR(__xludf.DUMMYFUNCTION("""COMPUTED_VALUE"""),"BE080625")</f>
        <v>BE080625</v>
      </c>
      <c r="H381" s="106" t="str">
        <f>IFERROR(__xludf.DUMMYFUNCTION("""COMPUTED_VALUE"""),"Re Delivery")</f>
        <v>Re Delivery</v>
      </c>
      <c r="I381" s="106" t="str">
        <f>IFERROR(__xludf.DUMMYFUNCTION("""COMPUTED_VALUE"""),"Horana")</f>
        <v>Horana</v>
      </c>
      <c r="J381" s="106" t="str">
        <f>IFERROR(__xludf.DUMMYFUNCTION("""COMPUTED_VALUE"""),"Re-Delivery")</f>
        <v>Re-Delivery</v>
      </c>
      <c r="K381" s="106" t="str">
        <f>IFERROR(__xludf.DUMMYFUNCTION("""COMPUTED_VALUE"""),"Customer Care")</f>
        <v>Customer Care</v>
      </c>
      <c r="L381" s="106" t="str">
        <f>IFERROR(__xludf.DUMMYFUNCTION("""COMPUTED_VALUE"""),"Done")</f>
        <v>Done</v>
      </c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>
      <c r="A382" s="82"/>
      <c r="B382" s="98" t="str">
        <f>IFERROR(__xludf.DUMMYFUNCTION("""COMPUTED_VALUE"""),"327")</f>
        <v>327</v>
      </c>
      <c r="C382" s="98" t="str">
        <f>IFERROR(__xludf.DUMMYFUNCTION("""COMPUTED_VALUE"""),"Umesha")</f>
        <v>Umesha</v>
      </c>
      <c r="D382" s="98" t="str">
        <f>IFERROR(__xludf.DUMMYFUNCTION("""COMPUTED_VALUE"""),"764260766")</f>
        <v>764260766</v>
      </c>
      <c r="E382" s="98" t="str">
        <f>IFERROR(__xludf.DUMMYFUNCTION("""COMPUTED_VALUE"""),"Y")</f>
        <v>Y</v>
      </c>
      <c r="F382" s="98" t="str">
        <f>IFERROR(__xludf.DUMMYFUNCTION("""COMPUTED_VALUE"""),"Senik Cushion Works")</f>
        <v>Senik Cushion Works</v>
      </c>
      <c r="G382" s="98" t="str">
        <f>IFERROR(__xludf.DUMMYFUNCTION("""COMPUTED_VALUE"""),"A3929133")</f>
        <v>A3929133</v>
      </c>
      <c r="H382" s="98" t="str">
        <f>IFERROR(__xludf.DUMMYFUNCTION("""COMPUTED_VALUE"""),"The Client Is Asking Whether It Is Possible To Deliver A Package That Is 4 Feet Long.")</f>
        <v>The Client Is Asking Whether It Is Possible To Deliver A Package That Is 4 Feet Long.</v>
      </c>
      <c r="I382" s="98" t="str">
        <f>IFERROR(__xludf.DUMMYFUNCTION("""COMPUTED_VALUE"""),"Nittambuwa")</f>
        <v>Nittambuwa</v>
      </c>
      <c r="J382" s="98" t="str">
        <f>IFERROR(__xludf.DUMMYFUNCTION("""COMPUTED_VALUE"""),"Received At Destination")</f>
        <v>Received At Destination</v>
      </c>
      <c r="K382" s="98" t="str">
        <f>IFERROR(__xludf.DUMMYFUNCTION("""COMPUTED_VALUE"""),"Customer Care")</f>
        <v>Customer Care</v>
      </c>
      <c r="L382" s="98" t="str">
        <f>IFERROR(__xludf.DUMMYFUNCTION("""COMPUTED_VALUE"""),"Given Details")</f>
        <v>Given Details</v>
      </c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>
      <c r="A383" s="82"/>
      <c r="B383" s="106" t="str">
        <f>IFERROR(__xludf.DUMMYFUNCTION("""COMPUTED_VALUE"""),"328")</f>
        <v>328</v>
      </c>
      <c r="C383" s="106" t="str">
        <f>IFERROR(__xludf.DUMMYFUNCTION("""COMPUTED_VALUE"""),"Umesha")</f>
        <v>Umesha</v>
      </c>
      <c r="D383" s="106" t="str">
        <f>IFERROR(__xludf.DUMMYFUNCTION("""COMPUTED_VALUE"""),"769357268")</f>
        <v>769357268</v>
      </c>
      <c r="E383" s="106" t="str">
        <f>IFERROR(__xludf.DUMMYFUNCTION("""COMPUTED_VALUE"""),"N")</f>
        <v>N</v>
      </c>
      <c r="F383" s="106" t="str">
        <f>IFERROR(__xludf.DUMMYFUNCTION("""COMPUTED_VALUE"""),"Coco Leaf")</f>
        <v>Coco Leaf</v>
      </c>
      <c r="G383" s="106" t="str">
        <f>IFERROR(__xludf.DUMMYFUNCTION("""COMPUTED_VALUE"""),"A4338583")</f>
        <v>A4338583</v>
      </c>
      <c r="H383" s="106" t="str">
        <f>IFERROR(__xludf.DUMMYFUNCTION("""COMPUTED_VALUE"""),"Still Processing")</f>
        <v>Still Processing</v>
      </c>
      <c r="I383" s="106" t="str">
        <f>IFERROR(__xludf.DUMMYFUNCTION("""COMPUTED_VALUE"""),"Nittambuwa")</f>
        <v>Nittambuwa</v>
      </c>
      <c r="J383" s="106" t="str">
        <f>IFERROR(__xludf.DUMMYFUNCTION("""COMPUTED_VALUE"""),"Processing")</f>
        <v>Processing</v>
      </c>
      <c r="K383" s="106" t="str">
        <f>IFERROR(__xludf.DUMMYFUNCTION("""COMPUTED_VALUE"""),"Customer Care")</f>
        <v>Customer Care</v>
      </c>
      <c r="L383" s="106" t="str">
        <f>IFERROR(__xludf.DUMMYFUNCTION("""COMPUTED_VALUE"""),"Informed Customer")</f>
        <v>Informed Customer</v>
      </c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>
      <c r="A384" s="82"/>
      <c r="B384" s="98" t="str">
        <f>IFERROR(__xludf.DUMMYFUNCTION("""COMPUTED_VALUE"""),"383")</f>
        <v>383</v>
      </c>
      <c r="C384" s="98" t="str">
        <f>IFERROR(__xludf.DUMMYFUNCTION("""COMPUTED_VALUE"""),"Malik")</f>
        <v>Malik</v>
      </c>
      <c r="D384" s="98" t="str">
        <f>IFERROR(__xludf.DUMMYFUNCTION("""COMPUTED_VALUE"""),"720108485")</f>
        <v>720108485</v>
      </c>
      <c r="E384" s="98" t="str">
        <f>IFERROR(__xludf.DUMMYFUNCTION("""COMPUTED_VALUE"""),"N")</f>
        <v>N</v>
      </c>
      <c r="F384" s="98" t="str">
        <f>IFERROR(__xludf.DUMMYFUNCTION("""COMPUTED_VALUE"""),"Angel Attic")</f>
        <v>Angel Attic</v>
      </c>
      <c r="G384" s="98" t="str">
        <f>IFERROR(__xludf.DUMMYFUNCTION("""COMPUTED_VALUE"""),"A3536683")</f>
        <v>A3536683</v>
      </c>
      <c r="H384" s="98" t="str">
        <f>IFERROR(__xludf.DUMMYFUNCTION("""COMPUTED_VALUE"""),"Call Wrapped")</f>
        <v>Call Wrapped</v>
      </c>
      <c r="I384" s="98" t="str">
        <f>IFERROR(__xludf.DUMMYFUNCTION("""COMPUTED_VALUE"""),"Polonnaruwa")</f>
        <v>Polonnaruwa</v>
      </c>
      <c r="J384" s="98" t="str">
        <f>IFERROR(__xludf.DUMMYFUNCTION("""COMPUTED_VALUE"""),"Returned To Branch Rescheduled")</f>
        <v>Returned To Branch Rescheduled</v>
      </c>
      <c r="K384" s="98" t="str">
        <f>IFERROR(__xludf.DUMMYFUNCTION("""COMPUTED_VALUE"""),"Customer Care")</f>
        <v>Customer Care</v>
      </c>
      <c r="L384" s="98" t="str">
        <f>IFERROR(__xludf.DUMMYFUNCTION("""COMPUTED_VALUE"""),"Call Wrapped")</f>
        <v>Call Wrapped</v>
      </c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>
      <c r="A385" s="82"/>
      <c r="B385" s="106" t="str">
        <f>IFERROR(__xludf.DUMMYFUNCTION("""COMPUTED_VALUE"""),"311")</f>
        <v>311</v>
      </c>
      <c r="C385" s="106" t="str">
        <f>IFERROR(__xludf.DUMMYFUNCTION("""COMPUTED_VALUE"""),"Umesha")</f>
        <v>Umesha</v>
      </c>
      <c r="D385" s="106" t="str">
        <f>IFERROR(__xludf.DUMMYFUNCTION("""COMPUTED_VALUE"""),"779702469")</f>
        <v>779702469</v>
      </c>
      <c r="E385" s="106" t="str">
        <f>IFERROR(__xludf.DUMMYFUNCTION("""COMPUTED_VALUE"""),"N")</f>
        <v>N</v>
      </c>
      <c r="F385" s="106" t="str">
        <f>IFERROR(__xludf.DUMMYFUNCTION("""COMPUTED_VALUE"""),"Ruhunu Weda Gedara")</f>
        <v>Ruhunu Weda Gedara</v>
      </c>
      <c r="G385" s="106" t="str">
        <f>IFERROR(__xludf.DUMMYFUNCTION("""COMPUTED_VALUE"""),"BA764795")</f>
        <v>BA764795</v>
      </c>
      <c r="H385" s="106" t="str">
        <f>IFERROR(__xludf.DUMMYFUNCTION("""COMPUTED_VALUE"""),"Arrange Delivery Today / Top Urgent")</f>
        <v>Arrange Delivery Today / Top Urgent</v>
      </c>
      <c r="I385" s="106" t="str">
        <f>IFERROR(__xludf.DUMMYFUNCTION("""COMPUTED_VALUE"""),"Nittambuwa")</f>
        <v>Nittambuwa</v>
      </c>
      <c r="J385" s="106" t="str">
        <f>IFERROR(__xludf.DUMMYFUNCTION("""COMPUTED_VALUE"""),"Out For Delivery")</f>
        <v>Out For Delivery</v>
      </c>
      <c r="K385" s="106" t="str">
        <f>IFERROR(__xludf.DUMMYFUNCTION("""COMPUTED_VALUE"""),"Branch Operations")</f>
        <v>Branch Operations</v>
      </c>
      <c r="L385" s="106" t="str">
        <f>IFERROR(__xludf.DUMMYFUNCTION("""COMPUTED_VALUE"""),"Informed Branch")</f>
        <v>Informed Branch</v>
      </c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>
      <c r="A386" s="82"/>
      <c r="B386" s="98" t="str">
        <f>IFERROR(__xludf.DUMMYFUNCTION("""COMPUTED_VALUE"""),"312")</f>
        <v>312</v>
      </c>
      <c r="C386" s="98" t="str">
        <f>IFERROR(__xludf.DUMMYFUNCTION("""COMPUTED_VALUE"""),"Umesha")</f>
        <v>Umesha</v>
      </c>
      <c r="D386" s="98" t="str">
        <f>IFERROR(__xludf.DUMMYFUNCTION("""COMPUTED_VALUE"""),"764219459")</f>
        <v>764219459</v>
      </c>
      <c r="E386" s="98" t="str">
        <f>IFERROR(__xludf.DUMMYFUNCTION("""COMPUTED_VALUE"""),"Y")</f>
        <v>Y</v>
      </c>
      <c r="F386" s="98" t="str">
        <f>IFERROR(__xludf.DUMMYFUNCTION("""COMPUTED_VALUE"""),"Dv Clothing")</f>
        <v>Dv Clothing</v>
      </c>
      <c r="G386" s="98" t="str">
        <f>IFERROR(__xludf.DUMMYFUNCTION("""COMPUTED_VALUE"""),"BA777024")</f>
        <v>BA777024</v>
      </c>
      <c r="H386" s="98" t="str">
        <f>IFERROR(__xludf.DUMMYFUNCTION("""COMPUTED_VALUE"""),"Domestic Rate")</f>
        <v>Domestic Rate</v>
      </c>
      <c r="I386" s="98" t="str">
        <f>IFERROR(__xludf.DUMMYFUNCTION("""COMPUTED_VALUE"""),"Embilipitiya")</f>
        <v>Embilipitiya</v>
      </c>
      <c r="J386" s="98" t="str">
        <f>IFERROR(__xludf.DUMMYFUNCTION("""COMPUTED_VALUE"""),"Received At Destination")</f>
        <v>Received At Destination</v>
      </c>
      <c r="K386" s="98" t="str">
        <f>IFERROR(__xludf.DUMMYFUNCTION("""COMPUTED_VALUE"""),"Branch Operations")</f>
        <v>Branch Operations</v>
      </c>
      <c r="L386" s="98" t="str">
        <f>IFERROR(__xludf.DUMMYFUNCTION("""COMPUTED_VALUE"""),"Informed Branch")</f>
        <v>Informed Branch</v>
      </c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>
      <c r="A387" s="82"/>
      <c r="B387" s="106" t="str">
        <f>IFERROR(__xludf.DUMMYFUNCTION("""COMPUTED_VALUE"""),"388")</f>
        <v>388</v>
      </c>
      <c r="C387" s="106" t="str">
        <f>IFERROR(__xludf.DUMMYFUNCTION("""COMPUTED_VALUE"""),"Malik")</f>
        <v>Malik</v>
      </c>
      <c r="D387" s="106" t="str">
        <f>IFERROR(__xludf.DUMMYFUNCTION("""COMPUTED_VALUE"""),"710607191")</f>
        <v>710607191</v>
      </c>
      <c r="E387" s="106" t="str">
        <f>IFERROR(__xludf.DUMMYFUNCTION("""COMPUTED_VALUE"""),"N")</f>
        <v>N</v>
      </c>
      <c r="F387" s="106" t="str">
        <f>IFERROR(__xludf.DUMMYFUNCTION("""COMPUTED_VALUE"""),"Winpro Holdings")</f>
        <v>Winpro Holdings</v>
      </c>
      <c r="G387" s="106" t="str">
        <f>IFERROR(__xludf.DUMMYFUNCTION("""COMPUTED_VALUE"""),"BE010314")</f>
        <v>BE010314</v>
      </c>
      <c r="H387" s="106" t="str">
        <f>IFERROR(__xludf.DUMMYFUNCTION("""COMPUTED_VALUE"""),"Some Details / Return To Client")</f>
        <v>Some Details / Return To Client</v>
      </c>
      <c r="I387" s="106" t="str">
        <f>IFERROR(__xludf.DUMMYFUNCTION("""COMPUTED_VALUE"""),"Galle")</f>
        <v>Galle</v>
      </c>
      <c r="J387" s="106" t="str">
        <f>IFERROR(__xludf.DUMMYFUNCTION("""COMPUTED_VALUE"""),"Returned To Client")</f>
        <v>Returned To Client</v>
      </c>
      <c r="K387" s="106" t="str">
        <f>IFERROR(__xludf.DUMMYFUNCTION("""COMPUTED_VALUE"""),"Customer Care")</f>
        <v>Customer Care</v>
      </c>
      <c r="L387" s="106" t="str">
        <f>IFERROR(__xludf.DUMMYFUNCTION("""COMPUTED_VALUE"""),"Details Given")</f>
        <v>Details Given</v>
      </c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>
      <c r="A388" s="82"/>
      <c r="B388" s="98" t="str">
        <f>IFERROR(__xludf.DUMMYFUNCTION("""COMPUTED_VALUE"""),"388")</f>
        <v>388</v>
      </c>
      <c r="C388" s="98" t="str">
        <f>IFERROR(__xludf.DUMMYFUNCTION("""COMPUTED_VALUE"""),"Malik")</f>
        <v>Malik</v>
      </c>
      <c r="D388" s="98" t="str">
        <f>IFERROR(__xludf.DUMMYFUNCTION("""COMPUTED_VALUE"""),"710607191")</f>
        <v>710607191</v>
      </c>
      <c r="E388" s="98" t="str">
        <f>IFERROR(__xludf.DUMMYFUNCTION("""COMPUTED_VALUE"""),"N")</f>
        <v>N</v>
      </c>
      <c r="F388" s="98" t="str">
        <f>IFERROR(__xludf.DUMMYFUNCTION("""COMPUTED_VALUE"""),"Winpro Holdings")</f>
        <v>Winpro Holdings</v>
      </c>
      <c r="G388" s="98" t="str">
        <f>IFERROR(__xludf.DUMMYFUNCTION("""COMPUTED_VALUE"""),"BE007011 ")</f>
        <v>BE007011 </v>
      </c>
      <c r="H388" s="98" t="str">
        <f>IFERROR(__xludf.DUMMYFUNCTION("""COMPUTED_VALUE"""),"Branch Number List")</f>
        <v>Branch Number List</v>
      </c>
      <c r="I388" s="98" t="str">
        <f>IFERROR(__xludf.DUMMYFUNCTION("""COMPUTED_VALUE"""),"Nittambuwa")</f>
        <v>Nittambuwa</v>
      </c>
      <c r="J388" s="98" t="str">
        <f>IFERROR(__xludf.DUMMYFUNCTION("""COMPUTED_VALUE"""),"Returned To Branch Rescheduled")</f>
        <v>Returned To Branch Rescheduled</v>
      </c>
      <c r="K388" s="98" t="str">
        <f>IFERROR(__xludf.DUMMYFUNCTION("""COMPUTED_VALUE"""),"Customer Care")</f>
        <v>Customer Care</v>
      </c>
      <c r="L388" s="98" t="str">
        <f>IFERROR(__xludf.DUMMYFUNCTION("""COMPUTED_VALUE"""),"Details Given")</f>
        <v>Details Given</v>
      </c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>
      <c r="A389" s="82"/>
      <c r="B389" s="106" t="str">
        <f>IFERROR(__xludf.DUMMYFUNCTION("""COMPUTED_VALUE"""),"316")</f>
        <v>316</v>
      </c>
      <c r="C389" s="106" t="str">
        <f>IFERROR(__xludf.DUMMYFUNCTION("""COMPUTED_VALUE"""),"Umesha")</f>
        <v>Umesha</v>
      </c>
      <c r="D389" s="106" t="str">
        <f>IFERROR(__xludf.DUMMYFUNCTION("""COMPUTED_VALUE"""),"757578955")</f>
        <v>757578955</v>
      </c>
      <c r="E389" s="106" t="str">
        <f>IFERROR(__xludf.DUMMYFUNCTION("""COMPUTED_VALUE"""),"Y")</f>
        <v>Y</v>
      </c>
      <c r="F389" s="106" t="str">
        <f>IFERROR(__xludf.DUMMYFUNCTION("""COMPUTED_VALUE"""),"Ceyshopz")</f>
        <v>Ceyshopz</v>
      </c>
      <c r="G389" s="106" t="str">
        <f>IFERROR(__xludf.DUMMYFUNCTION("""COMPUTED_VALUE"""),"A1109105")</f>
        <v>A1109105</v>
      </c>
      <c r="H389" s="106" t="str">
        <f>IFERROR(__xludf.DUMMYFUNCTION("""COMPUTED_VALUE"""),"Arrange Delivery Today / Top Urgent")</f>
        <v>Arrange Delivery Today / Top Urgent</v>
      </c>
      <c r="I389" s="106" t="str">
        <f>IFERROR(__xludf.DUMMYFUNCTION("""COMPUTED_VALUE"""),"Rajagiriya")</f>
        <v>Rajagiriya</v>
      </c>
      <c r="J389" s="106" t="str">
        <f>IFERROR(__xludf.DUMMYFUNCTION("""COMPUTED_VALUE"""),"Returned To Branch Rescheduled")</f>
        <v>Returned To Branch Rescheduled</v>
      </c>
      <c r="K389" s="106" t="str">
        <f>IFERROR(__xludf.DUMMYFUNCTION("""COMPUTED_VALUE"""),"Branch Operations")</f>
        <v>Branch Operations</v>
      </c>
      <c r="L389" s="106" t="str">
        <f>IFERROR(__xludf.DUMMYFUNCTION("""COMPUTED_VALUE"""),"Informed Branch")</f>
        <v>Informed Branch</v>
      </c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>
      <c r="A390" s="82"/>
      <c r="B390" s="98" t="str">
        <f>IFERROR(__xludf.DUMMYFUNCTION("""COMPUTED_VALUE"""),"317")</f>
        <v>317</v>
      </c>
      <c r="C390" s="98" t="str">
        <f>IFERROR(__xludf.DUMMYFUNCTION("""COMPUTED_VALUE"""),"Umesha")</f>
        <v>Umesha</v>
      </c>
      <c r="D390" s="98" t="str">
        <f>IFERROR(__xludf.DUMMYFUNCTION("""COMPUTED_VALUE"""),"759440573")</f>
        <v>759440573</v>
      </c>
      <c r="E390" s="98" t="str">
        <f>IFERROR(__xludf.DUMMYFUNCTION("""COMPUTED_VALUE"""),"N")</f>
        <v>N</v>
      </c>
      <c r="F390" s="98" t="str">
        <f>IFERROR(__xludf.DUMMYFUNCTION("""COMPUTED_VALUE"""),"Sr Center")</f>
        <v>Sr Center</v>
      </c>
      <c r="G390" s="98" t="str">
        <f>IFERROR(__xludf.DUMMYFUNCTION("""COMPUTED_VALUE"""),"A4715695")</f>
        <v>A4715695</v>
      </c>
      <c r="H390" s="98" t="str">
        <f>IFERROR(__xludf.DUMMYFUNCTION("""COMPUTED_VALUE"""),"Top Urgent Today")</f>
        <v>Top Urgent Today</v>
      </c>
      <c r="I390" s="98" t="str">
        <f>IFERROR(__xludf.DUMMYFUNCTION("""COMPUTED_VALUE"""),"Rajagiriya")</f>
        <v>Rajagiriya</v>
      </c>
      <c r="J390" s="98" t="str">
        <f>IFERROR(__xludf.DUMMYFUNCTION("""COMPUTED_VALUE"""),"Out For Delivery")</f>
        <v>Out For Delivery</v>
      </c>
      <c r="K390" s="98" t="str">
        <f>IFERROR(__xludf.DUMMYFUNCTION("""COMPUTED_VALUE"""),"Branch Operations")</f>
        <v>Branch Operations</v>
      </c>
      <c r="L390" s="98" t="str">
        <f>IFERROR(__xludf.DUMMYFUNCTION("""COMPUTED_VALUE"""),"Informed Branch")</f>
        <v>Informed Branch</v>
      </c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>
      <c r="A391" s="82"/>
      <c r="B391" s="106" t="str">
        <f>IFERROR(__xludf.DUMMYFUNCTION("""COMPUTED_VALUE"""),"318")</f>
        <v>318</v>
      </c>
      <c r="C391" s="106" t="str">
        <f>IFERROR(__xludf.DUMMYFUNCTION("""COMPUTED_VALUE"""),"Umesha")</f>
        <v>Umesha</v>
      </c>
      <c r="D391" s="106" t="str">
        <f>IFERROR(__xludf.DUMMYFUNCTION("""COMPUTED_VALUE"""),"718555295")</f>
        <v>718555295</v>
      </c>
      <c r="E391" s="106" t="str">
        <f>IFERROR(__xludf.DUMMYFUNCTION("""COMPUTED_VALUE"""),"N")</f>
        <v>N</v>
      </c>
      <c r="F391" s="107" t="str">
        <f>IFERROR(__xludf.DUMMYFUNCTION("""COMPUTED_VALUE"""),"Saleway.Lk")</f>
        <v>Saleway.Lk</v>
      </c>
      <c r="G391" s="106" t="str">
        <f>IFERROR(__xludf.DUMMYFUNCTION("""COMPUTED_VALUE"""),"A4715695")</f>
        <v>A4715695</v>
      </c>
      <c r="H391" s="106" t="str">
        <f>IFERROR(__xludf.DUMMYFUNCTION("""COMPUTED_VALUE"""),"Ask Nilesha")</f>
        <v>Ask Nilesha</v>
      </c>
      <c r="I391" s="106" t="str">
        <f>IFERROR(__xludf.DUMMYFUNCTION("""COMPUTED_VALUE"""),"Rajagiriya")</f>
        <v>Rajagiriya</v>
      </c>
      <c r="J391" s="106" t="str">
        <f>IFERROR(__xludf.DUMMYFUNCTION("""COMPUTED_VALUE"""),"Out For Delivery")</f>
        <v>Out For Delivery</v>
      </c>
      <c r="K391" s="106" t="str">
        <f>IFERROR(__xludf.DUMMYFUNCTION("""COMPUTED_VALUE"""),"Return")</f>
        <v>Return</v>
      </c>
      <c r="L391" s="106" t="str">
        <f>IFERROR(__xludf.DUMMYFUNCTION("""COMPUTED_VALUE"""),"Call Transfer Return Department")</f>
        <v>Call Transfer Return Department</v>
      </c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>
      <c r="A392" s="82"/>
      <c r="B392" s="98" t="str">
        <f>IFERROR(__xludf.DUMMYFUNCTION("""COMPUTED_VALUE"""),"319")</f>
        <v>319</v>
      </c>
      <c r="C392" s="98" t="str">
        <f>IFERROR(__xludf.DUMMYFUNCTION("""COMPUTED_VALUE"""),"Umesha")</f>
        <v>Umesha</v>
      </c>
      <c r="D392" s="98" t="str">
        <f>IFERROR(__xludf.DUMMYFUNCTION("""COMPUTED_VALUE"""),"710513897")</f>
        <v>710513897</v>
      </c>
      <c r="E392" s="98" t="str">
        <f>IFERROR(__xludf.DUMMYFUNCTION("""COMPUTED_VALUE"""),"N")</f>
        <v>N</v>
      </c>
      <c r="F392" s="108" t="str">
        <f>IFERROR(__xludf.DUMMYFUNCTION("""COMPUTED_VALUE"""),"Saleway.Lk")</f>
        <v>Saleway.Lk</v>
      </c>
      <c r="G392" s="98" t="str">
        <f>IFERROR(__xludf.DUMMYFUNCTION("""COMPUTED_VALUE"""),"BE056181")</f>
        <v>BE056181</v>
      </c>
      <c r="H392" s="98" t="str">
        <f>IFERROR(__xludf.DUMMYFUNCTION("""COMPUTED_VALUE"""),"Re Delivery")</f>
        <v>Re Delivery</v>
      </c>
      <c r="I392" s="98" t="str">
        <f>IFERROR(__xludf.DUMMYFUNCTION("""COMPUTED_VALUE"""),"Horana")</f>
        <v>Horana</v>
      </c>
      <c r="J392" s="98" t="str">
        <f>IFERROR(__xludf.DUMMYFUNCTION("""COMPUTED_VALUE"""),"Returned To Branch Rescheduled")</f>
        <v>Returned To Branch Rescheduled</v>
      </c>
      <c r="K392" s="98" t="str">
        <f>IFERROR(__xludf.DUMMYFUNCTION("""COMPUTED_VALUE"""),"Branch Operations")</f>
        <v>Branch Operations</v>
      </c>
      <c r="L392" s="98" t="str">
        <f>IFERROR(__xludf.DUMMYFUNCTION("""COMPUTED_VALUE"""),"Informed Branch")</f>
        <v>Informed Branch</v>
      </c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>
      <c r="A393" s="82"/>
      <c r="B393" s="106" t="str">
        <f>IFERROR(__xludf.DUMMYFUNCTION("""COMPUTED_VALUE"""),"320")</f>
        <v>320</v>
      </c>
      <c r="C393" s="106" t="str">
        <f>IFERROR(__xludf.DUMMYFUNCTION("""COMPUTED_VALUE"""),"Umesha")</f>
        <v>Umesha</v>
      </c>
      <c r="D393" s="106" t="str">
        <f>IFERROR(__xludf.DUMMYFUNCTION("""COMPUTED_VALUE"""),"757715579")</f>
        <v>757715579</v>
      </c>
      <c r="E393" s="106" t="str">
        <f>IFERROR(__xludf.DUMMYFUNCTION("""COMPUTED_VALUE"""),"Y")</f>
        <v>Y</v>
      </c>
      <c r="F393" s="106" t="str">
        <f>IFERROR(__xludf.DUMMYFUNCTION("""COMPUTED_VALUE"""),"Swasthi")</f>
        <v>Swasthi</v>
      </c>
      <c r="G393" s="106" t="str">
        <f>IFERROR(__xludf.DUMMYFUNCTION("""COMPUTED_VALUE"""),"A3821395")</f>
        <v>A3821395</v>
      </c>
      <c r="H393" s="106" t="str">
        <f>IFERROR(__xludf.DUMMYFUNCTION("""COMPUTED_VALUE"""),"Arrange Delivery Today / Top Urgent")</f>
        <v>Arrange Delivery Today / Top Urgent</v>
      </c>
      <c r="I393" s="106" t="str">
        <f>IFERROR(__xludf.DUMMYFUNCTION("""COMPUTED_VALUE"""),"Thalawathugoda")</f>
        <v>Thalawathugoda</v>
      </c>
      <c r="J393" s="106" t="str">
        <f>IFERROR(__xludf.DUMMYFUNCTION("""COMPUTED_VALUE"""),"Received At Destination")</f>
        <v>Received At Destination</v>
      </c>
      <c r="K393" s="106" t="str">
        <f>IFERROR(__xludf.DUMMYFUNCTION("""COMPUTED_VALUE"""),"Branch Operations")</f>
        <v>Branch Operations</v>
      </c>
      <c r="L393" s="106" t="str">
        <f>IFERROR(__xludf.DUMMYFUNCTION("""COMPUTED_VALUE"""),"Informed Branch And Rm")</f>
        <v>Informed Branch And Rm</v>
      </c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>
      <c r="A394" s="82"/>
      <c r="B394" s="98" t="str">
        <f>IFERROR(__xludf.DUMMYFUNCTION("""COMPUTED_VALUE"""),"400")</f>
        <v>400</v>
      </c>
      <c r="C394" s="98" t="str">
        <f>IFERROR(__xludf.DUMMYFUNCTION("""COMPUTED_VALUE"""),"Malik")</f>
        <v>Malik</v>
      </c>
      <c r="D394" s="98" t="str">
        <f>IFERROR(__xludf.DUMMYFUNCTION("""COMPUTED_VALUE"""),"766979286")</f>
        <v>766979286</v>
      </c>
      <c r="E394" s="98" t="str">
        <f>IFERROR(__xludf.DUMMYFUNCTION("""COMPUTED_VALUE"""),"N")</f>
        <v>N</v>
      </c>
      <c r="F394" s="98" t="str">
        <f>IFERROR(__xludf.DUMMYFUNCTION("""COMPUTED_VALUE"""),"Hk Fashion Mirigama")</f>
        <v>Hk Fashion Mirigama</v>
      </c>
      <c r="G394" s="98" t="str">
        <f>IFERROR(__xludf.DUMMYFUNCTION("""COMPUTED_VALUE"""),"A4157598")</f>
        <v>A4157598</v>
      </c>
      <c r="H394" s="98" t="str">
        <f>IFERROR(__xludf.DUMMYFUNCTION("""COMPUTED_VALUE"""),"No Proper Details")</f>
        <v>No Proper Details</v>
      </c>
      <c r="I394" s="98" t="str">
        <f>IFERROR(__xludf.DUMMYFUNCTION("""COMPUTED_VALUE"""),"Ja-Ela")</f>
        <v>Ja-Ela</v>
      </c>
      <c r="J394" s="98" t="str">
        <f>IFERROR(__xludf.DUMMYFUNCTION("""COMPUTED_VALUE"""),"Returned To Branch Failed To Deliver")</f>
        <v>Returned To Branch Failed To Deliver</v>
      </c>
      <c r="K394" s="98" t="str">
        <f>IFERROR(__xludf.DUMMYFUNCTION("""COMPUTED_VALUE"""),"Customer Care")</f>
        <v>Customer Care</v>
      </c>
      <c r="L394" s="98" t="str">
        <f>IFERROR(__xludf.DUMMYFUNCTION("""COMPUTED_VALUE"""),"Ask To Call Back With Proper Details")</f>
        <v>Ask To Call Back With Proper Details</v>
      </c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>
      <c r="A395" s="82"/>
      <c r="B395" s="106" t="str">
        <f>IFERROR(__xludf.DUMMYFUNCTION("""COMPUTED_VALUE"""),"401")</f>
        <v>401</v>
      </c>
      <c r="C395" s="106" t="str">
        <f>IFERROR(__xludf.DUMMYFUNCTION("""COMPUTED_VALUE"""),"Malik")</f>
        <v>Malik</v>
      </c>
      <c r="D395" s="106" t="str">
        <f>IFERROR(__xludf.DUMMYFUNCTION("""COMPUTED_VALUE"""),"765462824")</f>
        <v>765462824</v>
      </c>
      <c r="E395" s="106" t="str">
        <f>IFERROR(__xludf.DUMMYFUNCTION("""COMPUTED_VALUE"""),"N")</f>
        <v>N</v>
      </c>
      <c r="F395" s="106" t="str">
        <f>IFERROR(__xludf.DUMMYFUNCTION("""COMPUTED_VALUE"""),"Hk Fashion Mirigama")</f>
        <v>Hk Fashion Mirigama</v>
      </c>
      <c r="G395" s="106" t="str">
        <f>IFERROR(__xludf.DUMMYFUNCTION("""COMPUTED_VALUE"""),"A4157598")</f>
        <v>A4157598</v>
      </c>
      <c r="H395" s="106" t="str">
        <f>IFERROR(__xludf.DUMMYFUNCTION("""COMPUTED_VALUE"""),"No Proper Details")</f>
        <v>No Proper Details</v>
      </c>
      <c r="I395" s="106" t="str">
        <f>IFERROR(__xludf.DUMMYFUNCTION("""COMPUTED_VALUE"""),"Ja-Ela")</f>
        <v>Ja-Ela</v>
      </c>
      <c r="J395" s="106" t="str">
        <f>IFERROR(__xludf.DUMMYFUNCTION("""COMPUTED_VALUE"""),"Returned To Branch Failed To Deliver")</f>
        <v>Returned To Branch Failed To Deliver</v>
      </c>
      <c r="K395" s="106" t="str">
        <f>IFERROR(__xludf.DUMMYFUNCTION("""COMPUTED_VALUE"""),"Customer Care")</f>
        <v>Customer Care</v>
      </c>
      <c r="L395" s="106" t="str">
        <f>IFERROR(__xludf.DUMMYFUNCTION("""COMPUTED_VALUE"""),"Ask To Call Back With Proper Details")</f>
        <v>Ask To Call Back With Proper Details</v>
      </c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>
      <c r="A396" s="82"/>
      <c r="B396" s="98" t="str">
        <f>IFERROR(__xludf.DUMMYFUNCTION("""COMPUTED_VALUE"""),"323")</f>
        <v>323</v>
      </c>
      <c r="C396" s="98" t="str">
        <f>IFERROR(__xludf.DUMMYFUNCTION("""COMPUTED_VALUE"""),"Umesha")</f>
        <v>Umesha</v>
      </c>
      <c r="D396" s="98" t="str">
        <f>IFERROR(__xludf.DUMMYFUNCTION("""COMPUTED_VALUE"""),"729394331")</f>
        <v>729394331</v>
      </c>
      <c r="E396" s="98" t="str">
        <f>IFERROR(__xludf.DUMMYFUNCTION("""COMPUTED_VALUE"""),"N")</f>
        <v>N</v>
      </c>
      <c r="F396" s="98" t="str">
        <f>IFERROR(__xludf.DUMMYFUNCTION("""COMPUTED_VALUE"""),"Sahasra Team")</f>
        <v>Sahasra Team</v>
      </c>
      <c r="G396" s="98" t="str">
        <f>IFERROR(__xludf.DUMMYFUNCTION("""COMPUTED_VALUE"""),"BA733879")</f>
        <v>BA733879</v>
      </c>
      <c r="H396" s="98" t="str">
        <f>IFERROR(__xludf.DUMMYFUNCTION("""COMPUTED_VALUE"""),"Re Delivery")</f>
        <v>Re Delivery</v>
      </c>
      <c r="I396" s="98" t="str">
        <f>IFERROR(__xludf.DUMMYFUNCTION("""COMPUTED_VALUE"""),"Kahatagasdigiliya")</f>
        <v>Kahatagasdigiliya</v>
      </c>
      <c r="J396" s="98" t="str">
        <f>IFERROR(__xludf.DUMMYFUNCTION("""COMPUTED_VALUE"""),"Delivered")</f>
        <v>Delivered</v>
      </c>
      <c r="K396" s="98" t="str">
        <f>IFERROR(__xludf.DUMMYFUNCTION("""COMPUTED_VALUE"""),"Sales")</f>
        <v>Sales</v>
      </c>
      <c r="L396" s="98" t="str">
        <f>IFERROR(__xludf.DUMMYFUNCTION("""COMPUTED_VALUE"""),"Call Transfer Sales Department")</f>
        <v>Call Transfer Sales Department</v>
      </c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>
      <c r="A397" s="82"/>
      <c r="B397" s="106" t="str">
        <f>IFERROR(__xludf.DUMMYFUNCTION("""COMPUTED_VALUE"""),"324")</f>
        <v>324</v>
      </c>
      <c r="C397" s="106" t="str">
        <f>IFERROR(__xludf.DUMMYFUNCTION("""COMPUTED_VALUE"""),"Umesha")</f>
        <v>Umesha</v>
      </c>
      <c r="D397" s="106" t="str">
        <f>IFERROR(__xludf.DUMMYFUNCTION("""COMPUTED_VALUE"""),"778273462")</f>
        <v>778273462</v>
      </c>
      <c r="E397" s="106" t="str">
        <f>IFERROR(__xludf.DUMMYFUNCTION("""COMPUTED_VALUE"""),"N")</f>
        <v>N</v>
      </c>
      <c r="F397" s="106" t="str">
        <f>IFERROR(__xludf.DUMMYFUNCTION("""COMPUTED_VALUE"""),"Sahasra Team")</f>
        <v>Sahasra Team</v>
      </c>
      <c r="G397" s="106" t="str">
        <f>IFERROR(__xludf.DUMMYFUNCTION("""COMPUTED_VALUE"""),"A4713289")</f>
        <v>A4713289</v>
      </c>
      <c r="H397" s="106" t="str">
        <f>IFERROR(__xludf.DUMMYFUNCTION("""COMPUTED_VALUE"""),"Customer Collect At The Branch")</f>
        <v>Customer Collect At The Branch</v>
      </c>
      <c r="I397" s="106" t="str">
        <f>IFERROR(__xludf.DUMMYFUNCTION("""COMPUTED_VALUE"""),"Horana")</f>
        <v>Horana</v>
      </c>
      <c r="J397" s="106" t="str">
        <f>IFERROR(__xludf.DUMMYFUNCTION("""COMPUTED_VALUE"""),"Received At Destination")</f>
        <v>Received At Destination</v>
      </c>
      <c r="K397" s="106" t="str">
        <f>IFERROR(__xludf.DUMMYFUNCTION("""COMPUTED_VALUE"""),"Branch Operations")</f>
        <v>Branch Operations</v>
      </c>
      <c r="L397" s="106" t="str">
        <f>IFERROR(__xludf.DUMMYFUNCTION("""COMPUTED_VALUE"""),"Informed Rm")</f>
        <v>Informed Rm</v>
      </c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>
      <c r="A398" s="82"/>
      <c r="B398" s="98" t="str">
        <f>IFERROR(__xludf.DUMMYFUNCTION("""COMPUTED_VALUE"""),"327")</f>
        <v>327</v>
      </c>
      <c r="C398" s="98" t="str">
        <f>IFERROR(__xludf.DUMMYFUNCTION("""COMPUTED_VALUE"""),"Umesha")</f>
        <v>Umesha</v>
      </c>
      <c r="D398" s="98" t="str">
        <f>IFERROR(__xludf.DUMMYFUNCTION("""COMPUTED_VALUE"""),"764260766")</f>
        <v>764260766</v>
      </c>
      <c r="E398" s="98" t="str">
        <f>IFERROR(__xludf.DUMMYFUNCTION("""COMPUTED_VALUE"""),"N")</f>
        <v>N</v>
      </c>
      <c r="F398" s="98" t="str">
        <f>IFERROR(__xludf.DUMMYFUNCTION("""COMPUTED_VALUE"""),"Angel Attic")</f>
        <v>Angel Attic</v>
      </c>
      <c r="G398" s="98" t="str">
        <f>IFERROR(__xludf.DUMMYFUNCTION("""COMPUTED_VALUE"""),"A3536683")</f>
        <v>A3536683</v>
      </c>
      <c r="H398" s="98" t="str">
        <f>IFERROR(__xludf.DUMMYFUNCTION("""COMPUTED_VALUE"""),"Call Wrapped")</f>
        <v>Call Wrapped</v>
      </c>
      <c r="I398" s="98" t="str">
        <f>IFERROR(__xludf.DUMMYFUNCTION("""COMPUTED_VALUE"""),"Polonnaruwa")</f>
        <v>Polonnaruwa</v>
      </c>
      <c r="J398" s="98" t="str">
        <f>IFERROR(__xludf.DUMMYFUNCTION("""COMPUTED_VALUE"""),"Returned To Branch Rescheduled")</f>
        <v>Returned To Branch Rescheduled</v>
      </c>
      <c r="K398" s="98" t="str">
        <f>IFERROR(__xludf.DUMMYFUNCTION("""COMPUTED_VALUE"""),"Customer Care")</f>
        <v>Customer Care</v>
      </c>
      <c r="L398" s="98" t="str">
        <f>IFERROR(__xludf.DUMMYFUNCTION("""COMPUTED_VALUE"""),"Given Details")</f>
        <v>Given Details</v>
      </c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>
      <c r="A399" s="82"/>
      <c r="B399" s="106" t="str">
        <f>IFERROR(__xludf.DUMMYFUNCTION("""COMPUTED_VALUE"""),"328")</f>
        <v>328</v>
      </c>
      <c r="C399" s="106" t="str">
        <f>IFERROR(__xludf.DUMMYFUNCTION("""COMPUTED_VALUE"""),"Umesha")</f>
        <v>Umesha</v>
      </c>
      <c r="D399" s="106" t="str">
        <f>IFERROR(__xludf.DUMMYFUNCTION("""COMPUTED_VALUE"""),"769357268")</f>
        <v>769357268</v>
      </c>
      <c r="E399" s="106" t="str">
        <f>IFERROR(__xludf.DUMMYFUNCTION("""COMPUTED_VALUE"""),"N")</f>
        <v>N</v>
      </c>
      <c r="F399" s="106" t="str">
        <f>IFERROR(__xludf.DUMMYFUNCTION("""COMPUTED_VALUE"""),"Coco Leaf")</f>
        <v>Coco Leaf</v>
      </c>
      <c r="G399" s="106" t="str">
        <f>IFERROR(__xludf.DUMMYFUNCTION("""COMPUTED_VALUE"""),"A4338583")</f>
        <v>A4338583</v>
      </c>
      <c r="H399" s="106" t="str">
        <f>IFERROR(__xludf.DUMMYFUNCTION("""COMPUTED_VALUE"""),"Still Processing")</f>
        <v>Still Processing</v>
      </c>
      <c r="I399" s="106" t="str">
        <f>IFERROR(__xludf.DUMMYFUNCTION("""COMPUTED_VALUE"""),"Polonnaruwa")</f>
        <v>Polonnaruwa</v>
      </c>
      <c r="J399" s="106" t="str">
        <f>IFERROR(__xludf.DUMMYFUNCTION("""COMPUTED_VALUE"""),"Processing")</f>
        <v>Processing</v>
      </c>
      <c r="K399" s="106" t="str">
        <f>IFERROR(__xludf.DUMMYFUNCTION("""COMPUTED_VALUE"""),"Customer Care")</f>
        <v>Customer Care</v>
      </c>
      <c r="L399" s="106" t="str">
        <f>IFERROR(__xludf.DUMMYFUNCTION("""COMPUTED_VALUE"""),"Informed Customer")</f>
        <v>Informed Customer</v>
      </c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>
      <c r="A400" s="82"/>
      <c r="B400" s="98" t="str">
        <f>IFERROR(__xludf.DUMMYFUNCTION("""COMPUTED_VALUE"""),"348")</f>
        <v>348</v>
      </c>
      <c r="C400" s="98" t="str">
        <f>IFERROR(__xludf.DUMMYFUNCTION("""COMPUTED_VALUE"""),"Umesha")</f>
        <v>Umesha</v>
      </c>
      <c r="D400" s="98" t="str">
        <f>IFERROR(__xludf.DUMMYFUNCTION("""COMPUTED_VALUE"""),"741005782")</f>
        <v>741005782</v>
      </c>
      <c r="E400" s="98" t="str">
        <f>IFERROR(__xludf.DUMMYFUNCTION("""COMPUTED_VALUE"""),"Y")</f>
        <v>Y</v>
      </c>
      <c r="F400" s="98" t="str">
        <f>IFERROR(__xludf.DUMMYFUNCTION("""COMPUTED_VALUE"""),"Quick Mart.Lk")</f>
        <v>Quick Mart.Lk</v>
      </c>
      <c r="G400" s="98" t="str">
        <f>IFERROR(__xludf.DUMMYFUNCTION("""COMPUTED_VALUE"""),"BE091724")</f>
        <v>BE091724</v>
      </c>
      <c r="H400" s="98" t="str">
        <f>IFERROR(__xludf.DUMMYFUNCTION("""COMPUTED_VALUE"""),"System Issue")</f>
        <v>System Issue</v>
      </c>
      <c r="I400" s="98" t="str">
        <f>IFERROR(__xludf.DUMMYFUNCTION("""COMPUTED_VALUE"""),"Maradana")</f>
        <v>Maradana</v>
      </c>
      <c r="J400" s="98" t="str">
        <f>IFERROR(__xludf.DUMMYFUNCTION("""COMPUTED_VALUE"""),"Out For Delivery")</f>
        <v>Out For Delivery</v>
      </c>
      <c r="K400" s="98" t="str">
        <f>IFERROR(__xludf.DUMMYFUNCTION("""COMPUTED_VALUE"""),"Sales")</f>
        <v>Sales</v>
      </c>
      <c r="L400" s="98" t="str">
        <f>IFERROR(__xludf.DUMMYFUNCTION("""COMPUTED_VALUE"""),"Call Transfer Sales Department")</f>
        <v>Call Transfer Sales Department</v>
      </c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>
      <c r="A401" s="82"/>
      <c r="B401" s="106" t="str">
        <f>IFERROR(__xludf.DUMMYFUNCTION("""COMPUTED_VALUE"""),"330")</f>
        <v>330</v>
      </c>
      <c r="C401" s="106" t="str">
        <f>IFERROR(__xludf.DUMMYFUNCTION("""COMPUTED_VALUE"""),"Umesha")</f>
        <v>Umesha</v>
      </c>
      <c r="D401" s="106" t="str">
        <f>IFERROR(__xludf.DUMMYFUNCTION("""COMPUTED_VALUE"""),"765462634")</f>
        <v>765462634</v>
      </c>
      <c r="E401" s="106" t="str">
        <f>IFERROR(__xludf.DUMMYFUNCTION("""COMPUTED_VALUE"""),"N")</f>
        <v>N</v>
      </c>
      <c r="F401" s="106" t="str">
        <f>IFERROR(__xludf.DUMMYFUNCTION("""COMPUTED_VALUE"""),"D&amp;N Fashion")</f>
        <v>D&amp;N Fashion</v>
      </c>
      <c r="G401" s="106" t="str">
        <f>IFERROR(__xludf.DUMMYFUNCTION("""COMPUTED_VALUE"""),"A3716658")</f>
        <v>A3716658</v>
      </c>
      <c r="H401" s="106" t="str">
        <f>IFERROR(__xludf.DUMMYFUNCTION("""COMPUTED_VALUE"""),"The Package Was Delivered To The Customer, But The Payment Was Not Collected From The Customer.")</f>
        <v>The Package Was Delivered To The Customer, But The Payment Was Not Collected From The Customer.</v>
      </c>
      <c r="I401" s="106" t="str">
        <f>IFERROR(__xludf.DUMMYFUNCTION("""COMPUTED_VALUE"""),"Homagama")</f>
        <v>Homagama</v>
      </c>
      <c r="J401" s="106" t="str">
        <f>IFERROR(__xludf.DUMMYFUNCTION("""COMPUTED_VALUE"""),"Returned To Branch Rescheduled")</f>
        <v>Returned To Branch Rescheduled</v>
      </c>
      <c r="K401" s="106" t="str">
        <f>IFERROR(__xludf.DUMMYFUNCTION("""COMPUTED_VALUE"""),"Branch Operations")</f>
        <v>Branch Operations</v>
      </c>
      <c r="L401" s="106" t="str">
        <f>IFERROR(__xludf.DUMMYFUNCTION("""COMPUTED_VALUE"""),"Informed Branch")</f>
        <v>Informed Branch</v>
      </c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>
      <c r="A402" s="82"/>
      <c r="B402" s="98" t="str">
        <f>IFERROR(__xludf.DUMMYFUNCTION("""COMPUTED_VALUE"""),"409")</f>
        <v>409</v>
      </c>
      <c r="C402" s="98" t="str">
        <f>IFERROR(__xludf.DUMMYFUNCTION("""COMPUTED_VALUE"""),"Malik")</f>
        <v>Malik</v>
      </c>
      <c r="D402" s="98" t="str">
        <f>IFERROR(__xludf.DUMMYFUNCTION("""COMPUTED_VALUE"""),"779449477")</f>
        <v>779449477</v>
      </c>
      <c r="E402" s="98" t="str">
        <f>IFERROR(__xludf.DUMMYFUNCTION("""COMPUTED_VALUE"""),"N")</f>
        <v>N</v>
      </c>
      <c r="F402" s="98" t="str">
        <f>IFERROR(__xludf.DUMMYFUNCTION("""COMPUTED_VALUE"""),"Thiyora Boutique")</f>
        <v>Thiyora Boutique</v>
      </c>
      <c r="G402" s="98" t="str">
        <f>IFERROR(__xludf.DUMMYFUNCTION("""COMPUTED_VALUE"""),"A4395705")</f>
        <v>A4395705</v>
      </c>
      <c r="H402" s="98" t="str">
        <f>IFERROR(__xludf.DUMMYFUNCTION("""COMPUTED_VALUE"""),"No Responce Mid Way")</f>
        <v>No Responce Mid Way</v>
      </c>
      <c r="I402" s="98" t="str">
        <f>IFERROR(__xludf.DUMMYFUNCTION("""COMPUTED_VALUE"""),"Ja-Ela")</f>
        <v>Ja-Ela</v>
      </c>
      <c r="J402" s="98" t="str">
        <f>IFERROR(__xludf.DUMMYFUNCTION("""COMPUTED_VALUE"""),"Out For Delivery")</f>
        <v>Out For Delivery</v>
      </c>
      <c r="K402" s="98" t="str">
        <f>IFERROR(__xludf.DUMMYFUNCTION("""COMPUTED_VALUE"""),"Customer Care")</f>
        <v>Customer Care</v>
      </c>
      <c r="L402" s="98" t="str">
        <f>IFERROR(__xludf.DUMMYFUNCTION("""COMPUTED_VALUE"""),"Call Wrapped And Call Back Number Is Nusy")</f>
        <v>Call Wrapped And Call Back Number Is Nusy</v>
      </c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>
      <c r="A403" s="82"/>
      <c r="B403" s="106" t="str">
        <f>IFERROR(__xludf.DUMMYFUNCTION("""COMPUTED_VALUE"""),"332")</f>
        <v>332</v>
      </c>
      <c r="C403" s="106" t="str">
        <f>IFERROR(__xludf.DUMMYFUNCTION("""COMPUTED_VALUE"""),"Umesha")</f>
        <v>Umesha</v>
      </c>
      <c r="D403" s="106" t="str">
        <f>IFERROR(__xludf.DUMMYFUNCTION("""COMPUTED_VALUE"""),"764181863")</f>
        <v>764181863</v>
      </c>
      <c r="E403" s="106" t="str">
        <f>IFERROR(__xludf.DUMMYFUNCTION("""COMPUTED_VALUE"""),"N")</f>
        <v>N</v>
      </c>
      <c r="F403" s="106" t="str">
        <f>IFERROR(__xludf.DUMMYFUNCTION("""COMPUTED_VALUE"""),"Lakmali")</f>
        <v>Lakmali</v>
      </c>
      <c r="G403" s="106" t="str">
        <f>IFERROR(__xludf.DUMMYFUNCTION("""COMPUTED_VALUE"""),"WD301133")</f>
        <v>WD301133</v>
      </c>
      <c r="H403" s="106" t="str">
        <f>IFERROR(__xludf.DUMMYFUNCTION("""COMPUTED_VALUE"""),"Top Urgent Today")</f>
        <v>Top Urgent Today</v>
      </c>
      <c r="I403" s="106" t="str">
        <f>IFERROR(__xludf.DUMMYFUNCTION("""COMPUTED_VALUE"""),"Thalawathugoda")</f>
        <v>Thalawathugoda</v>
      </c>
      <c r="J403" s="106" t="str">
        <f>IFERROR(__xludf.DUMMYFUNCTION("""COMPUTED_VALUE"""),"Out For Delivery")</f>
        <v>Out For Delivery</v>
      </c>
      <c r="K403" s="106" t="str">
        <f>IFERROR(__xludf.DUMMYFUNCTION("""COMPUTED_VALUE"""),"Domestic")</f>
        <v>Domestic</v>
      </c>
      <c r="L403" s="106" t="str">
        <f>IFERROR(__xludf.DUMMYFUNCTION("""COMPUTED_VALUE"""),"Call Transfer Domestic Department")</f>
        <v>Call Transfer Domestic Department</v>
      </c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>
      <c r="A404" s="82"/>
      <c r="B404" s="98" t="str">
        <f>IFERROR(__xludf.DUMMYFUNCTION("""COMPUTED_VALUE"""),"352")</f>
        <v>352</v>
      </c>
      <c r="C404" s="98" t="str">
        <f>IFERROR(__xludf.DUMMYFUNCTION("""COMPUTED_VALUE"""),"Umesha")</f>
        <v>Umesha</v>
      </c>
      <c r="D404" s="98" t="str">
        <f>IFERROR(__xludf.DUMMYFUNCTION("""COMPUTED_VALUE"""),"779019892")</f>
        <v>779019892</v>
      </c>
      <c r="E404" s="98" t="str">
        <f>IFERROR(__xludf.DUMMYFUNCTION("""COMPUTED_VALUE"""),"N")</f>
        <v>N</v>
      </c>
      <c r="F404" s="98" t="str">
        <f>IFERROR(__xludf.DUMMYFUNCTION("""COMPUTED_VALUE"""),"Neth Fashion Clothing")</f>
        <v>Neth Fashion Clothing</v>
      </c>
      <c r="G404" s="98" t="str">
        <f>IFERROR(__xludf.DUMMYFUNCTION("""COMPUTED_VALUE"""),"A4470093")</f>
        <v>A4470093</v>
      </c>
      <c r="H404" s="98" t="str">
        <f>IFERROR(__xludf.DUMMYFUNCTION("""COMPUTED_VALUE"""),"Ask Some Details")</f>
        <v>Ask Some Details</v>
      </c>
      <c r="I404" s="98" t="str">
        <f>IFERROR(__xludf.DUMMYFUNCTION("""COMPUTED_VALUE"""),"Thalawathugoda")</f>
        <v>Thalawathugoda</v>
      </c>
      <c r="J404" s="98" t="str">
        <f>IFERROR(__xludf.DUMMYFUNCTION("""COMPUTED_VALUE"""),"Returned To Branch Rescheduled")</f>
        <v>Returned To Branch Rescheduled</v>
      </c>
      <c r="K404" s="98" t="str">
        <f>IFERROR(__xludf.DUMMYFUNCTION("""COMPUTED_VALUE"""),"Customer Care")</f>
        <v>Customer Care</v>
      </c>
      <c r="L404" s="98" t="str">
        <f>IFERROR(__xludf.DUMMYFUNCTION("""COMPUTED_VALUE"""),"Given Details")</f>
        <v>Given Details</v>
      </c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>
      <c r="A405" s="82"/>
      <c r="B405" s="106" t="str">
        <f>IFERROR(__xludf.DUMMYFUNCTION("""COMPUTED_VALUE"""),"353")</f>
        <v>353</v>
      </c>
      <c r="C405" s="106" t="str">
        <f>IFERROR(__xludf.DUMMYFUNCTION("""COMPUTED_VALUE"""),"Umesha")</f>
        <v>Umesha</v>
      </c>
      <c r="D405" s="106" t="str">
        <f>IFERROR(__xludf.DUMMYFUNCTION("""COMPUTED_VALUE"""),"778694249")</f>
        <v>778694249</v>
      </c>
      <c r="E405" s="106" t="str">
        <f>IFERROR(__xludf.DUMMYFUNCTION("""COMPUTED_VALUE"""),"N")</f>
        <v>N</v>
      </c>
      <c r="F405" s="106" t="str">
        <f>IFERROR(__xludf.DUMMYFUNCTION("""COMPUTED_VALUE"""),"Neth Fashion Clothing")</f>
        <v>Neth Fashion Clothing</v>
      </c>
      <c r="G405" s="106" t="str">
        <f>IFERROR(__xludf.DUMMYFUNCTION("""COMPUTED_VALUE"""),"A4470093")</f>
        <v>A4470093</v>
      </c>
      <c r="H405" s="106" t="str">
        <f>IFERROR(__xludf.DUMMYFUNCTION("""COMPUTED_VALUE"""),"Ask Malik")</f>
        <v>Ask Malik</v>
      </c>
      <c r="I405" s="106" t="str">
        <f>IFERROR(__xludf.DUMMYFUNCTION("""COMPUTED_VALUE"""),"Homagama")</f>
        <v>Homagama</v>
      </c>
      <c r="J405" s="106" t="str">
        <f>IFERROR(__xludf.DUMMYFUNCTION("""COMPUTED_VALUE"""),"Returned To Branch Rescheduled")</f>
        <v>Returned To Branch Rescheduled</v>
      </c>
      <c r="K405" s="106" t="str">
        <f>IFERROR(__xludf.DUMMYFUNCTION("""COMPUTED_VALUE"""),"Customer Care")</f>
        <v>Customer Care</v>
      </c>
      <c r="L405" s="106" t="str">
        <f>IFERROR(__xludf.DUMMYFUNCTION("""COMPUTED_VALUE"""),"Informed Malik")</f>
        <v>Informed Malik</v>
      </c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>
      <c r="A406" s="82"/>
      <c r="B406" s="98" t="str">
        <f>IFERROR(__xludf.DUMMYFUNCTION("""COMPUTED_VALUE"""),"354")</f>
        <v>354</v>
      </c>
      <c r="C406" s="98" t="str">
        <f>IFERROR(__xludf.DUMMYFUNCTION("""COMPUTED_VALUE"""),"Umesha")</f>
        <v>Umesha</v>
      </c>
      <c r="D406" s="98" t="str">
        <f>IFERROR(__xludf.DUMMYFUNCTION("""COMPUTED_VALUE"""),"777531213")</f>
        <v>777531213</v>
      </c>
      <c r="E406" s="98" t="str">
        <f>IFERROR(__xludf.DUMMYFUNCTION("""COMPUTED_VALUE"""),"N")</f>
        <v>N</v>
      </c>
      <c r="F406" s="98" t="str">
        <f>IFERROR(__xludf.DUMMYFUNCTION("""COMPUTED_VALUE"""),"Neth Fashion Clothing")</f>
        <v>Neth Fashion Clothing</v>
      </c>
      <c r="G406" s="98" t="str">
        <f>IFERROR(__xludf.DUMMYFUNCTION("""COMPUTED_VALUE"""),"A4470093")</f>
        <v>A4470093</v>
      </c>
      <c r="H406" s="98" t="str">
        <f>IFERROR(__xludf.DUMMYFUNCTION("""COMPUTED_VALUE"""),"Answered")</f>
        <v>Answered</v>
      </c>
      <c r="I406" s="98" t="str">
        <f>IFERROR(__xludf.DUMMYFUNCTION("""COMPUTED_VALUE"""),"Homagama")</f>
        <v>Homagama</v>
      </c>
      <c r="J406" s="98" t="str">
        <f>IFERROR(__xludf.DUMMYFUNCTION("""COMPUTED_VALUE"""),"Returned To Branch Rescheduled")</f>
        <v>Returned To Branch Rescheduled</v>
      </c>
      <c r="K406" s="98" t="str">
        <f>IFERROR(__xludf.DUMMYFUNCTION("""COMPUTED_VALUE"""),"Customer Care")</f>
        <v>Customer Care</v>
      </c>
      <c r="L406" s="98" t="str">
        <f>IFERROR(__xludf.DUMMYFUNCTION("""COMPUTED_VALUE"""),"Call Hold")</f>
        <v>Call Hold</v>
      </c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>
      <c r="A407" s="82"/>
      <c r="B407" s="106" t="str">
        <f>IFERROR(__xludf.DUMMYFUNCTION("""COMPUTED_VALUE"""),"336")</f>
        <v>336</v>
      </c>
      <c r="C407" s="106" t="str">
        <f>IFERROR(__xludf.DUMMYFUNCTION("""COMPUTED_VALUE"""),"Umesha")</f>
        <v>Umesha</v>
      </c>
      <c r="D407" s="106" t="str">
        <f>IFERROR(__xludf.DUMMYFUNCTION("""COMPUTED_VALUE"""),"787147221")</f>
        <v>787147221</v>
      </c>
      <c r="E407" s="106" t="str">
        <f>IFERROR(__xludf.DUMMYFUNCTION("""COMPUTED_VALUE"""),"N")</f>
        <v>N</v>
      </c>
      <c r="F407" s="106" t="str">
        <f>IFERROR(__xludf.DUMMYFUNCTION("""COMPUTED_VALUE"""),"Praveen Randeniya Books")</f>
        <v>Praveen Randeniya Books</v>
      </c>
      <c r="G407" s="106" t="str">
        <f>IFERROR(__xludf.DUMMYFUNCTION("""COMPUTED_VALUE"""),"BA774767")</f>
        <v>BA774767</v>
      </c>
      <c r="H407" s="106" t="str">
        <f>IFERROR(__xludf.DUMMYFUNCTION("""COMPUTED_VALUE"""),"Arrange Delivery Tomorrow / Urgent")</f>
        <v>Arrange Delivery Tomorrow / Urgent</v>
      </c>
      <c r="I407" s="106" t="str">
        <f>IFERROR(__xludf.DUMMYFUNCTION("""COMPUTED_VALUE"""),"Ratmalana")</f>
        <v>Ratmalana</v>
      </c>
      <c r="J407" s="106" t="str">
        <f>IFERROR(__xludf.DUMMYFUNCTION("""COMPUTED_VALUE"""),"Received At Destination")</f>
        <v>Received At Destination</v>
      </c>
      <c r="K407" s="106" t="str">
        <f>IFERROR(__xludf.DUMMYFUNCTION("""COMPUTED_VALUE"""),"Branch Operations")</f>
        <v>Branch Operations</v>
      </c>
      <c r="L407" s="106" t="str">
        <f>IFERROR(__xludf.DUMMYFUNCTION("""COMPUTED_VALUE"""),"Informed Branch")</f>
        <v>Informed Branch</v>
      </c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>
      <c r="A408" s="82"/>
      <c r="B408" s="98" t="str">
        <f>IFERROR(__xludf.DUMMYFUNCTION("""COMPUTED_VALUE"""),"337")</f>
        <v>337</v>
      </c>
      <c r="C408" s="98" t="str">
        <f>IFERROR(__xludf.DUMMYFUNCTION("""COMPUTED_VALUE"""),"Umesha")</f>
        <v>Umesha</v>
      </c>
      <c r="D408" s="98" t="str">
        <f>IFERROR(__xludf.DUMMYFUNCTION("""COMPUTED_VALUE"""),"716365283")</f>
        <v>716365283</v>
      </c>
      <c r="E408" s="98" t="str">
        <f>IFERROR(__xludf.DUMMYFUNCTION("""COMPUTED_VALUE"""),"N")</f>
        <v>N</v>
      </c>
      <c r="F408" s="108" t="str">
        <f>IFERROR(__xludf.DUMMYFUNCTION("""COMPUTED_VALUE"""),"Salehub.Lk")</f>
        <v>Salehub.Lk</v>
      </c>
      <c r="G408" s="98" t="str">
        <f>IFERROR(__xludf.DUMMYFUNCTION("""COMPUTED_VALUE"""),"BE081770")</f>
        <v>BE081770</v>
      </c>
      <c r="H408" s="98" t="str">
        <f>IFERROR(__xludf.DUMMYFUNCTION("""COMPUTED_VALUE"""),"716365283 - Customer Requested Re-Delivery. Please Arrange It For Tomorrow.")</f>
        <v>716365283 - Customer Requested Re-Delivery. Please Arrange It For Tomorrow.</v>
      </c>
      <c r="I408" s="98" t="str">
        <f>IFERROR(__xludf.DUMMYFUNCTION("""COMPUTED_VALUE"""),"Panadura")</f>
        <v>Panadura</v>
      </c>
      <c r="J408" s="98" t="str">
        <f>IFERROR(__xludf.DUMMYFUNCTION("""COMPUTED_VALUE"""),"Returned To Branch Failed To Deliver")</f>
        <v>Returned To Branch Failed To Deliver</v>
      </c>
      <c r="K408" s="98" t="str">
        <f>IFERROR(__xludf.DUMMYFUNCTION("""COMPUTED_VALUE"""),"Branch Operations")</f>
        <v>Branch Operations</v>
      </c>
      <c r="L408" s="98" t="str">
        <f>IFERROR(__xludf.DUMMYFUNCTION("""COMPUTED_VALUE"""),"Informed Branch")</f>
        <v>Informed Branch</v>
      </c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>
      <c r="A409" s="82"/>
      <c r="B409" s="106" t="str">
        <f>IFERROR(__xludf.DUMMYFUNCTION("""COMPUTED_VALUE"""),"416")</f>
        <v>416</v>
      </c>
      <c r="C409" s="106" t="str">
        <f>IFERROR(__xludf.DUMMYFUNCTION("""COMPUTED_VALUE"""),"Malik")</f>
        <v>Malik</v>
      </c>
      <c r="D409" s="106" t="str">
        <f>IFERROR(__xludf.DUMMYFUNCTION("""COMPUTED_VALUE"""),"705130700")</f>
        <v>705130700</v>
      </c>
      <c r="E409" s="106" t="str">
        <f>IFERROR(__xludf.DUMMYFUNCTION("""COMPUTED_VALUE"""),"N")</f>
        <v>N</v>
      </c>
      <c r="F409" s="107" t="str">
        <f>IFERROR(__xludf.DUMMYFUNCTION("""COMPUTED_VALUE"""),"Onelink.Lk")</f>
        <v>Onelink.Lk</v>
      </c>
      <c r="G409" s="106" t="str">
        <f>IFERROR(__xludf.DUMMYFUNCTION("""COMPUTED_VALUE"""),"BE066365")</f>
        <v>BE066365</v>
      </c>
      <c r="H409" s="106" t="str">
        <f>IFERROR(__xludf.DUMMYFUNCTION("""COMPUTED_VALUE"""),"No Proper Details")</f>
        <v>No Proper Details</v>
      </c>
      <c r="I409" s="106" t="str">
        <f>IFERROR(__xludf.DUMMYFUNCTION("""COMPUTED_VALUE"""),"Thalawathugoda")</f>
        <v>Thalawathugoda</v>
      </c>
      <c r="J409" s="106" t="str">
        <f>IFERROR(__xludf.DUMMYFUNCTION("""COMPUTED_VALUE"""),"Delivered")</f>
        <v>Delivered</v>
      </c>
      <c r="K409" s="106" t="str">
        <f>IFERROR(__xludf.DUMMYFUNCTION("""COMPUTED_VALUE"""),"Customer Care")</f>
        <v>Customer Care</v>
      </c>
      <c r="L409" s="106" t="str">
        <f>IFERROR(__xludf.DUMMYFUNCTION("""COMPUTED_VALUE"""),"Ask To Call Back With Proper Details")</f>
        <v>Ask To Call Back With Proper Details</v>
      </c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>
      <c r="A410" s="82"/>
      <c r="B410" s="98" t="str">
        <f>IFERROR(__xludf.DUMMYFUNCTION("""COMPUTED_VALUE"""),"339")</f>
        <v>339</v>
      </c>
      <c r="C410" s="98" t="str">
        <f>IFERROR(__xludf.DUMMYFUNCTION("""COMPUTED_VALUE"""),"Umesha")</f>
        <v>Umesha</v>
      </c>
      <c r="D410" s="98" t="str">
        <f>IFERROR(__xludf.DUMMYFUNCTION("""COMPUTED_VALUE"""),"773705652")</f>
        <v>773705652</v>
      </c>
      <c r="E410" s="98" t="str">
        <f>IFERROR(__xludf.DUMMYFUNCTION("""COMPUTED_VALUE"""),"N")</f>
        <v>N</v>
      </c>
      <c r="F410" s="98" t="str">
        <f>IFERROR(__xludf.DUMMYFUNCTION("""COMPUTED_VALUE"""),"Trendify")</f>
        <v>Trendify</v>
      </c>
      <c r="G410" s="98" t="str">
        <f>IFERROR(__xludf.DUMMYFUNCTION("""COMPUTED_VALUE"""),"BE117555")</f>
        <v>BE117555</v>
      </c>
      <c r="H410" s="98" t="str">
        <f>IFERROR(__xludf.DUMMYFUNCTION("""COMPUTED_VALUE"""),"Customer Want Return This Package")</f>
        <v>Customer Want Return This Package</v>
      </c>
      <c r="I410" s="98" t="str">
        <f>IFERROR(__xludf.DUMMYFUNCTION("""COMPUTED_VALUE"""),"Ja-Ela")</f>
        <v>Ja-Ela</v>
      </c>
      <c r="J410" s="98" t="str">
        <f>IFERROR(__xludf.DUMMYFUNCTION("""COMPUTED_VALUE"""),"Returned To Branch Failed To Deliver")</f>
        <v>Returned To Branch Failed To Deliver</v>
      </c>
      <c r="K410" s="98" t="str">
        <f>IFERROR(__xludf.DUMMYFUNCTION("""COMPUTED_VALUE"""),"Customer Care")</f>
        <v>Customer Care</v>
      </c>
      <c r="L410" s="98" t="str">
        <f>IFERROR(__xludf.DUMMYFUNCTION("""COMPUTED_VALUE"""),"Informed Genzo Amandi")</f>
        <v>Informed Genzo Amandi</v>
      </c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>
      <c r="A411" s="82"/>
      <c r="B411" s="106" t="str">
        <f>IFERROR(__xludf.DUMMYFUNCTION("""COMPUTED_VALUE"""),"418")</f>
        <v>418</v>
      </c>
      <c r="C411" s="106" t="str">
        <f>IFERROR(__xludf.DUMMYFUNCTION("""COMPUTED_VALUE"""),"Malik")</f>
        <v>Malik</v>
      </c>
      <c r="D411" s="106" t="str">
        <f>IFERROR(__xludf.DUMMYFUNCTION("""COMPUTED_VALUE"""),"702337422")</f>
        <v>702337422</v>
      </c>
      <c r="E411" s="106" t="str">
        <f>IFERROR(__xludf.DUMMYFUNCTION("""COMPUTED_VALUE"""),"N")</f>
        <v>N</v>
      </c>
      <c r="F411" s="106" t="str">
        <f>IFERROR(__xludf.DUMMYFUNCTION("""COMPUTED_VALUE"""),"Lesa Fashion")</f>
        <v>Lesa Fashion</v>
      </c>
      <c r="G411" s="106" t="str">
        <f>IFERROR(__xludf.DUMMYFUNCTION("""COMPUTED_VALUE"""),"A4581256")</f>
        <v>A4581256</v>
      </c>
      <c r="H411" s="106" t="str">
        <f>IFERROR(__xludf.DUMMYFUNCTION("""COMPUTED_VALUE"""),"Some Details/Exchange Barcode Number")</f>
        <v>Some Details/Exchange Barcode Number</v>
      </c>
      <c r="I411" s="106" t="str">
        <f>IFERROR(__xludf.DUMMYFUNCTION("""COMPUTED_VALUE"""),"Ja-Ela")</f>
        <v>Ja-Ela</v>
      </c>
      <c r="J411" s="106" t="str">
        <f>IFERROR(__xludf.DUMMYFUNCTION("""COMPUTED_VALUE"""),"Returned To Branch Failed To Deliver")</f>
        <v>Returned To Branch Failed To Deliver</v>
      </c>
      <c r="K411" s="106" t="str">
        <f>IFERROR(__xludf.DUMMYFUNCTION("""COMPUTED_VALUE"""),"Customer Care")</f>
        <v>Customer Care</v>
      </c>
      <c r="L411" s="106" t="str">
        <f>IFERROR(__xludf.DUMMYFUNCTION("""COMPUTED_VALUE"""),"Number Given")</f>
        <v>Number Given</v>
      </c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>
      <c r="A412" s="82"/>
      <c r="B412" s="98" t="str">
        <f>IFERROR(__xludf.DUMMYFUNCTION("""COMPUTED_VALUE"""),"341")</f>
        <v>341</v>
      </c>
      <c r="C412" s="98" t="str">
        <f>IFERROR(__xludf.DUMMYFUNCTION("""COMPUTED_VALUE"""),"Umesha")</f>
        <v>Umesha</v>
      </c>
      <c r="D412" s="98" t="str">
        <f>IFERROR(__xludf.DUMMYFUNCTION("""COMPUTED_VALUE"""),"762064417")</f>
        <v>762064417</v>
      </c>
      <c r="E412" s="98" t="str">
        <f>IFERROR(__xludf.DUMMYFUNCTION("""COMPUTED_VALUE"""),"N")</f>
        <v>N</v>
      </c>
      <c r="F412" s="98" t="str">
        <f>IFERROR(__xludf.DUMMYFUNCTION("""COMPUTED_VALUE"""),"The Axon")</f>
        <v>The Axon</v>
      </c>
      <c r="G412" s="98" t="str">
        <f>IFERROR(__xludf.DUMMYFUNCTION("""COMPUTED_VALUE"""),"BE095056")</f>
        <v>BE095056</v>
      </c>
      <c r="H412" s="98" t="str">
        <f>IFERROR(__xludf.DUMMYFUNCTION("""COMPUTED_VALUE"""),"Top Urgent Today")</f>
        <v>Top Urgent Today</v>
      </c>
      <c r="I412" s="98" t="str">
        <f>IFERROR(__xludf.DUMMYFUNCTION("""COMPUTED_VALUE"""),"Padukka")</f>
        <v>Padukka</v>
      </c>
      <c r="J412" s="98" t="str">
        <f>IFERROR(__xludf.DUMMYFUNCTION("""COMPUTED_VALUE"""),"Out For Delivery")</f>
        <v>Out For Delivery</v>
      </c>
      <c r="K412" s="98" t="str">
        <f>IFERROR(__xludf.DUMMYFUNCTION("""COMPUTED_VALUE"""),"Branch Operations")</f>
        <v>Branch Operations</v>
      </c>
      <c r="L412" s="98" t="str">
        <f>IFERROR(__xludf.DUMMYFUNCTION("""COMPUTED_VALUE"""),"Informed Branch")</f>
        <v>Informed Branch</v>
      </c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>
      <c r="A413" s="82"/>
      <c r="B413" s="106" t="str">
        <f>IFERROR(__xludf.DUMMYFUNCTION("""COMPUTED_VALUE"""),"342")</f>
        <v>342</v>
      </c>
      <c r="C413" s="106" t="str">
        <f>IFERROR(__xludf.DUMMYFUNCTION("""COMPUTED_VALUE"""),"Umesha")</f>
        <v>Umesha</v>
      </c>
      <c r="D413" s="106" t="str">
        <f>IFERROR(__xludf.DUMMYFUNCTION("""COMPUTED_VALUE"""),"712354035")</f>
        <v>712354035</v>
      </c>
      <c r="E413" s="106" t="str">
        <f>IFERROR(__xludf.DUMMYFUNCTION("""COMPUTED_VALUE"""),"N")</f>
        <v>N</v>
      </c>
      <c r="F413" s="106" t="str">
        <f>IFERROR(__xludf.DUMMYFUNCTION("""COMPUTED_VALUE"""),"Sahasra Products")</f>
        <v>Sahasra Products</v>
      </c>
      <c r="G413" s="106" t="str">
        <f>IFERROR(__xludf.DUMMYFUNCTION("""COMPUTED_VALUE"""),"BE073829")</f>
        <v>BE073829</v>
      </c>
      <c r="H413" s="106" t="str">
        <f>IFERROR(__xludf.DUMMYFUNCTION("""COMPUTED_VALUE"""),"712354035 - Customer Requested Re-Delivery. Please Arrange It For Tomorrow.")</f>
        <v>712354035 - Customer Requested Re-Delivery. Please Arrange It For Tomorrow.</v>
      </c>
      <c r="I413" s="106" t="str">
        <f>IFERROR(__xludf.DUMMYFUNCTION("""COMPUTED_VALUE"""),"Gampaha")</f>
        <v>Gampaha</v>
      </c>
      <c r="J413" s="106" t="str">
        <f>IFERROR(__xludf.DUMMYFUNCTION("""COMPUTED_VALUE"""),"Out For Delivery")</f>
        <v>Out For Delivery</v>
      </c>
      <c r="K413" s="106" t="str">
        <f>IFERROR(__xludf.DUMMYFUNCTION("""COMPUTED_VALUE"""),"Branch Operations")</f>
        <v>Branch Operations</v>
      </c>
      <c r="L413" s="106" t="str">
        <f>IFERROR(__xludf.DUMMYFUNCTION("""COMPUTED_VALUE"""),"Informed Branch")</f>
        <v>Informed Branch</v>
      </c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>
      <c r="A414" s="82"/>
      <c r="B414" s="98" t="str">
        <f>IFERROR(__xludf.DUMMYFUNCTION("""COMPUTED_VALUE"""),"343")</f>
        <v>343</v>
      </c>
      <c r="C414" s="98" t="str">
        <f>IFERROR(__xludf.DUMMYFUNCTION("""COMPUTED_VALUE"""),"Umesha")</f>
        <v>Umesha</v>
      </c>
      <c r="D414" s="98" t="str">
        <f>IFERROR(__xludf.DUMMYFUNCTION("""COMPUTED_VALUE"""),"765660973")</f>
        <v>765660973</v>
      </c>
      <c r="E414" s="98" t="str">
        <f>IFERROR(__xludf.DUMMYFUNCTION("""COMPUTED_VALUE"""),"N")</f>
        <v>N</v>
      </c>
      <c r="F414" s="98" t="str">
        <f>IFERROR(__xludf.DUMMYFUNCTION("""COMPUTED_VALUE"""),"Win Lanka")</f>
        <v>Win Lanka</v>
      </c>
      <c r="G414" s="98" t="str">
        <f>IFERROR(__xludf.DUMMYFUNCTION("""COMPUTED_VALUE"""),"BD902615")</f>
        <v>BD902615</v>
      </c>
      <c r="H414" s="98" t="str">
        <f>IFERROR(__xludf.DUMMYFUNCTION("""COMPUTED_VALUE"""),"765660973 - Customer Requested Re-Delivery. Please Arrange It For Tomorrow.")</f>
        <v>765660973 - Customer Requested Re-Delivery. Please Arrange It For Tomorrow.</v>
      </c>
      <c r="I414" s="98" t="str">
        <f>IFERROR(__xludf.DUMMYFUNCTION("""COMPUTED_VALUE"""),"Ambalangoda")</f>
        <v>Ambalangoda</v>
      </c>
      <c r="J414" s="98" t="str">
        <f>IFERROR(__xludf.DUMMYFUNCTION("""COMPUTED_VALUE"""),"Returned To Branch Failed To Deliver")</f>
        <v>Returned To Branch Failed To Deliver</v>
      </c>
      <c r="K414" s="98" t="str">
        <f>IFERROR(__xludf.DUMMYFUNCTION("""COMPUTED_VALUE"""),"Branch Operations")</f>
        <v>Branch Operations</v>
      </c>
      <c r="L414" s="98" t="str">
        <f>IFERROR(__xludf.DUMMYFUNCTION("""COMPUTED_VALUE"""),"Informed Branch")</f>
        <v>Informed Branch</v>
      </c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>
      <c r="A415" s="82"/>
      <c r="B415" s="106" t="str">
        <f>IFERROR(__xludf.DUMMYFUNCTION("""COMPUTED_VALUE"""),"423")</f>
        <v>423</v>
      </c>
      <c r="C415" s="106" t="str">
        <f>IFERROR(__xludf.DUMMYFUNCTION("""COMPUTED_VALUE"""),"Malik")</f>
        <v>Malik</v>
      </c>
      <c r="D415" s="106" t="str">
        <f>IFERROR(__xludf.DUMMYFUNCTION("""COMPUTED_VALUE"""),"765779370")</f>
        <v>765779370</v>
      </c>
      <c r="E415" s="106" t="str">
        <f>IFERROR(__xludf.DUMMYFUNCTION("""COMPUTED_VALUE"""),"Y")</f>
        <v>Y</v>
      </c>
      <c r="F415" s="106" t="str">
        <f>IFERROR(__xludf.DUMMYFUNCTION("""COMPUTED_VALUE"""),"Hk Fashion Mirigama")</f>
        <v>Hk Fashion Mirigama</v>
      </c>
      <c r="G415" s="106" t="str">
        <f>IFERROR(__xludf.DUMMYFUNCTION("""COMPUTED_VALUE"""),"A4157598")</f>
        <v>A4157598</v>
      </c>
      <c r="H415" s="106" t="str">
        <f>IFERROR(__xludf.DUMMYFUNCTION("""COMPUTED_VALUE"""),"No Proper Details")</f>
        <v>No Proper Details</v>
      </c>
      <c r="I415" s="106" t="str">
        <f>IFERROR(__xludf.DUMMYFUNCTION("""COMPUTED_VALUE"""),"Ja-Ela")</f>
        <v>Ja-Ela</v>
      </c>
      <c r="J415" s="106" t="str">
        <f>IFERROR(__xludf.DUMMYFUNCTION("""COMPUTED_VALUE"""),"Returned To Branch Failed To Deliver")</f>
        <v>Returned To Branch Failed To Deliver</v>
      </c>
      <c r="K415" s="106" t="str">
        <f>IFERROR(__xludf.DUMMYFUNCTION("""COMPUTED_VALUE"""),"Customer Care")</f>
        <v>Customer Care</v>
      </c>
      <c r="L415" s="106" t="str">
        <f>IFERROR(__xludf.DUMMYFUNCTION("""COMPUTED_VALUE"""),"Details Given/ Info Branch")</f>
        <v>Details Given/ Info Branch</v>
      </c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>
      <c r="A416" s="82"/>
      <c r="B416" s="98" t="str">
        <f>IFERROR(__xludf.DUMMYFUNCTION("""COMPUTED_VALUE"""),"424")</f>
        <v>424</v>
      </c>
      <c r="C416" s="98" t="str">
        <f>IFERROR(__xludf.DUMMYFUNCTION("""COMPUTED_VALUE"""),"Malik")</f>
        <v>Malik</v>
      </c>
      <c r="D416" s="98" t="str">
        <f>IFERROR(__xludf.DUMMYFUNCTION("""COMPUTED_VALUE"""),"760486453")</f>
        <v>760486453</v>
      </c>
      <c r="E416" s="98" t="str">
        <f>IFERROR(__xludf.DUMMYFUNCTION("""COMPUTED_VALUE"""),"N")</f>
        <v>N</v>
      </c>
      <c r="F416" s="98" t="str">
        <f>IFERROR(__xludf.DUMMYFUNCTION("""COMPUTED_VALUE"""),"Hk Fashion Mirigama")</f>
        <v>Hk Fashion Mirigama</v>
      </c>
      <c r="G416" s="98" t="str">
        <f>IFERROR(__xludf.DUMMYFUNCTION("""COMPUTED_VALUE"""),"A4157598")</f>
        <v>A4157598</v>
      </c>
      <c r="H416" s="98" t="str">
        <f>IFERROR(__xludf.DUMMYFUNCTION("""COMPUTED_VALUE"""),"No Proper Details")</f>
        <v>No Proper Details</v>
      </c>
      <c r="I416" s="98" t="str">
        <f>IFERROR(__xludf.DUMMYFUNCTION("""COMPUTED_VALUE"""),"Ja-Ela")</f>
        <v>Ja-Ela</v>
      </c>
      <c r="J416" s="98" t="str">
        <f>IFERROR(__xludf.DUMMYFUNCTION("""COMPUTED_VALUE"""),"Returned To Branch Failed To Deliver")</f>
        <v>Returned To Branch Failed To Deliver</v>
      </c>
      <c r="K416" s="98" t="str">
        <f>IFERROR(__xludf.DUMMYFUNCTION("""COMPUTED_VALUE"""),"Customer Care")</f>
        <v>Customer Care</v>
      </c>
      <c r="L416" s="98" t="str">
        <f>IFERROR(__xludf.DUMMYFUNCTION("""COMPUTED_VALUE"""),"Location Send")</f>
        <v>Location Send</v>
      </c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>
      <c r="A417" s="82"/>
      <c r="B417" s="106" t="str">
        <f>IFERROR(__xludf.DUMMYFUNCTION("""COMPUTED_VALUE"""),"365")</f>
        <v>365</v>
      </c>
      <c r="C417" s="106" t="str">
        <f>IFERROR(__xludf.DUMMYFUNCTION("""COMPUTED_VALUE"""),"Umesha")</f>
        <v>Umesha</v>
      </c>
      <c r="D417" s="106" t="str">
        <f>IFERROR(__xludf.DUMMYFUNCTION("""COMPUTED_VALUE"""),"773770294")</f>
        <v>773770294</v>
      </c>
      <c r="E417" s="106" t="str">
        <f>IFERROR(__xludf.DUMMYFUNCTION("""COMPUTED_VALUE"""),"N")</f>
        <v>N</v>
      </c>
      <c r="F417" s="106" t="str">
        <f>IFERROR(__xludf.DUMMYFUNCTION("""COMPUTED_VALUE"""),"Happyfly")</f>
        <v>Happyfly</v>
      </c>
      <c r="G417" s="106" t="str">
        <f>IFERROR(__xludf.DUMMYFUNCTION("""COMPUTED_VALUE"""),"BE134469")</f>
        <v>BE134469</v>
      </c>
      <c r="H417" s="106" t="str">
        <f>IFERROR(__xludf.DUMMYFUNCTION("""COMPUTED_VALUE"""),"Ask Nuwara Eliya Branch Number")</f>
        <v>Ask Nuwara Eliya Branch Number</v>
      </c>
      <c r="I417" s="106" t="str">
        <f>IFERROR(__xludf.DUMMYFUNCTION("""COMPUTED_VALUE"""),"Gampaha")</f>
        <v>Gampaha</v>
      </c>
      <c r="J417" s="106" t="str">
        <f>IFERROR(__xludf.DUMMYFUNCTION("""COMPUTED_VALUE"""),"Out For Delivery")</f>
        <v>Out For Delivery</v>
      </c>
      <c r="K417" s="106" t="str">
        <f>IFERROR(__xludf.DUMMYFUNCTION("""COMPUTED_VALUE"""),"Customer Care")</f>
        <v>Customer Care</v>
      </c>
      <c r="L417" s="106" t="str">
        <f>IFERROR(__xludf.DUMMYFUNCTION("""COMPUTED_VALUE"""),"Given Number")</f>
        <v>Given Number</v>
      </c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>
      <c r="A418" s="82"/>
      <c r="B418" s="98" t="str">
        <f>IFERROR(__xludf.DUMMYFUNCTION("""COMPUTED_VALUE"""),"426")</f>
        <v>426</v>
      </c>
      <c r="C418" s="98" t="str">
        <f>IFERROR(__xludf.DUMMYFUNCTION("""COMPUTED_VALUE"""),"Malik")</f>
        <v>Malik</v>
      </c>
      <c r="D418" s="98" t="str">
        <f>IFERROR(__xludf.DUMMYFUNCTION("""COMPUTED_VALUE"""),"774296560")</f>
        <v>774296560</v>
      </c>
      <c r="E418" s="98" t="str">
        <f>IFERROR(__xludf.DUMMYFUNCTION("""COMPUTED_VALUE"""),"N")</f>
        <v>N</v>
      </c>
      <c r="F418" s="108" t="str">
        <f>IFERROR(__xludf.DUMMYFUNCTION("""COMPUTED_VALUE"""),"Basues.Lk")</f>
        <v>Basues.Lk</v>
      </c>
      <c r="G418" s="98" t="str">
        <f>IFERROR(__xludf.DUMMYFUNCTION("""COMPUTED_VALUE"""),"A3029315")</f>
        <v>A3029315</v>
      </c>
      <c r="H418" s="98" t="str">
        <f>IFERROR(__xludf.DUMMYFUNCTION("""COMPUTED_VALUE"""),"Some Details /Delivery")</f>
        <v>Some Details /Delivery</v>
      </c>
      <c r="I418" s="98" t="str">
        <f>IFERROR(__xludf.DUMMYFUNCTION("""COMPUTED_VALUE"""),"Nittambuwa")</f>
        <v>Nittambuwa</v>
      </c>
      <c r="J418" s="98" t="str">
        <f>IFERROR(__xludf.DUMMYFUNCTION("""COMPUTED_VALUE"""),"Returned To Branch Rescheduled")</f>
        <v>Returned To Branch Rescheduled</v>
      </c>
      <c r="K418" s="98" t="str">
        <f>IFERROR(__xludf.DUMMYFUNCTION("""COMPUTED_VALUE"""),"Customer Care")</f>
        <v>Customer Care</v>
      </c>
      <c r="L418" s="98" t="str">
        <f>IFERROR(__xludf.DUMMYFUNCTION("""COMPUTED_VALUE"""),"Details Given/ Info Branch Phone")</f>
        <v>Details Given/ Info Branch Phone</v>
      </c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>
      <c r="A419" s="82"/>
      <c r="B419" s="106" t="str">
        <f>IFERROR(__xludf.DUMMYFUNCTION("""COMPUTED_VALUE"""),"348")</f>
        <v>348</v>
      </c>
      <c r="C419" s="106" t="str">
        <f>IFERROR(__xludf.DUMMYFUNCTION("""COMPUTED_VALUE"""),"Umesha")</f>
        <v>Umesha</v>
      </c>
      <c r="D419" s="106" t="str">
        <f>IFERROR(__xludf.DUMMYFUNCTION("""COMPUTED_VALUE"""),"741005782")</f>
        <v>741005782</v>
      </c>
      <c r="E419" s="106" t="str">
        <f>IFERROR(__xludf.DUMMYFUNCTION("""COMPUTED_VALUE"""),"Y")</f>
        <v>Y</v>
      </c>
      <c r="F419" s="107" t="str">
        <f>IFERROR(__xludf.DUMMYFUNCTION("""COMPUTED_VALUE"""),"Basues.Lk")</f>
        <v>Basues.Lk</v>
      </c>
      <c r="G419" s="106" t="str">
        <f>IFERROR(__xludf.DUMMYFUNCTION("""COMPUTED_VALUE"""),"A3029315")</f>
        <v>A3029315</v>
      </c>
      <c r="H419" s="106" t="str">
        <f>IFERROR(__xludf.DUMMYFUNCTION("""COMPUTED_VALUE"""),"System Issue")</f>
        <v>System Issue</v>
      </c>
      <c r="I419" s="106" t="str">
        <f>IFERROR(__xludf.DUMMYFUNCTION("""COMPUTED_VALUE"""),"Mathugama")</f>
        <v>Mathugama</v>
      </c>
      <c r="J419" s="106" t="str">
        <f>IFERROR(__xludf.DUMMYFUNCTION("""COMPUTED_VALUE"""),"Returned To Branch Failed To Deliver")</f>
        <v>Returned To Branch Failed To Deliver</v>
      </c>
      <c r="K419" s="106" t="str">
        <f>IFERROR(__xludf.DUMMYFUNCTION("""COMPUTED_VALUE"""),"Sales")</f>
        <v>Sales</v>
      </c>
      <c r="L419" s="106" t="str">
        <f>IFERROR(__xludf.DUMMYFUNCTION("""COMPUTED_VALUE"""),"Call Transfer Sales Department")</f>
        <v>Call Transfer Sales Department</v>
      </c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>
      <c r="A420" s="82"/>
      <c r="B420" s="98" t="str">
        <f>IFERROR(__xludf.DUMMYFUNCTION("""COMPUTED_VALUE"""),"428")</f>
        <v>428</v>
      </c>
      <c r="C420" s="98" t="str">
        <f>IFERROR(__xludf.DUMMYFUNCTION("""COMPUTED_VALUE"""),"Malik")</f>
        <v>Malik</v>
      </c>
      <c r="D420" s="98" t="str">
        <f>IFERROR(__xludf.DUMMYFUNCTION("""COMPUTED_VALUE"""),"743530160")</f>
        <v>743530160</v>
      </c>
      <c r="E420" s="98" t="str">
        <f>IFERROR(__xludf.DUMMYFUNCTION("""COMPUTED_VALUE"""),"Y")</f>
        <v>Y</v>
      </c>
      <c r="F420" s="98" t="str">
        <f>IFERROR(__xludf.DUMMYFUNCTION("""COMPUTED_VALUE"""),"Thiyora Boutique")</f>
        <v>Thiyora Boutique</v>
      </c>
      <c r="G420" s="98" t="str">
        <f>IFERROR(__xludf.DUMMYFUNCTION("""COMPUTED_VALUE"""),"A4395705")</f>
        <v>A4395705</v>
      </c>
      <c r="H420" s="98" t="str">
        <f>IFERROR(__xludf.DUMMYFUNCTION("""COMPUTED_VALUE"""),"Some Details /Destination")</f>
        <v>Some Details /Destination</v>
      </c>
      <c r="I420" s="98" t="str">
        <f>IFERROR(__xludf.DUMMYFUNCTION("""COMPUTED_VALUE"""),"Ja-Ela")</f>
        <v>Ja-Ela</v>
      </c>
      <c r="J420" s="98" t="str">
        <f>IFERROR(__xludf.DUMMYFUNCTION("""COMPUTED_VALUE"""),"Out For Delivery")</f>
        <v>Out For Delivery</v>
      </c>
      <c r="K420" s="98" t="str">
        <f>IFERROR(__xludf.DUMMYFUNCTION("""COMPUTED_VALUE"""),"Customer Care")</f>
        <v>Customer Care</v>
      </c>
      <c r="L420" s="98" t="str">
        <f>IFERROR(__xludf.DUMMYFUNCTION("""COMPUTED_VALUE"""),"Details Given/ Called Back Number Busy")</f>
        <v>Details Given/ Called Back Number Busy</v>
      </c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>
      <c r="A421" s="82"/>
      <c r="B421" s="106" t="str">
        <f>IFERROR(__xludf.DUMMYFUNCTION("""COMPUTED_VALUE"""),"429")</f>
        <v>429</v>
      </c>
      <c r="C421" s="106" t="str">
        <f>IFERROR(__xludf.DUMMYFUNCTION("""COMPUTED_VALUE"""),"Malik")</f>
        <v>Malik</v>
      </c>
      <c r="D421" s="106" t="str">
        <f>IFERROR(__xludf.DUMMYFUNCTION("""COMPUTED_VALUE"""),"743530160")</f>
        <v>743530160</v>
      </c>
      <c r="E421" s="106" t="str">
        <f>IFERROR(__xludf.DUMMYFUNCTION("""COMPUTED_VALUE"""),"Y")</f>
        <v>Y</v>
      </c>
      <c r="F421" s="106" t="str">
        <f>IFERROR(__xludf.DUMMYFUNCTION("""COMPUTED_VALUE"""),"Thiyora Boutique")</f>
        <v>Thiyora Boutique</v>
      </c>
      <c r="G421" s="106" t="str">
        <f>IFERROR(__xludf.DUMMYFUNCTION("""COMPUTED_VALUE"""),"A4395705")</f>
        <v>A4395705</v>
      </c>
      <c r="H421" s="106" t="str">
        <f>IFERROR(__xludf.DUMMYFUNCTION("""COMPUTED_VALUE"""),"Some Details /Destination")</f>
        <v>Some Details /Destination</v>
      </c>
      <c r="I421" s="106" t="str">
        <f>IFERROR(__xludf.DUMMYFUNCTION("""COMPUTED_VALUE"""),"Ja-Ela")</f>
        <v>Ja-Ela</v>
      </c>
      <c r="J421" s="106" t="str">
        <f>IFERROR(__xludf.DUMMYFUNCTION("""COMPUTED_VALUE"""),"Out For Delivery")</f>
        <v>Out For Delivery</v>
      </c>
      <c r="K421" s="106" t="str">
        <f>IFERROR(__xludf.DUMMYFUNCTION("""COMPUTED_VALUE"""),"Customer Care")</f>
        <v>Customer Care</v>
      </c>
      <c r="L421" s="106" t="str">
        <f>IFERROR(__xludf.DUMMYFUNCTION("""COMPUTED_VALUE"""),"Details Given")</f>
        <v>Details Given</v>
      </c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>
      <c r="A422" s="82"/>
      <c r="B422" s="98" t="str">
        <f>IFERROR(__xludf.DUMMYFUNCTION("""COMPUTED_VALUE"""),"351")</f>
        <v>351</v>
      </c>
      <c r="C422" s="98" t="str">
        <f>IFERROR(__xludf.DUMMYFUNCTION("""COMPUTED_VALUE"""),"Umesha")</f>
        <v>Umesha</v>
      </c>
      <c r="D422" s="98" t="str">
        <f>IFERROR(__xludf.DUMMYFUNCTION("""COMPUTED_VALUE"""),"777805753")</f>
        <v>777805753</v>
      </c>
      <c r="E422" s="98" t="str">
        <f>IFERROR(__xludf.DUMMYFUNCTION("""COMPUTED_VALUE"""),"N")</f>
        <v>N</v>
      </c>
      <c r="F422" s="98" t="str">
        <f>IFERROR(__xludf.DUMMYFUNCTION("""COMPUTED_VALUE"""),"Neth Fashion Clothing")</f>
        <v>Neth Fashion Clothing</v>
      </c>
      <c r="G422" s="98" t="str">
        <f>IFERROR(__xludf.DUMMYFUNCTION("""COMPUTED_VALUE"""),"A4470093")</f>
        <v>A4470093</v>
      </c>
      <c r="H422" s="98" t="str">
        <f>IFERROR(__xludf.DUMMYFUNCTION("""COMPUTED_VALUE"""),"Arrange Delivery Tomorrow / Urgent")</f>
        <v>Arrange Delivery Tomorrow / Urgent</v>
      </c>
      <c r="I422" s="98" t="str">
        <f>IFERROR(__xludf.DUMMYFUNCTION("""COMPUTED_VALUE"""),"Colombo Metro")</f>
        <v>Colombo Metro</v>
      </c>
      <c r="J422" s="98" t="str">
        <f>IFERROR(__xludf.DUMMYFUNCTION("""COMPUTED_VALUE"""),"Returned To Branch Rescheduled")</f>
        <v>Returned To Branch Rescheduled</v>
      </c>
      <c r="K422" s="98" t="str">
        <f>IFERROR(__xludf.DUMMYFUNCTION("""COMPUTED_VALUE"""),"Branch Operations")</f>
        <v>Branch Operations</v>
      </c>
      <c r="L422" s="98" t="str">
        <f>IFERROR(__xludf.DUMMYFUNCTION("""COMPUTED_VALUE"""),"Informed Branch And Rm")</f>
        <v>Informed Branch And Rm</v>
      </c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>
      <c r="A423" s="82"/>
      <c r="B423" s="106" t="str">
        <f>IFERROR(__xludf.DUMMYFUNCTION("""COMPUTED_VALUE"""),"431")</f>
        <v>431</v>
      </c>
      <c r="C423" s="106" t="str">
        <f>IFERROR(__xludf.DUMMYFUNCTION("""COMPUTED_VALUE"""),"Malik")</f>
        <v>Malik</v>
      </c>
      <c r="D423" s="106" t="str">
        <f>IFERROR(__xludf.DUMMYFUNCTION("""COMPUTED_VALUE"""),"771273759")</f>
        <v>771273759</v>
      </c>
      <c r="E423" s="106" t="str">
        <f>IFERROR(__xludf.DUMMYFUNCTION("""COMPUTED_VALUE"""),"N")</f>
        <v>N</v>
      </c>
      <c r="F423" s="106" t="str">
        <f>IFERROR(__xludf.DUMMYFUNCTION("""COMPUTED_VALUE"""),"Milano Holdings")</f>
        <v>Milano Holdings</v>
      </c>
      <c r="G423" s="106" t="str">
        <f>IFERROR(__xludf.DUMMYFUNCTION("""COMPUTED_VALUE"""),"BD691709")</f>
        <v>BD691709</v>
      </c>
      <c r="H423" s="106" t="str">
        <f>IFERROR(__xludf.DUMMYFUNCTION("""COMPUTED_VALUE"""),"Customer Want Return This Package/ Already Informed/Remark Issue")</f>
        <v>Customer Want Return This Package/ Already Informed/Remark Issue</v>
      </c>
      <c r="I423" s="106" t="str">
        <f>IFERROR(__xludf.DUMMYFUNCTION("""COMPUTED_VALUE"""),"Negombo")</f>
        <v>Negombo</v>
      </c>
      <c r="J423" s="106" t="str">
        <f>IFERROR(__xludf.DUMMYFUNCTION("""COMPUTED_VALUE"""),"Returned To Branch Failed To Deliver")</f>
        <v>Returned To Branch Failed To Deliver</v>
      </c>
      <c r="K423" s="106" t="str">
        <f>IFERROR(__xludf.DUMMYFUNCTION("""COMPUTED_VALUE"""),"Customer Care")</f>
        <v>Customer Care</v>
      </c>
      <c r="L423" s="106" t="str">
        <f>IFERROR(__xludf.DUMMYFUNCTION("""COMPUTED_VALUE"""),"Details Given")</f>
        <v>Details Given</v>
      </c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>
      <c r="A424" s="82"/>
      <c r="B424" s="98" t="str">
        <f>IFERROR(__xludf.DUMMYFUNCTION("""COMPUTED_VALUE"""),"353")</f>
        <v>353</v>
      </c>
      <c r="C424" s="98" t="str">
        <f>IFERROR(__xludf.DUMMYFUNCTION("""COMPUTED_VALUE"""),"Umesha")</f>
        <v>Umesha</v>
      </c>
      <c r="D424" s="98" t="str">
        <f>IFERROR(__xludf.DUMMYFUNCTION("""COMPUTED_VALUE"""),"778694249")</f>
        <v>778694249</v>
      </c>
      <c r="E424" s="98" t="str">
        <f>IFERROR(__xludf.DUMMYFUNCTION("""COMPUTED_VALUE"""),"N")</f>
        <v>N</v>
      </c>
      <c r="F424" s="98" t="str">
        <f>IFERROR(__xludf.DUMMYFUNCTION("""COMPUTED_VALUE"""),"Thiyora Boutique")</f>
        <v>Thiyora Boutique</v>
      </c>
      <c r="G424" s="98" t="str">
        <f>IFERROR(__xludf.DUMMYFUNCTION("""COMPUTED_VALUE"""),"A4395705")</f>
        <v>A4395705</v>
      </c>
      <c r="H424" s="98" t="str">
        <f>IFERROR(__xludf.DUMMYFUNCTION("""COMPUTED_VALUE"""),"No Responce Mid Way")</f>
        <v>No Responce Mid Way</v>
      </c>
      <c r="I424" s="98" t="str">
        <f>IFERROR(__xludf.DUMMYFUNCTION("""COMPUTED_VALUE"""),"Ja-Ela")</f>
        <v>Ja-Ela</v>
      </c>
      <c r="J424" s="98" t="str">
        <f>IFERROR(__xludf.DUMMYFUNCTION("""COMPUTED_VALUE"""),"Out For Delivery")</f>
        <v>Out For Delivery</v>
      </c>
      <c r="K424" s="98" t="str">
        <f>IFERROR(__xludf.DUMMYFUNCTION("""COMPUTED_VALUE"""),"Customer Care")</f>
        <v>Customer Care</v>
      </c>
      <c r="L424" s="98" t="str">
        <f>IFERROR(__xludf.DUMMYFUNCTION("""COMPUTED_VALUE"""),"Informed Malik")</f>
        <v>Informed Malik</v>
      </c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>
      <c r="A425" s="82"/>
      <c r="B425" s="106" t="str">
        <f>IFERROR(__xludf.DUMMYFUNCTION("""COMPUTED_VALUE"""),"433")</f>
        <v>433</v>
      </c>
      <c r="C425" s="106" t="str">
        <f>IFERROR(__xludf.DUMMYFUNCTION("""COMPUTED_VALUE"""),"Malik")</f>
        <v>Malik</v>
      </c>
      <c r="D425" s="106" t="str">
        <f>IFERROR(__xludf.DUMMYFUNCTION("""COMPUTED_VALUE"""),"773719168")</f>
        <v>773719168</v>
      </c>
      <c r="E425" s="106" t="str">
        <f>IFERROR(__xludf.DUMMYFUNCTION("""COMPUTED_VALUE"""),"N")</f>
        <v>N</v>
      </c>
      <c r="F425" s="106" t="str">
        <f>IFERROR(__xludf.DUMMYFUNCTION("""COMPUTED_VALUE"""),"Sahasra Team")</f>
        <v>Sahasra Team</v>
      </c>
      <c r="G425" s="106" t="str">
        <f>IFERROR(__xludf.DUMMYFUNCTION("""COMPUTED_VALUE"""),"BA770261")</f>
        <v>BA770261</v>
      </c>
      <c r="H425" s="106" t="str">
        <f>IFERROR(__xludf.DUMMYFUNCTION("""COMPUTED_VALUE"""),"Some Details /Delivery")</f>
        <v>Some Details /Delivery</v>
      </c>
      <c r="I425" s="106" t="str">
        <f>IFERROR(__xludf.DUMMYFUNCTION("""COMPUTED_VALUE"""),"Kahatagasdigiliya")</f>
        <v>Kahatagasdigiliya</v>
      </c>
      <c r="J425" s="106" t="str">
        <f>IFERROR(__xludf.DUMMYFUNCTION("""COMPUTED_VALUE"""),"Delivered")</f>
        <v>Delivered</v>
      </c>
      <c r="K425" s="106" t="str">
        <f>IFERROR(__xludf.DUMMYFUNCTION("""COMPUTED_VALUE"""),"Customer Care")</f>
        <v>Customer Care</v>
      </c>
      <c r="L425" s="106" t="str">
        <f>IFERROR(__xludf.DUMMYFUNCTION("""COMPUTED_VALUE"""),"Details Given/ Call Transfered")</f>
        <v>Details Given/ Call Transfered</v>
      </c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>
      <c r="A426" s="82"/>
      <c r="B426" s="98" t="str">
        <f>IFERROR(__xludf.DUMMYFUNCTION("""COMPUTED_VALUE"""),"434")</f>
        <v>434</v>
      </c>
      <c r="C426" s="98" t="str">
        <f>IFERROR(__xludf.DUMMYFUNCTION("""COMPUTED_VALUE"""),"Malik")</f>
        <v>Malik</v>
      </c>
      <c r="D426" s="98" t="str">
        <f>IFERROR(__xludf.DUMMYFUNCTION("""COMPUTED_VALUE"""),"776346403")</f>
        <v>776346403</v>
      </c>
      <c r="E426" s="98" t="str">
        <f>IFERROR(__xludf.DUMMYFUNCTION("""COMPUTED_VALUE"""),"N")</f>
        <v>N</v>
      </c>
      <c r="F426" s="98" t="str">
        <f>IFERROR(__xludf.DUMMYFUNCTION("""COMPUTED_VALUE"""),"Sahasra Team")</f>
        <v>Sahasra Team</v>
      </c>
      <c r="G426" s="98" t="str">
        <f>IFERROR(__xludf.DUMMYFUNCTION("""COMPUTED_VALUE"""),"BA770261")</f>
        <v>BA770261</v>
      </c>
      <c r="H426" s="98" t="str">
        <f>IFERROR(__xludf.DUMMYFUNCTION("""COMPUTED_VALUE"""),"Call Wrapped")</f>
        <v>Call Wrapped</v>
      </c>
      <c r="I426" s="98" t="str">
        <f>IFERROR(__xludf.DUMMYFUNCTION("""COMPUTED_VALUE"""),"Kahatagasdigiliya")</f>
        <v>Kahatagasdigiliya</v>
      </c>
      <c r="J426" s="98" t="str">
        <f>IFERROR(__xludf.DUMMYFUNCTION("""COMPUTED_VALUE"""),"Delivered")</f>
        <v>Delivered</v>
      </c>
      <c r="K426" s="98" t="str">
        <f>IFERROR(__xludf.DUMMYFUNCTION("""COMPUTED_VALUE"""),"Customer Care")</f>
        <v>Customer Care</v>
      </c>
      <c r="L426" s="98" t="str">
        <f>IFERROR(__xludf.DUMMYFUNCTION("""COMPUTED_VALUE"""),"Call Wrapped")</f>
        <v>Call Wrapped</v>
      </c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>
      <c r="A427" s="82"/>
      <c r="B427" s="106" t="str">
        <f>IFERROR(__xludf.DUMMYFUNCTION("""COMPUTED_VALUE"""),"375")</f>
        <v>375</v>
      </c>
      <c r="C427" s="106" t="str">
        <f>IFERROR(__xludf.DUMMYFUNCTION("""COMPUTED_VALUE"""),"Umesha")</f>
        <v>Umesha</v>
      </c>
      <c r="D427" s="106" t="str">
        <f>IFERROR(__xludf.DUMMYFUNCTION("""COMPUTED_VALUE"""),"734784420")</f>
        <v>734784420</v>
      </c>
      <c r="E427" s="106" t="str">
        <f>IFERROR(__xludf.DUMMYFUNCTION("""COMPUTED_VALUE"""),"Y")</f>
        <v>Y</v>
      </c>
      <c r="F427" s="106" t="str">
        <f>IFERROR(__xludf.DUMMYFUNCTION("""COMPUTED_VALUE"""),"P &amp; S Help Investment Pvt(Ltd)")</f>
        <v>P &amp; S Help Investment Pvt(Ltd)</v>
      </c>
      <c r="G427" s="106" t="str">
        <f>IFERROR(__xludf.DUMMYFUNCTION("""COMPUTED_VALUE"""),"BE056181")</f>
        <v>BE056181</v>
      </c>
      <c r="H427" s="106" t="str">
        <f>IFERROR(__xludf.DUMMYFUNCTION("""COMPUTED_VALUE"""),"Re Delivery")</f>
        <v>Re Delivery</v>
      </c>
      <c r="I427" s="106" t="str">
        <f>IFERROR(__xludf.DUMMYFUNCTION("""COMPUTED_VALUE"""),"Colombo Metro")</f>
        <v>Colombo Metro</v>
      </c>
      <c r="J427" s="106" t="str">
        <f>IFERROR(__xludf.DUMMYFUNCTION("""COMPUTED_VALUE"""),"Returned To Branch Rescheduled")</f>
        <v>Returned To Branch Rescheduled</v>
      </c>
      <c r="K427" s="106" t="str">
        <f>IFERROR(__xludf.DUMMYFUNCTION("""COMPUTED_VALUE"""),"Customer Care")</f>
        <v>Customer Care</v>
      </c>
      <c r="L427" s="106" t="str">
        <f>IFERROR(__xludf.DUMMYFUNCTION("""COMPUTED_VALUE"""),"Done")</f>
        <v>Done</v>
      </c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>
      <c r="A428" s="82"/>
      <c r="B428" s="98" t="str">
        <f>IFERROR(__xludf.DUMMYFUNCTION("""COMPUTED_VALUE"""),"357")</f>
        <v>357</v>
      </c>
      <c r="C428" s="98" t="str">
        <f>IFERROR(__xludf.DUMMYFUNCTION("""COMPUTED_VALUE"""),"Umesha")</f>
        <v>Umesha</v>
      </c>
      <c r="D428" s="98" t="str">
        <f>IFERROR(__xludf.DUMMYFUNCTION("""COMPUTED_VALUE"""),"773096392")</f>
        <v>773096392</v>
      </c>
      <c r="E428" s="98" t="str">
        <f>IFERROR(__xludf.DUMMYFUNCTION("""COMPUTED_VALUE"""),"N")</f>
        <v>N</v>
      </c>
      <c r="F428" s="98" t="str">
        <f>IFERROR(__xludf.DUMMYFUNCTION("""COMPUTED_VALUE"""),"Winpro Holdings")</f>
        <v>Winpro Holdings</v>
      </c>
      <c r="G428" s="98" t="str">
        <f>IFERROR(__xludf.DUMMYFUNCTION("""COMPUTED_VALUE"""),"BE095939")</f>
        <v>BE095939</v>
      </c>
      <c r="H428" s="98" t="str">
        <f>IFERROR(__xludf.DUMMYFUNCTION("""COMPUTED_VALUE"""),"Arrange Delivery Tomorrow / Urgent")</f>
        <v>Arrange Delivery Tomorrow / Urgent</v>
      </c>
      <c r="I428" s="98" t="str">
        <f>IFERROR(__xludf.DUMMYFUNCTION("""COMPUTED_VALUE"""),"Rajagiriya")</f>
        <v>Rajagiriya</v>
      </c>
      <c r="J428" s="98" t="str">
        <f>IFERROR(__xludf.DUMMYFUNCTION("""COMPUTED_VALUE"""),"Returned To Branch Rescheduled")</f>
        <v>Returned To Branch Rescheduled</v>
      </c>
      <c r="K428" s="98" t="str">
        <f>IFERROR(__xludf.DUMMYFUNCTION("""COMPUTED_VALUE"""),"Branch Operations")</f>
        <v>Branch Operations</v>
      </c>
      <c r="L428" s="98" t="str">
        <f>IFERROR(__xludf.DUMMYFUNCTION("""COMPUTED_VALUE"""),"Informed Branch")</f>
        <v>Informed Branch</v>
      </c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>
      <c r="A429" s="82"/>
      <c r="B429" s="106" t="str">
        <f>IFERROR(__xludf.DUMMYFUNCTION("""COMPUTED_VALUE"""),"377")</f>
        <v>377</v>
      </c>
      <c r="C429" s="106" t="str">
        <f>IFERROR(__xludf.DUMMYFUNCTION("""COMPUTED_VALUE"""),"Umesha")</f>
        <v>Umesha</v>
      </c>
      <c r="D429" s="106" t="str">
        <f>IFERROR(__xludf.DUMMYFUNCTION("""COMPUTED_VALUE"""),"744891303")</f>
        <v>744891303</v>
      </c>
      <c r="E429" s="106" t="str">
        <f>IFERROR(__xludf.DUMMYFUNCTION("""COMPUTED_VALUE"""),"Y")</f>
        <v>Y</v>
      </c>
      <c r="F429" s="106" t="str">
        <f>IFERROR(__xludf.DUMMYFUNCTION("""COMPUTED_VALUE"""),"Dream Cart")</f>
        <v>Dream Cart</v>
      </c>
      <c r="G429" s="106" t="str">
        <f>IFERROR(__xludf.DUMMYFUNCTION("""COMPUTED_VALUE"""),"BE097832")</f>
        <v>BE097832</v>
      </c>
      <c r="H429" s="106" t="str">
        <f>IFERROR(__xludf.DUMMYFUNCTION("""COMPUTED_VALUE"""),"Re Delivery")</f>
        <v>Re Delivery</v>
      </c>
      <c r="I429" s="106" t="str">
        <f>IFERROR(__xludf.DUMMYFUNCTION("""COMPUTED_VALUE"""),"Maradana")</f>
        <v>Maradana</v>
      </c>
      <c r="J429" s="106" t="str">
        <f>IFERROR(__xludf.DUMMYFUNCTION("""COMPUTED_VALUE"""),"Out For Delivery")</f>
        <v>Out For Delivery</v>
      </c>
      <c r="K429" s="106" t="str">
        <f>IFERROR(__xludf.DUMMYFUNCTION("""COMPUTED_VALUE"""),"Customer Care")</f>
        <v>Customer Care</v>
      </c>
      <c r="L429" s="106" t="str">
        <f>IFERROR(__xludf.DUMMYFUNCTION("""COMPUTED_VALUE"""),"Done")</f>
        <v>Done</v>
      </c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>
      <c r="A430" s="82"/>
      <c r="B430" s="98" t="str">
        <f>IFERROR(__xludf.DUMMYFUNCTION("""COMPUTED_VALUE"""),"378")</f>
        <v>378</v>
      </c>
      <c r="C430" s="98" t="str">
        <f>IFERROR(__xludf.DUMMYFUNCTION("""COMPUTED_VALUE"""),"Umesha")</f>
        <v>Umesha</v>
      </c>
      <c r="D430" s="98" t="str">
        <f>IFERROR(__xludf.DUMMYFUNCTION("""COMPUTED_VALUE"""),"743087827")</f>
        <v>743087827</v>
      </c>
      <c r="E430" s="98" t="str">
        <f>IFERROR(__xludf.DUMMYFUNCTION("""COMPUTED_VALUE"""),"Y")</f>
        <v>Y</v>
      </c>
      <c r="F430" s="98" t="str">
        <f>IFERROR(__xludf.DUMMYFUNCTION("""COMPUTED_VALUE"""),"Dream Cart")</f>
        <v>Dream Cart</v>
      </c>
      <c r="G430" s="98" t="str">
        <f>IFERROR(__xludf.DUMMYFUNCTION("""COMPUTED_VALUE"""),"BE054423")</f>
        <v>BE054423</v>
      </c>
      <c r="H430" s="98" t="str">
        <f>IFERROR(__xludf.DUMMYFUNCTION("""COMPUTED_VALUE"""),"Re Delivery")</f>
        <v>Re Delivery</v>
      </c>
      <c r="I430" s="98" t="str">
        <f>IFERROR(__xludf.DUMMYFUNCTION("""COMPUTED_VALUE"""),"Maradana")</f>
        <v>Maradana</v>
      </c>
      <c r="J430" s="98" t="str">
        <f>IFERROR(__xludf.DUMMYFUNCTION("""COMPUTED_VALUE"""),"Out For Delivery")</f>
        <v>Out For Delivery</v>
      </c>
      <c r="K430" s="98" t="str">
        <f>IFERROR(__xludf.DUMMYFUNCTION("""COMPUTED_VALUE"""),"Customer Care")</f>
        <v>Customer Care</v>
      </c>
      <c r="L430" s="98" t="str">
        <f>IFERROR(__xludf.DUMMYFUNCTION("""COMPUTED_VALUE"""),"Done")</f>
        <v>Done</v>
      </c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>
      <c r="A431" s="82"/>
      <c r="B431" s="106" t="str">
        <f>IFERROR(__xludf.DUMMYFUNCTION("""COMPUTED_VALUE"""),"379")</f>
        <v>379</v>
      </c>
      <c r="C431" s="106" t="str">
        <f>IFERROR(__xludf.DUMMYFUNCTION("""COMPUTED_VALUE"""),"Umesha")</f>
        <v>Umesha</v>
      </c>
      <c r="D431" s="106" t="str">
        <f>IFERROR(__xludf.DUMMYFUNCTION("""COMPUTED_VALUE"""),"742837603")</f>
        <v>742837603</v>
      </c>
      <c r="E431" s="106" t="str">
        <f>IFERROR(__xludf.DUMMYFUNCTION("""COMPUTED_VALUE"""),"Y")</f>
        <v>Y</v>
      </c>
      <c r="F431" s="107" t="str">
        <f>IFERROR(__xludf.DUMMYFUNCTION("""COMPUTED_VALUE"""),"Onelink.Lk")</f>
        <v>Onelink.Lk</v>
      </c>
      <c r="G431" s="106" t="str">
        <f>IFERROR(__xludf.DUMMYFUNCTION("""COMPUTED_VALUE"""),"BE066365")</f>
        <v>BE066365</v>
      </c>
      <c r="H431" s="106" t="str">
        <f>IFERROR(__xludf.DUMMYFUNCTION("""COMPUTED_VALUE"""),"No Proper Details")</f>
        <v>No Proper Details</v>
      </c>
      <c r="I431" s="106" t="str">
        <f>IFERROR(__xludf.DUMMYFUNCTION("""COMPUTED_VALUE"""),"Thalawathugoda")</f>
        <v>Thalawathugoda</v>
      </c>
      <c r="J431" s="106" t="str">
        <f>IFERROR(__xludf.DUMMYFUNCTION("""COMPUTED_VALUE"""),"Delivered")</f>
        <v>Delivered</v>
      </c>
      <c r="K431" s="106" t="str">
        <f>IFERROR(__xludf.DUMMYFUNCTION("""COMPUTED_VALUE"""),"Customer Care")</f>
        <v>Customer Care</v>
      </c>
      <c r="L431" s="106" t="str">
        <f>IFERROR(__xludf.DUMMYFUNCTION("""COMPUTED_VALUE"""),"Done")</f>
        <v>Done</v>
      </c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>
      <c r="A432" s="82"/>
      <c r="B432" s="98" t="str">
        <f>IFERROR(__xludf.DUMMYFUNCTION("""COMPUTED_VALUE"""),"440")</f>
        <v>440</v>
      </c>
      <c r="C432" s="98" t="str">
        <f>IFERROR(__xludf.DUMMYFUNCTION("""COMPUTED_VALUE"""),"Malik")</f>
        <v>Malik</v>
      </c>
      <c r="D432" s="98" t="str">
        <f>IFERROR(__xludf.DUMMYFUNCTION("""COMPUTED_VALUE"""),"710149136")</f>
        <v>710149136</v>
      </c>
      <c r="E432" s="98" t="str">
        <f>IFERROR(__xludf.DUMMYFUNCTION("""COMPUTED_VALUE"""),"N")</f>
        <v>N</v>
      </c>
      <c r="F432" s="98" t="str">
        <f>IFERROR(__xludf.DUMMYFUNCTION("""COMPUTED_VALUE"""),"Azac Hub")</f>
        <v>Azac Hub</v>
      </c>
      <c r="G432" s="98" t="str">
        <f>IFERROR(__xludf.DUMMYFUNCTION("""COMPUTED_VALUE"""),"A4051539")</f>
        <v>A4051539</v>
      </c>
      <c r="H432" s="98" t="str">
        <f>IFERROR(__xludf.DUMMYFUNCTION("""COMPUTED_VALUE"""),"Vacancy Call/ Askto Connect Hr")</f>
        <v>Vacancy Call/ Askto Connect Hr</v>
      </c>
      <c r="I432" s="98" t="str">
        <f>IFERROR(__xludf.DUMMYFUNCTION("""COMPUTED_VALUE"""),"Avissawella")</f>
        <v>Avissawella</v>
      </c>
      <c r="J432" s="98" t="str">
        <f>IFERROR(__xludf.DUMMYFUNCTION("""COMPUTED_VALUE"""),"Returned To Branch Failed To Deliver")</f>
        <v>Returned To Branch Failed To Deliver</v>
      </c>
      <c r="K432" s="98" t="str">
        <f>IFERROR(__xludf.DUMMYFUNCTION("""COMPUTED_VALUE"""),"Hr")</f>
        <v>Hr</v>
      </c>
      <c r="L432" s="98" t="str">
        <f>IFERROR(__xludf.DUMMYFUNCTION("""COMPUTED_VALUE"""),"Call Transfered")</f>
        <v>Call Transfered</v>
      </c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>
      <c r="A433" s="82"/>
      <c r="B433" s="106" t="str">
        <f>IFERROR(__xludf.DUMMYFUNCTION("""COMPUTED_VALUE"""),"362")</f>
        <v>362</v>
      </c>
      <c r="C433" s="106" t="str">
        <f>IFERROR(__xludf.DUMMYFUNCTION("""COMPUTED_VALUE"""),"Umesha")</f>
        <v>Umesha</v>
      </c>
      <c r="D433" s="106" t="str">
        <f>IFERROR(__xludf.DUMMYFUNCTION("""COMPUTED_VALUE"""),"764664631")</f>
        <v>764664631</v>
      </c>
      <c r="E433" s="106" t="str">
        <f>IFERROR(__xludf.DUMMYFUNCTION("""COMPUTED_VALUE"""),"N")</f>
        <v>N</v>
      </c>
      <c r="F433" s="106" t="str">
        <f>IFERROR(__xludf.DUMMYFUNCTION("""COMPUTED_VALUE"""),"Lakshini Dilrukshi")</f>
        <v>Lakshini Dilrukshi</v>
      </c>
      <c r="G433" s="106" t="str">
        <f>IFERROR(__xludf.DUMMYFUNCTION("""COMPUTED_VALUE"""),"A4533300")</f>
        <v>A4533300</v>
      </c>
      <c r="H433" s="106" t="str">
        <f>IFERROR(__xludf.DUMMYFUNCTION("""COMPUTED_VALUE"""),"Ask Horana Branch Number")</f>
        <v>Ask Horana Branch Number</v>
      </c>
      <c r="I433" s="106" t="str">
        <f>IFERROR(__xludf.DUMMYFUNCTION("""COMPUTED_VALUE"""),"Ja-Ela")</f>
        <v>Ja-Ela</v>
      </c>
      <c r="J433" s="106" t="str">
        <f>IFERROR(__xludf.DUMMYFUNCTION("""COMPUTED_VALUE"""),"Returned To Branch Failed To Deliver")</f>
        <v>Returned To Branch Failed To Deliver</v>
      </c>
      <c r="K433" s="106" t="str">
        <f>IFERROR(__xludf.DUMMYFUNCTION("""COMPUTED_VALUE"""),"Branch Operations")</f>
        <v>Branch Operations</v>
      </c>
      <c r="L433" s="106" t="str">
        <f>IFERROR(__xludf.DUMMYFUNCTION("""COMPUTED_VALUE"""),"Given Number")</f>
        <v>Given Number</v>
      </c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>
      <c r="A434" s="82"/>
      <c r="B434" s="98" t="str">
        <f>IFERROR(__xludf.DUMMYFUNCTION("""COMPUTED_VALUE"""),"442")</f>
        <v>442</v>
      </c>
      <c r="C434" s="98" t="str">
        <f>IFERROR(__xludf.DUMMYFUNCTION("""COMPUTED_VALUE"""),"Malik")</f>
        <v>Malik</v>
      </c>
      <c r="D434" s="98" t="str">
        <f>IFERROR(__xludf.DUMMYFUNCTION("""COMPUTED_VALUE"""),"761106948")</f>
        <v>761106948</v>
      </c>
      <c r="E434" s="98" t="str">
        <f>IFERROR(__xludf.DUMMYFUNCTION("""COMPUTED_VALUE"""),"Y")</f>
        <v>Y</v>
      </c>
      <c r="F434" s="98" t="str">
        <f>IFERROR(__xludf.DUMMYFUNCTION("""COMPUTED_VALUE"""),"Mahaovita Hela Osu")</f>
        <v>Mahaovita Hela Osu</v>
      </c>
      <c r="G434" s="98" t="str">
        <f>IFERROR(__xludf.DUMMYFUNCTION("""COMPUTED_VALUE"""),"A3698571")</f>
        <v>A3698571</v>
      </c>
      <c r="H434" s="98" t="str">
        <f>IFERROR(__xludf.DUMMYFUNCTION("""COMPUTED_VALUE"""),"Call Wrapped")</f>
        <v>Call Wrapped</v>
      </c>
      <c r="I434" s="98" t="str">
        <f>IFERROR(__xludf.DUMMYFUNCTION("""COMPUTED_VALUE"""),"Thalawathugoda")</f>
        <v>Thalawathugoda</v>
      </c>
      <c r="J434" s="98" t="str">
        <f>IFERROR(__xludf.DUMMYFUNCTION("""COMPUTED_VALUE"""),"Delivered")</f>
        <v>Delivered</v>
      </c>
      <c r="K434" s="98" t="str">
        <f>IFERROR(__xludf.DUMMYFUNCTION("""COMPUTED_VALUE"""),"Customer Care")</f>
        <v>Customer Care</v>
      </c>
      <c r="L434" s="98" t="str">
        <f>IFERROR(__xludf.DUMMYFUNCTION("""COMPUTED_VALUE"""),"Call Backed/ Number Busy")</f>
        <v>Call Backed/ Number Busy</v>
      </c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>
      <c r="A435" s="82"/>
      <c r="B435" s="106" t="str">
        <f>IFERROR(__xludf.DUMMYFUNCTION("""COMPUTED_VALUE"""),"443")</f>
        <v>443</v>
      </c>
      <c r="C435" s="106" t="str">
        <f>IFERROR(__xludf.DUMMYFUNCTION("""COMPUTED_VALUE"""),"Malik")</f>
        <v>Malik</v>
      </c>
      <c r="D435" s="106" t="str">
        <f>IFERROR(__xludf.DUMMYFUNCTION("""COMPUTED_VALUE"""),"771954106")</f>
        <v>771954106</v>
      </c>
      <c r="E435" s="106" t="str">
        <f>IFERROR(__xludf.DUMMYFUNCTION("""COMPUTED_VALUE"""),"N")</f>
        <v>N</v>
      </c>
      <c r="F435" s="106" t="str">
        <f>IFERROR(__xludf.DUMMYFUNCTION("""COMPUTED_VALUE"""),"Hp Dreams Online Store")</f>
        <v>Hp Dreams Online Store</v>
      </c>
      <c r="G435" s="106" t="str">
        <f>IFERROR(__xludf.DUMMYFUNCTION("""COMPUTED_VALUE"""),"A4586721")</f>
        <v>A4586721</v>
      </c>
      <c r="H435" s="106" t="str">
        <f>IFERROR(__xludf.DUMMYFUNCTION("""COMPUTED_VALUE"""),"Some Details /Delivery")</f>
        <v>Some Details /Delivery</v>
      </c>
      <c r="I435" s="106" t="str">
        <f>IFERROR(__xludf.DUMMYFUNCTION("""COMPUTED_VALUE"""),"Thalawathugoda")</f>
        <v>Thalawathugoda</v>
      </c>
      <c r="J435" s="106" t="str">
        <f>IFERROR(__xludf.DUMMYFUNCTION("""COMPUTED_VALUE"""),"Re-Assign Rider")</f>
        <v>Re-Assign Rider</v>
      </c>
      <c r="K435" s="106" t="str">
        <f>IFERROR(__xludf.DUMMYFUNCTION("""COMPUTED_VALUE"""),"Branch Operations")</f>
        <v>Branch Operations</v>
      </c>
      <c r="L435" s="106" t="str">
        <f>IFERROR(__xludf.DUMMYFUNCTION("""COMPUTED_VALUE"""),"Details Given")</f>
        <v>Details Given</v>
      </c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>
      <c r="A436" s="82"/>
      <c r="B436" s="98" t="str">
        <f>IFERROR(__xludf.DUMMYFUNCTION("""COMPUTED_VALUE"""),"384")</f>
        <v>384</v>
      </c>
      <c r="C436" s="98" t="str">
        <f>IFERROR(__xludf.DUMMYFUNCTION("""COMPUTED_VALUE"""),"Malik")</f>
        <v>Malik</v>
      </c>
      <c r="D436" s="98" t="str">
        <f>IFERROR(__xludf.DUMMYFUNCTION("""COMPUTED_VALUE"""),"775329387")</f>
        <v>775329387</v>
      </c>
      <c r="E436" s="98" t="str">
        <f>IFERROR(__xludf.DUMMYFUNCTION("""COMPUTED_VALUE"""),"N")</f>
        <v>N</v>
      </c>
      <c r="F436" s="98" t="str">
        <f>IFERROR(__xludf.DUMMYFUNCTION("""COMPUTED_VALUE"""),"Zee Max Holdings")</f>
        <v>Zee Max Holdings</v>
      </c>
      <c r="G436" s="98" t="str">
        <f>IFERROR(__xludf.DUMMYFUNCTION("""COMPUTED_VALUE"""),"BD829345")</f>
        <v>BD829345</v>
      </c>
      <c r="H436" s="98" t="str">
        <f>IFERROR(__xludf.DUMMYFUNCTION("""COMPUTED_VALUE"""),"Avissawela Branch Number")</f>
        <v>Avissawela Branch Number</v>
      </c>
      <c r="I436" s="98" t="str">
        <f>IFERROR(__xludf.DUMMYFUNCTION("""COMPUTED_VALUE"""),"Kadawatha")</f>
        <v>Kadawatha</v>
      </c>
      <c r="J436" s="98" t="str">
        <f>IFERROR(__xludf.DUMMYFUNCTION("""COMPUTED_VALUE"""),"Delivered")</f>
        <v>Delivered</v>
      </c>
      <c r="K436" s="98" t="str">
        <f>IFERROR(__xludf.DUMMYFUNCTION("""COMPUTED_VALUE"""),"Customer Care")</f>
        <v>Customer Care</v>
      </c>
      <c r="L436" s="98" t="str">
        <f>IFERROR(__xludf.DUMMYFUNCTION("""COMPUTED_VALUE"""),"Number Given")</f>
        <v>Number Given</v>
      </c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>
      <c r="A437" s="82"/>
      <c r="B437" s="106" t="str">
        <f>IFERROR(__xludf.DUMMYFUNCTION("""COMPUTED_VALUE"""),"366")</f>
        <v>366</v>
      </c>
      <c r="C437" s="106" t="str">
        <f>IFERROR(__xludf.DUMMYFUNCTION("""COMPUTED_VALUE"""),"Umesha")</f>
        <v>Umesha</v>
      </c>
      <c r="D437" s="106" t="str">
        <f>IFERROR(__xludf.DUMMYFUNCTION("""COMPUTED_VALUE"""),"728334618")</f>
        <v>728334618</v>
      </c>
      <c r="E437" s="106" t="str">
        <f>IFERROR(__xludf.DUMMYFUNCTION("""COMPUTED_VALUE"""),"N")</f>
        <v>N</v>
      </c>
      <c r="F437" s="106" t="str">
        <f>IFERROR(__xludf.DUMMYFUNCTION("""COMPUTED_VALUE"""),"Alpha.Com(Pvt)Ltd")</f>
        <v>Alpha.Com(Pvt)Ltd</v>
      </c>
      <c r="G437" s="106" t="str">
        <f>IFERROR(__xludf.DUMMYFUNCTION("""COMPUTED_VALUE"""),"15127120")</f>
        <v>15127120</v>
      </c>
      <c r="H437" s="106" t="str">
        <f>IFERROR(__xludf.DUMMYFUNCTION("""COMPUTED_VALUE"""),"Customer Refused")</f>
        <v>Customer Refused</v>
      </c>
      <c r="I437" s="106" t="str">
        <f>IFERROR(__xludf.DUMMYFUNCTION("""COMPUTED_VALUE"""),"Piliyandala")</f>
        <v>Piliyandala</v>
      </c>
      <c r="J437" s="106" t="str">
        <f>IFERROR(__xludf.DUMMYFUNCTION("""COMPUTED_VALUE"""),"Returned To Branch Rescheduled")</f>
        <v>Returned To Branch Rescheduled</v>
      </c>
      <c r="K437" s="106" t="str">
        <f>IFERROR(__xludf.DUMMYFUNCTION("""COMPUTED_VALUE"""),"Branch Operations")</f>
        <v>Branch Operations</v>
      </c>
      <c r="L437" s="106" t="str">
        <f>IFERROR(__xludf.DUMMYFUNCTION("""COMPUTED_VALUE"""),"Add A Re - Mark")</f>
        <v>Add A Re - Mark</v>
      </c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>
      <c r="A438" s="82"/>
      <c r="B438" s="98" t="str">
        <f>IFERROR(__xludf.DUMMYFUNCTION("""COMPUTED_VALUE"""),"386")</f>
        <v>386</v>
      </c>
      <c r="C438" s="98" t="str">
        <f>IFERROR(__xludf.DUMMYFUNCTION("""COMPUTED_VALUE"""),"Malik")</f>
        <v>Malik</v>
      </c>
      <c r="D438" s="98" t="str">
        <f>IFERROR(__xludf.DUMMYFUNCTION("""COMPUTED_VALUE"""),"770082611")</f>
        <v>770082611</v>
      </c>
      <c r="E438" s="98" t="str">
        <f>IFERROR(__xludf.DUMMYFUNCTION("""COMPUTED_VALUE"""),"Y")</f>
        <v>Y</v>
      </c>
      <c r="F438" s="98" t="str">
        <f>IFERROR(__xludf.DUMMYFUNCTION("""COMPUTED_VALUE"""),"Byte Boost Marketing")</f>
        <v>Byte Boost Marketing</v>
      </c>
      <c r="G438" s="98" t="str">
        <f>IFERROR(__xludf.DUMMYFUNCTION("""COMPUTED_VALUE"""),"BE110464")</f>
        <v>BE110464</v>
      </c>
      <c r="H438" s="98" t="str">
        <f>IFERROR(__xludf.DUMMYFUNCTION("""COMPUTED_VALUE"""),"Domestic Rate")</f>
        <v>Domestic Rate</v>
      </c>
      <c r="I438" s="98" t="str">
        <f>IFERROR(__xludf.DUMMYFUNCTION("""COMPUTED_VALUE"""),"Thalawathugoda")</f>
        <v>Thalawathugoda</v>
      </c>
      <c r="J438" s="98" t="str">
        <f>IFERROR(__xludf.DUMMYFUNCTION("""COMPUTED_VALUE"""),"Re-Assign Rider")</f>
        <v>Re-Assign Rider</v>
      </c>
      <c r="K438" s="98" t="str">
        <f>IFERROR(__xludf.DUMMYFUNCTION("""COMPUTED_VALUE"""),"Domestic")</f>
        <v>Domestic</v>
      </c>
      <c r="L438" s="98" t="str">
        <f>IFERROR(__xludf.DUMMYFUNCTION("""COMPUTED_VALUE"""),"Details Given")</f>
        <v>Details Given</v>
      </c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>
      <c r="A439" s="82"/>
      <c r="B439" s="106" t="str">
        <f>IFERROR(__xludf.DUMMYFUNCTION("""COMPUTED_VALUE"""),"368")</f>
        <v>368</v>
      </c>
      <c r="C439" s="106" t="str">
        <f>IFERROR(__xludf.DUMMYFUNCTION("""COMPUTED_VALUE"""),"Umesha")</f>
        <v>Umesha</v>
      </c>
      <c r="D439" s="106" t="str">
        <f>IFERROR(__xludf.DUMMYFUNCTION("""COMPUTED_VALUE"""),"779335697")</f>
        <v>779335697</v>
      </c>
      <c r="E439" s="106" t="str">
        <f>IFERROR(__xludf.DUMMYFUNCTION("""COMPUTED_VALUE"""),"N")</f>
        <v>N</v>
      </c>
      <c r="F439" s="106" t="str">
        <f>IFERROR(__xludf.DUMMYFUNCTION("""COMPUTED_VALUE"""),"D Mine Shop")</f>
        <v>D Mine Shop</v>
      </c>
      <c r="G439" s="106" t="str">
        <f>IFERROR(__xludf.DUMMYFUNCTION("""COMPUTED_VALUE"""),"79564297")</f>
        <v>79564297</v>
      </c>
      <c r="H439" s="106" t="str">
        <f>IFERROR(__xludf.DUMMYFUNCTION("""COMPUTED_VALUE"""),"Some Details /Delivery")</f>
        <v>Some Details /Delivery</v>
      </c>
      <c r="I439" s="106" t="str">
        <f>IFERROR(__xludf.DUMMYFUNCTION("""COMPUTED_VALUE"""),"Thalawathugoda")</f>
        <v>Thalawathugoda</v>
      </c>
      <c r="J439" s="106" t="str">
        <f>IFERROR(__xludf.DUMMYFUNCTION("""COMPUTED_VALUE"""),"Re-Assign Rider")</f>
        <v>Re-Assign Rider</v>
      </c>
      <c r="K439" s="106" t="str">
        <f>IFERROR(__xludf.DUMMYFUNCTION("""COMPUTED_VALUE"""),"Branch Operations")</f>
        <v>Branch Operations</v>
      </c>
      <c r="L439" s="106" t="str">
        <f>IFERROR(__xludf.DUMMYFUNCTION("""COMPUTED_VALUE"""),"Add A Re - Mark")</f>
        <v>Add A Re - Mark</v>
      </c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>
      <c r="A440" s="82"/>
      <c r="B440" s="98" t="str">
        <f>IFERROR(__xludf.DUMMYFUNCTION("""COMPUTED_VALUE"""),"388")</f>
        <v>388</v>
      </c>
      <c r="C440" s="98" t="str">
        <f>IFERROR(__xludf.DUMMYFUNCTION("""COMPUTED_VALUE"""),"Malik")</f>
        <v>Malik</v>
      </c>
      <c r="D440" s="98" t="str">
        <f>IFERROR(__xludf.DUMMYFUNCTION("""COMPUTED_VALUE"""),"710607191")</f>
        <v>710607191</v>
      </c>
      <c r="E440" s="98" t="str">
        <f>IFERROR(__xludf.DUMMYFUNCTION("""COMPUTED_VALUE"""),"N")</f>
        <v>N</v>
      </c>
      <c r="F440" s="98" t="str">
        <f>IFERROR(__xludf.DUMMYFUNCTION("""COMPUTED_VALUE"""),"Winpro Holdings")</f>
        <v>Winpro Holdings</v>
      </c>
      <c r="G440" s="98" t="str">
        <f>IFERROR(__xludf.DUMMYFUNCTION("""COMPUTED_VALUE"""),"BE010314")</f>
        <v>BE010314</v>
      </c>
      <c r="H440" s="98" t="str">
        <f>IFERROR(__xludf.DUMMYFUNCTION("""COMPUTED_VALUE"""),"Some Details / Return To Client")</f>
        <v>Some Details / Return To Client</v>
      </c>
      <c r="I440" s="98" t="str">
        <f>IFERROR(__xludf.DUMMYFUNCTION("""COMPUTED_VALUE"""),"Piliyandala")</f>
        <v>Piliyandala</v>
      </c>
      <c r="J440" s="98" t="str">
        <f>IFERROR(__xludf.DUMMYFUNCTION("""COMPUTED_VALUE"""),"Returned To Client")</f>
        <v>Returned To Client</v>
      </c>
      <c r="K440" s="98" t="str">
        <f>IFERROR(__xludf.DUMMYFUNCTION("""COMPUTED_VALUE"""),"Customer Care")</f>
        <v>Customer Care</v>
      </c>
      <c r="L440" s="98" t="str">
        <f>IFERROR(__xludf.DUMMYFUNCTION("""COMPUTED_VALUE"""),"Details Given")</f>
        <v>Details Given</v>
      </c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>
      <c r="A441" s="82"/>
      <c r="B441" s="106" t="str">
        <f>IFERROR(__xludf.DUMMYFUNCTION("""COMPUTED_VALUE"""),"388")</f>
        <v>388</v>
      </c>
      <c r="C441" s="106" t="str">
        <f>IFERROR(__xludf.DUMMYFUNCTION("""COMPUTED_VALUE"""),"Malik")</f>
        <v>Malik</v>
      </c>
      <c r="D441" s="106" t="str">
        <f>IFERROR(__xludf.DUMMYFUNCTION("""COMPUTED_VALUE"""),"710607191")</f>
        <v>710607191</v>
      </c>
      <c r="E441" s="106" t="str">
        <f>IFERROR(__xludf.DUMMYFUNCTION("""COMPUTED_VALUE"""),"N")</f>
        <v>N</v>
      </c>
      <c r="F441" s="106" t="str">
        <f>IFERROR(__xludf.DUMMYFUNCTION("""COMPUTED_VALUE"""),"Winpro Holdings")</f>
        <v>Winpro Holdings</v>
      </c>
      <c r="G441" s="106" t="str">
        <f>IFERROR(__xludf.DUMMYFUNCTION("""COMPUTED_VALUE"""),"BE007011 ")</f>
        <v>BE007011 </v>
      </c>
      <c r="H441" s="106" t="str">
        <f>IFERROR(__xludf.DUMMYFUNCTION("""COMPUTED_VALUE"""),"Some Details / Return To Client")</f>
        <v>Some Details / Return To Client</v>
      </c>
      <c r="I441" s="106" t="str">
        <f>IFERROR(__xludf.DUMMYFUNCTION("""COMPUTED_VALUE"""),"Nittambuwa")</f>
        <v>Nittambuwa</v>
      </c>
      <c r="J441" s="106" t="str">
        <f>IFERROR(__xludf.DUMMYFUNCTION("""COMPUTED_VALUE"""),"Returned To Branch Rescheduled")</f>
        <v>Returned To Branch Rescheduled</v>
      </c>
      <c r="K441" s="106" t="str">
        <f>IFERROR(__xludf.DUMMYFUNCTION("""COMPUTED_VALUE"""),"Customer Care")</f>
        <v>Customer Care</v>
      </c>
      <c r="L441" s="106" t="str">
        <f>IFERROR(__xludf.DUMMYFUNCTION("""COMPUTED_VALUE"""),"Details Given")</f>
        <v>Details Given</v>
      </c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>
      <c r="A442" s="82"/>
      <c r="B442" s="98" t="str">
        <f>IFERROR(__xludf.DUMMYFUNCTION("""COMPUTED_VALUE"""),"371")</f>
        <v>371</v>
      </c>
      <c r="C442" s="98" t="str">
        <f>IFERROR(__xludf.DUMMYFUNCTION("""COMPUTED_VALUE"""),"Lakshani")</f>
        <v>Lakshani</v>
      </c>
      <c r="D442" s="98" t="str">
        <f>IFERROR(__xludf.DUMMYFUNCTION("""COMPUTED_VALUE"""),"782897612")</f>
        <v>782897612</v>
      </c>
      <c r="E442" s="98" t="str">
        <f>IFERROR(__xludf.DUMMYFUNCTION("""COMPUTED_VALUE"""),"Y")</f>
        <v>Y</v>
      </c>
      <c r="F442" s="98" t="str">
        <f>IFERROR(__xludf.DUMMYFUNCTION("""COMPUTED_VALUE"""),"77 956 2259")</f>
        <v>77 956 2259</v>
      </c>
      <c r="G442" s="98" t="str">
        <f>IFERROR(__xludf.DUMMYFUNCTION("""COMPUTED_VALUE"""),"BE007011 ")</f>
        <v>BE007011 </v>
      </c>
      <c r="H442" s="98" t="str">
        <f>IFERROR(__xludf.DUMMYFUNCTION("""COMPUTED_VALUE"""),"Branch Number List")</f>
        <v>Branch Number List</v>
      </c>
      <c r="I442" s="98" t="str">
        <f>IFERROR(__xludf.DUMMYFUNCTION("""COMPUTED_VALUE"""),"Nittambuwa")</f>
        <v>Nittambuwa</v>
      </c>
      <c r="J442" s="98" t="str">
        <f>IFERROR(__xludf.DUMMYFUNCTION("""COMPUTED_VALUE"""),"Returned To Branch Rescheduled")</f>
        <v>Returned To Branch Rescheduled</v>
      </c>
      <c r="K442" s="98" t="str">
        <f>IFERROR(__xludf.DUMMYFUNCTION("""COMPUTED_VALUE"""),"Customer Care")</f>
        <v>Customer Care</v>
      </c>
      <c r="L442" s="98" t="str">
        <f>IFERROR(__xludf.DUMMYFUNCTION("""COMPUTED_VALUE"""),"Informed")</f>
        <v>Informed</v>
      </c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>
      <c r="A443" s="82"/>
      <c r="B443" s="106" t="str">
        <f>IFERROR(__xludf.DUMMYFUNCTION("""COMPUTED_VALUE"""),"391")</f>
        <v>391</v>
      </c>
      <c r="C443" s="106" t="str">
        <f>IFERROR(__xludf.DUMMYFUNCTION("""COMPUTED_VALUE"""),"Malik")</f>
        <v>Malik</v>
      </c>
      <c r="D443" s="106" t="str">
        <f>IFERROR(__xludf.DUMMYFUNCTION("""COMPUTED_VALUE"""),"715171873")</f>
        <v>715171873</v>
      </c>
      <c r="E443" s="106" t="str">
        <f>IFERROR(__xludf.DUMMYFUNCTION("""COMPUTED_VALUE"""),"N")</f>
        <v>N</v>
      </c>
      <c r="F443" s="106" t="str">
        <f>IFERROR(__xludf.DUMMYFUNCTION("""COMPUTED_VALUE"""),"Vethu Fashion")</f>
        <v>Vethu Fashion</v>
      </c>
      <c r="G443" s="106" t="str">
        <f>IFERROR(__xludf.DUMMYFUNCTION("""COMPUTED_VALUE"""),"A4557314")</f>
        <v>A4557314</v>
      </c>
      <c r="H443" s="106" t="str">
        <f>IFERROR(__xludf.DUMMYFUNCTION("""COMPUTED_VALUE"""),"Some Details / Delivery")</f>
        <v>Some Details / Delivery</v>
      </c>
      <c r="I443" s="106" t="str">
        <f>IFERROR(__xludf.DUMMYFUNCTION("""COMPUTED_VALUE"""),"Ja-Ela")</f>
        <v>Ja-Ela</v>
      </c>
      <c r="J443" s="106" t="str">
        <f>IFERROR(__xludf.DUMMYFUNCTION("""COMPUTED_VALUE"""),"Out For Delivery")</f>
        <v>Out For Delivery</v>
      </c>
      <c r="K443" s="106" t="str">
        <f>IFERROR(__xludf.DUMMYFUNCTION("""COMPUTED_VALUE"""),"Customer Care")</f>
        <v>Customer Care</v>
      </c>
      <c r="L443" s="106" t="str">
        <f>IFERROR(__xludf.DUMMYFUNCTION("""COMPUTED_VALUE"""),"Details Given")</f>
        <v>Details Given</v>
      </c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>
      <c r="A444" s="82"/>
      <c r="B444" s="98" t="str">
        <f>IFERROR(__xludf.DUMMYFUNCTION("""COMPUTED_VALUE"""),"392")</f>
        <v>392</v>
      </c>
      <c r="C444" s="98" t="str">
        <f>IFERROR(__xludf.DUMMYFUNCTION("""COMPUTED_VALUE"""),"Malik")</f>
        <v>Malik</v>
      </c>
      <c r="D444" s="98" t="str">
        <f>IFERROR(__xludf.DUMMYFUNCTION("""COMPUTED_VALUE"""),"756081207")</f>
        <v>756081207</v>
      </c>
      <c r="E444" s="98" t="str">
        <f>IFERROR(__xludf.DUMMYFUNCTION("""COMPUTED_VALUE"""),"N")</f>
        <v>N</v>
      </c>
      <c r="F444" s="108" t="str">
        <f>IFERROR(__xludf.DUMMYFUNCTION("""COMPUTED_VALUE"""),"Saleway.Lk")</f>
        <v>Saleway.Lk</v>
      </c>
      <c r="G444" s="98" t="str">
        <f>IFERROR(__xludf.DUMMYFUNCTION("""COMPUTED_VALUE"""),"BD910852")</f>
        <v>BD910852</v>
      </c>
      <c r="H444" s="98" t="str">
        <f>IFERROR(__xludf.DUMMYFUNCTION("""COMPUTED_VALUE"""),"Customer Wants To Return The Parcel")</f>
        <v>Customer Wants To Return The Parcel</v>
      </c>
      <c r="I444" s="98" t="str">
        <f>IFERROR(__xludf.DUMMYFUNCTION("""COMPUTED_VALUE"""),"Ja-Ela")</f>
        <v>Ja-Ela</v>
      </c>
      <c r="J444" s="98" t="str">
        <f>IFERROR(__xludf.DUMMYFUNCTION("""COMPUTED_VALUE"""),"Out For Delivery")</f>
        <v>Out For Delivery</v>
      </c>
      <c r="K444" s="98" t="str">
        <f>IFERROR(__xludf.DUMMYFUNCTION("""COMPUTED_VALUE"""),"Customer Care")</f>
        <v>Customer Care</v>
      </c>
      <c r="L444" s="98" t="str">
        <f>IFERROR(__xludf.DUMMYFUNCTION("""COMPUTED_VALUE"""),"Info Deepika")</f>
        <v>Info Deepika</v>
      </c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>
      <c r="A445" s="82"/>
      <c r="B445" s="106" t="str">
        <f>IFERROR(__xludf.DUMMYFUNCTION("""COMPUTED_VALUE"""),"374")</f>
        <v>374</v>
      </c>
      <c r="C445" s="106" t="str">
        <f>IFERROR(__xludf.DUMMYFUNCTION("""COMPUTED_VALUE"""),"Umesha")</f>
        <v>Umesha</v>
      </c>
      <c r="D445" s="106" t="str">
        <f>IFERROR(__xludf.DUMMYFUNCTION("""COMPUTED_VALUE"""),"775575369")</f>
        <v>775575369</v>
      </c>
      <c r="E445" s="106" t="str">
        <f>IFERROR(__xludf.DUMMYFUNCTION("""COMPUTED_VALUE"""),"N")</f>
        <v>N</v>
      </c>
      <c r="F445" s="107" t="str">
        <f>IFERROR(__xludf.DUMMYFUNCTION("""COMPUTED_VALUE"""),"Saleway.Lk")</f>
        <v>Saleway.Lk</v>
      </c>
      <c r="G445" s="106" t="str">
        <f>IFERROR(__xludf.DUMMYFUNCTION("""COMPUTED_VALUE"""),"BA771537")</f>
        <v>BA771537</v>
      </c>
      <c r="H445" s="106" t="str">
        <f>IFERROR(__xludf.DUMMYFUNCTION("""COMPUTED_VALUE"""),"Re Delivery")</f>
        <v>Re Delivery</v>
      </c>
      <c r="I445" s="106" t="str">
        <f>IFERROR(__xludf.DUMMYFUNCTION("""COMPUTED_VALUE"""),"Horana")</f>
        <v>Horana</v>
      </c>
      <c r="J445" s="106" t="str">
        <f>IFERROR(__xludf.DUMMYFUNCTION("""COMPUTED_VALUE"""),"Returned To Branch Rescheduled")</f>
        <v>Returned To Branch Rescheduled</v>
      </c>
      <c r="K445" s="106" t="str">
        <f>IFERROR(__xludf.DUMMYFUNCTION("""COMPUTED_VALUE"""),"Customer Care")</f>
        <v>Customer Care</v>
      </c>
      <c r="L445" s="106" t="str">
        <f>IFERROR(__xludf.DUMMYFUNCTION("""COMPUTED_VALUE"""),"Done")</f>
        <v>Done</v>
      </c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>
      <c r="A446" s="82"/>
      <c r="B446" s="98" t="str">
        <f>IFERROR(__xludf.DUMMYFUNCTION("""COMPUTED_VALUE"""),"375")</f>
        <v>375</v>
      </c>
      <c r="C446" s="98" t="str">
        <f>IFERROR(__xludf.DUMMYFUNCTION("""COMPUTED_VALUE"""),"Umesha")</f>
        <v>Umesha</v>
      </c>
      <c r="D446" s="98" t="str">
        <f>IFERROR(__xludf.DUMMYFUNCTION("""COMPUTED_VALUE"""),"772298829")</f>
        <v>772298829</v>
      </c>
      <c r="E446" s="98" t="str">
        <f>IFERROR(__xludf.DUMMYFUNCTION("""COMPUTED_VALUE"""),"N")</f>
        <v>N</v>
      </c>
      <c r="F446" s="108" t="str">
        <f>IFERROR(__xludf.DUMMYFUNCTION("""COMPUTED_VALUE"""),"Saleway.Lk")</f>
        <v>Saleway.Lk</v>
      </c>
      <c r="G446" s="98" t="str">
        <f>IFERROR(__xludf.DUMMYFUNCTION("""COMPUTED_VALUE"""),"BE056181")</f>
        <v>BE056181</v>
      </c>
      <c r="H446" s="98" t="str">
        <f>IFERROR(__xludf.DUMMYFUNCTION("""COMPUTED_VALUE"""),"Re Delivery")</f>
        <v>Re Delivery</v>
      </c>
      <c r="I446" s="98" t="str">
        <f>IFERROR(__xludf.DUMMYFUNCTION("""COMPUTED_VALUE"""),"Negombo")</f>
        <v>Negombo</v>
      </c>
      <c r="J446" s="98" t="str">
        <f>IFERROR(__xludf.DUMMYFUNCTION("""COMPUTED_VALUE"""),"Returned To Branch Failed To Deliver")</f>
        <v>Returned To Branch Failed To Deliver</v>
      </c>
      <c r="K446" s="98" t="str">
        <f>IFERROR(__xludf.DUMMYFUNCTION("""COMPUTED_VALUE"""),"Customer Care")</f>
        <v>Customer Care</v>
      </c>
      <c r="L446" s="98" t="str">
        <f>IFERROR(__xludf.DUMMYFUNCTION("""COMPUTED_VALUE"""),"Done")</f>
        <v>Done</v>
      </c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>
      <c r="A447" s="82"/>
      <c r="B447" s="106" t="str">
        <f>IFERROR(__xludf.DUMMYFUNCTION("""COMPUTED_VALUE"""),"395")</f>
        <v>395</v>
      </c>
      <c r="C447" s="106" t="str">
        <f>IFERROR(__xludf.DUMMYFUNCTION("""COMPUTED_VALUE"""),"Malik")</f>
        <v>Malik</v>
      </c>
      <c r="D447" s="106" t="str">
        <f>IFERROR(__xludf.DUMMYFUNCTION("""COMPUTED_VALUE"""),"741693627")</f>
        <v>741693627</v>
      </c>
      <c r="E447" s="106" t="str">
        <f>IFERROR(__xludf.DUMMYFUNCTION("""COMPUTED_VALUE"""),"N")</f>
        <v>N</v>
      </c>
      <c r="F447" s="106" t="str">
        <f>IFERROR(__xludf.DUMMYFUNCTION("""COMPUTED_VALUE"""),"Manjistha Hair Oil")</f>
        <v>Manjistha Hair Oil</v>
      </c>
      <c r="G447" s="106" t="str">
        <f>IFERROR(__xludf.DUMMYFUNCTION("""COMPUTED_VALUE"""),"A4383823")</f>
        <v>A4383823</v>
      </c>
      <c r="H447" s="106" t="str">
        <f>IFERROR(__xludf.DUMMYFUNCTION("""COMPUTED_VALUE"""),"Some Details")</f>
        <v>Some Details</v>
      </c>
      <c r="I447" s="106" t="str">
        <f>IFERROR(__xludf.DUMMYFUNCTION("""COMPUTED_VALUE"""),"Horana")</f>
        <v>Horana</v>
      </c>
      <c r="J447" s="106" t="str">
        <f>IFERROR(__xludf.DUMMYFUNCTION("""COMPUTED_VALUE"""),"Returned To Branch Rescheduled")</f>
        <v>Returned To Branch Rescheduled</v>
      </c>
      <c r="K447" s="106" t="str">
        <f>IFERROR(__xludf.DUMMYFUNCTION("""COMPUTED_VALUE"""),"Customer Care")</f>
        <v>Customer Care</v>
      </c>
      <c r="L447" s="106" t="str">
        <f>IFERROR(__xludf.DUMMYFUNCTION("""COMPUTED_VALUE"""),"Details Given")</f>
        <v>Details Given</v>
      </c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>
      <c r="A448" s="82"/>
      <c r="B448" s="98" t="str">
        <f>IFERROR(__xludf.DUMMYFUNCTION("""COMPUTED_VALUE"""),"396")</f>
        <v>396</v>
      </c>
      <c r="C448" s="98" t="str">
        <f>IFERROR(__xludf.DUMMYFUNCTION("""COMPUTED_VALUE"""),"Malik")</f>
        <v>Malik</v>
      </c>
      <c r="D448" s="98" t="str">
        <f>IFERROR(__xludf.DUMMYFUNCTION("""COMPUTED_VALUE"""),"741852301")</f>
        <v>741852301</v>
      </c>
      <c r="E448" s="98" t="str">
        <f>IFERROR(__xludf.DUMMYFUNCTION("""COMPUTED_VALUE"""),"Y")</f>
        <v>Y</v>
      </c>
      <c r="F448" s="98" t="str">
        <f>IFERROR(__xludf.DUMMYFUNCTION("""COMPUTED_VALUE"""),"Manjistha Hair Oil")</f>
        <v>Manjistha Hair Oil</v>
      </c>
      <c r="G448" s="98" t="str">
        <f>IFERROR(__xludf.DUMMYFUNCTION("""COMPUTED_VALUE"""),"A4383823")</f>
        <v>A4383823</v>
      </c>
      <c r="H448" s="98" t="str">
        <f>IFERROR(__xludf.DUMMYFUNCTION("""COMPUTED_VALUE"""),"Domestic Call")</f>
        <v>Domestic Call</v>
      </c>
      <c r="I448" s="98" t="str">
        <f>IFERROR(__xludf.DUMMYFUNCTION("""COMPUTED_VALUE"""),"Kahatagasdigiliya")</f>
        <v>Kahatagasdigiliya</v>
      </c>
      <c r="J448" s="98" t="str">
        <f>IFERROR(__xludf.DUMMYFUNCTION("""COMPUTED_VALUE"""),"Delivered")</f>
        <v>Delivered</v>
      </c>
      <c r="K448" s="98" t="str">
        <f>IFERROR(__xludf.DUMMYFUNCTION("""COMPUTED_VALUE"""),"Domestic")</f>
        <v>Domestic</v>
      </c>
      <c r="L448" s="98" t="str">
        <f>IFERROR(__xludf.DUMMYFUNCTION("""COMPUTED_VALUE"""),"Call Transfer")</f>
        <v>Call Transfer</v>
      </c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>
      <c r="A449" s="82"/>
      <c r="B449" s="106" t="str">
        <f>IFERROR(__xludf.DUMMYFUNCTION("""COMPUTED_VALUE"""),"397")</f>
        <v>397</v>
      </c>
      <c r="C449" s="106" t="str">
        <f>IFERROR(__xludf.DUMMYFUNCTION("""COMPUTED_VALUE"""),"Malik")</f>
        <v>Malik</v>
      </c>
      <c r="D449" s="106" t="str">
        <f>IFERROR(__xludf.DUMMYFUNCTION("""COMPUTED_VALUE"""),"714695400")</f>
        <v>714695400</v>
      </c>
      <c r="E449" s="106" t="str">
        <f>IFERROR(__xludf.DUMMYFUNCTION("""COMPUTED_VALUE"""),"N")</f>
        <v>N</v>
      </c>
      <c r="F449" s="106" t="str">
        <f>IFERROR(__xludf.DUMMYFUNCTION("""COMPUTED_VALUE"""),"Sahasra Team")</f>
        <v>Sahasra Team</v>
      </c>
      <c r="G449" s="106" t="str">
        <f>IFERROR(__xludf.DUMMYFUNCTION("""COMPUTED_VALUE"""),"BA770261")</f>
        <v>BA770261</v>
      </c>
      <c r="H449" s="106" t="str">
        <f>IFERROR(__xludf.DUMMYFUNCTION("""COMPUTED_VALUE"""),"Call Wrapped")</f>
        <v>Call Wrapped</v>
      </c>
      <c r="I449" s="106" t="str">
        <f>IFERROR(__xludf.DUMMYFUNCTION("""COMPUTED_VALUE"""),"Kahatagasdigiliya")</f>
        <v>Kahatagasdigiliya</v>
      </c>
      <c r="J449" s="106" t="str">
        <f>IFERROR(__xludf.DUMMYFUNCTION("""COMPUTED_VALUE"""),"Delivered")</f>
        <v>Delivered</v>
      </c>
      <c r="K449" s="106" t="str">
        <f>IFERROR(__xludf.DUMMYFUNCTION("""COMPUTED_VALUE"""),"Customer Care")</f>
        <v>Customer Care</v>
      </c>
      <c r="L449" s="106" t="str">
        <f>IFERROR(__xludf.DUMMYFUNCTION("""COMPUTED_VALUE"""),"Call Transfered To Finance")</f>
        <v>Call Transfered To Finance</v>
      </c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>
      <c r="A450" s="82"/>
      <c r="B450" s="98" t="str">
        <f>IFERROR(__xludf.DUMMYFUNCTION("""COMPUTED_VALUE"""),"379")</f>
        <v>379</v>
      </c>
      <c r="C450" s="98" t="str">
        <f>IFERROR(__xludf.DUMMYFUNCTION("""COMPUTED_VALUE"""),"Umesha")</f>
        <v>Umesha</v>
      </c>
      <c r="D450" s="98" t="str">
        <f>IFERROR(__xludf.DUMMYFUNCTION("""COMPUTED_VALUE"""),"798003017")</f>
        <v>798003017</v>
      </c>
      <c r="E450" s="98" t="str">
        <f>IFERROR(__xludf.DUMMYFUNCTION("""COMPUTED_VALUE"""),"N")</f>
        <v>N</v>
      </c>
      <c r="F450" s="98" t="str">
        <f>IFERROR(__xludf.DUMMYFUNCTION("""COMPUTED_VALUE"""),"Sahasra Team")</f>
        <v>Sahasra Team</v>
      </c>
      <c r="G450" s="98" t="str">
        <f>IFERROR(__xludf.DUMMYFUNCTION("""COMPUTED_VALUE"""),"BA733879")</f>
        <v>BA733879</v>
      </c>
      <c r="H450" s="98" t="str">
        <f>IFERROR(__xludf.DUMMYFUNCTION("""COMPUTED_VALUE"""),"Re Delivery")</f>
        <v>Re Delivery</v>
      </c>
      <c r="I450" s="98" t="str">
        <f>IFERROR(__xludf.DUMMYFUNCTION("""COMPUTED_VALUE"""),"Kahatagasdigiliya")</f>
        <v>Kahatagasdigiliya</v>
      </c>
      <c r="J450" s="98" t="str">
        <f>IFERROR(__xludf.DUMMYFUNCTION("""COMPUTED_VALUE"""),"Delivered")</f>
        <v>Delivered</v>
      </c>
      <c r="K450" s="98" t="str">
        <f>IFERROR(__xludf.DUMMYFUNCTION("""COMPUTED_VALUE"""),"Customer Care")</f>
        <v>Customer Care</v>
      </c>
      <c r="L450" s="98" t="str">
        <f>IFERROR(__xludf.DUMMYFUNCTION("""COMPUTED_VALUE"""),"Done")</f>
        <v>Done</v>
      </c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>
      <c r="A451" s="82"/>
      <c r="B451" s="106" t="str">
        <f>IFERROR(__xludf.DUMMYFUNCTION("""COMPUTED_VALUE"""),"380")</f>
        <v>380</v>
      </c>
      <c r="C451" s="106" t="str">
        <f>IFERROR(__xludf.DUMMYFUNCTION("""COMPUTED_VALUE"""),"Umesha")</f>
        <v>Umesha</v>
      </c>
      <c r="D451" s="106" t="str">
        <f>IFERROR(__xludf.DUMMYFUNCTION("""COMPUTED_VALUE"""),"730579945")</f>
        <v>730579945</v>
      </c>
      <c r="E451" s="106" t="str">
        <f>IFERROR(__xludf.DUMMYFUNCTION("""COMPUTED_VALUE"""),"N")</f>
        <v>N</v>
      </c>
      <c r="F451" s="106" t="str">
        <f>IFERROR(__xludf.DUMMYFUNCTION("""COMPUTED_VALUE"""),"Sahasra Team")</f>
        <v>Sahasra Team</v>
      </c>
      <c r="G451" s="106" t="str">
        <f>IFERROR(__xludf.DUMMYFUNCTION("""COMPUTED_VALUE"""),"BE080625")</f>
        <v>BE080625</v>
      </c>
      <c r="H451" s="106" t="str">
        <f>IFERROR(__xludf.DUMMYFUNCTION("""COMPUTED_VALUE"""),"Re Delivery")</f>
        <v>Re Delivery</v>
      </c>
      <c r="I451" s="106" t="str">
        <f>IFERROR(__xludf.DUMMYFUNCTION("""COMPUTED_VALUE"""),"Horana")</f>
        <v>Horana</v>
      </c>
      <c r="J451" s="106" t="str">
        <f>IFERROR(__xludf.DUMMYFUNCTION("""COMPUTED_VALUE"""),"Re-Delivery")</f>
        <v>Re-Delivery</v>
      </c>
      <c r="K451" s="106" t="str">
        <f>IFERROR(__xludf.DUMMYFUNCTION("""COMPUTED_VALUE"""),"Customer Care")</f>
        <v>Customer Care</v>
      </c>
      <c r="L451" s="106" t="str">
        <f>IFERROR(__xludf.DUMMYFUNCTION("""COMPUTED_VALUE"""),"Done")</f>
        <v>Done</v>
      </c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>
      <c r="A452" s="82"/>
      <c r="B452" s="98" t="str">
        <f>IFERROR(__xludf.DUMMYFUNCTION("""COMPUTED_VALUE"""),"400")</f>
        <v>400</v>
      </c>
      <c r="C452" s="98" t="str">
        <f>IFERROR(__xludf.DUMMYFUNCTION("""COMPUTED_VALUE"""),"Malik")</f>
        <v>Malik</v>
      </c>
      <c r="D452" s="98" t="str">
        <f>IFERROR(__xludf.DUMMYFUNCTION("""COMPUTED_VALUE"""),"766979286")</f>
        <v>766979286</v>
      </c>
      <c r="E452" s="98" t="str">
        <f>IFERROR(__xludf.DUMMYFUNCTION("""COMPUTED_VALUE"""),"N")</f>
        <v>N</v>
      </c>
      <c r="F452" s="98" t="str">
        <f>IFERROR(__xludf.DUMMYFUNCTION("""COMPUTED_VALUE"""),"Angel Attic")</f>
        <v>Angel Attic</v>
      </c>
      <c r="G452" s="98" t="str">
        <f>IFERROR(__xludf.DUMMYFUNCTION("""COMPUTED_VALUE"""),"A3536683")</f>
        <v>A3536683</v>
      </c>
      <c r="H452" s="98" t="str">
        <f>IFERROR(__xludf.DUMMYFUNCTION("""COMPUTED_VALUE"""),"No Proper Details")</f>
        <v>No Proper Details</v>
      </c>
      <c r="I452" s="98" t="str">
        <f>IFERROR(__xludf.DUMMYFUNCTION("""COMPUTED_VALUE"""),"Polonnaruwa")</f>
        <v>Polonnaruwa</v>
      </c>
      <c r="J452" s="98" t="str">
        <f>IFERROR(__xludf.DUMMYFUNCTION("""COMPUTED_VALUE"""),"Returned To Branch Rescheduled")</f>
        <v>Returned To Branch Rescheduled</v>
      </c>
      <c r="K452" s="98" t="str">
        <f>IFERROR(__xludf.DUMMYFUNCTION("""COMPUTED_VALUE"""),"Customer Care")</f>
        <v>Customer Care</v>
      </c>
      <c r="L452" s="98" t="str">
        <f>IFERROR(__xludf.DUMMYFUNCTION("""COMPUTED_VALUE"""),"Ask To Call Back With Proper Details")</f>
        <v>Ask To Call Back With Proper Details</v>
      </c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>
      <c r="A453" s="82"/>
      <c r="B453" s="106" t="str">
        <f>IFERROR(__xludf.DUMMYFUNCTION("""COMPUTED_VALUE"""),"401")</f>
        <v>401</v>
      </c>
      <c r="C453" s="106" t="str">
        <f>IFERROR(__xludf.DUMMYFUNCTION("""COMPUTED_VALUE"""),"Malik")</f>
        <v>Malik</v>
      </c>
      <c r="D453" s="106" t="str">
        <f>IFERROR(__xludf.DUMMYFUNCTION("""COMPUTED_VALUE"""),"765462824")</f>
        <v>765462824</v>
      </c>
      <c r="E453" s="106" t="str">
        <f>IFERROR(__xludf.DUMMYFUNCTION("""COMPUTED_VALUE"""),"N")</f>
        <v>N</v>
      </c>
      <c r="F453" s="106" t="str">
        <f>IFERROR(__xludf.DUMMYFUNCTION("""COMPUTED_VALUE"""),"Angel Attic")</f>
        <v>Angel Attic</v>
      </c>
      <c r="G453" s="106" t="str">
        <f>IFERROR(__xludf.DUMMYFUNCTION("""COMPUTED_VALUE"""),"A3536683")</f>
        <v>A3536683</v>
      </c>
      <c r="H453" s="106" t="str">
        <f>IFERROR(__xludf.DUMMYFUNCTION("""COMPUTED_VALUE"""),"No Proper Details")</f>
        <v>No Proper Details</v>
      </c>
      <c r="I453" s="106" t="str">
        <f>IFERROR(__xludf.DUMMYFUNCTION("""COMPUTED_VALUE"""),"Polonnaruwa")</f>
        <v>Polonnaruwa</v>
      </c>
      <c r="J453" s="106" t="str">
        <f>IFERROR(__xludf.DUMMYFUNCTION("""COMPUTED_VALUE"""),"Returned To Branch Rescheduled")</f>
        <v>Returned To Branch Rescheduled</v>
      </c>
      <c r="K453" s="106" t="str">
        <f>IFERROR(__xludf.DUMMYFUNCTION("""COMPUTED_VALUE"""),"Customer Care")</f>
        <v>Customer Care</v>
      </c>
      <c r="L453" s="106" t="str">
        <f>IFERROR(__xludf.DUMMYFUNCTION("""COMPUTED_VALUE"""),"Ask To Call Back With Proper Details")</f>
        <v>Ask To Call Back With Proper Details</v>
      </c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>
      <c r="A454" s="82"/>
      <c r="B454" s="98" t="str">
        <f>IFERROR(__xludf.DUMMYFUNCTION("""COMPUTED_VALUE"""),"383")</f>
        <v>383</v>
      </c>
      <c r="C454" s="98" t="str">
        <f>IFERROR(__xludf.DUMMYFUNCTION("""COMPUTED_VALUE"""),"Malik")</f>
        <v>Malik</v>
      </c>
      <c r="D454" s="98" t="str">
        <f>IFERROR(__xludf.DUMMYFUNCTION("""COMPUTED_VALUE"""),"720108485")</f>
        <v>720108485</v>
      </c>
      <c r="E454" s="98" t="str">
        <f>IFERROR(__xludf.DUMMYFUNCTION("""COMPUTED_VALUE"""),"N")</f>
        <v>N</v>
      </c>
      <c r="F454" s="98" t="str">
        <f>IFERROR(__xludf.DUMMYFUNCTION("""COMPUTED_VALUE"""),"Angel Attic")</f>
        <v>Angel Attic</v>
      </c>
      <c r="G454" s="98" t="str">
        <f>IFERROR(__xludf.DUMMYFUNCTION("""COMPUTED_VALUE"""),"A3536683")</f>
        <v>A3536683</v>
      </c>
      <c r="H454" s="98" t="str">
        <f>IFERROR(__xludf.DUMMYFUNCTION("""COMPUTED_VALUE"""),"Call Wrapped")</f>
        <v>Call Wrapped</v>
      </c>
      <c r="I454" s="98" t="str">
        <f>IFERROR(__xludf.DUMMYFUNCTION("""COMPUTED_VALUE"""),"Avissawella")</f>
        <v>Avissawella</v>
      </c>
      <c r="J454" s="98" t="str">
        <f>IFERROR(__xludf.DUMMYFUNCTION("""COMPUTED_VALUE"""),"Returned To Branch Failed To Deliver")</f>
        <v>Returned To Branch Failed To Deliver</v>
      </c>
      <c r="K454" s="98" t="str">
        <f>IFERROR(__xludf.DUMMYFUNCTION("""COMPUTED_VALUE"""),"Customer Care")</f>
        <v>Customer Care</v>
      </c>
      <c r="L454" s="98" t="str">
        <f>IFERROR(__xludf.DUMMYFUNCTION("""COMPUTED_VALUE"""),"Call Wrapped")</f>
        <v>Call Wrapped</v>
      </c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>
      <c r="A455" s="82"/>
      <c r="B455" s="106" t="str">
        <f>IFERROR(__xludf.DUMMYFUNCTION("""COMPUTED_VALUE"""),"403")</f>
        <v>403</v>
      </c>
      <c r="C455" s="106" t="str">
        <f>IFERROR(__xludf.DUMMYFUNCTION("""COMPUTED_VALUE"""),"Malik")</f>
        <v>Malik</v>
      </c>
      <c r="D455" s="106" t="str">
        <f>IFERROR(__xludf.DUMMYFUNCTION("""COMPUTED_VALUE"""),"773896655")</f>
        <v>773896655</v>
      </c>
      <c r="E455" s="106" t="str">
        <f>IFERROR(__xludf.DUMMYFUNCTION("""COMPUTED_VALUE"""),"N")</f>
        <v>N</v>
      </c>
      <c r="F455" s="106" t="str">
        <f>IFERROR(__xludf.DUMMYFUNCTION("""COMPUTED_VALUE"""),"Azac Hub")</f>
        <v>Azac Hub</v>
      </c>
      <c r="G455" s="106" t="str">
        <f>IFERROR(__xludf.DUMMYFUNCTION("""COMPUTED_VALUE"""),"A4051539")</f>
        <v>A4051539</v>
      </c>
      <c r="H455" s="106" t="str">
        <f>IFERROR(__xludf.DUMMYFUNCTION("""COMPUTED_VALUE"""),"Vacancy Call/ Askto Connect Hr")</f>
        <v>Vacancy Call/ Askto Connect Hr</v>
      </c>
      <c r="I455" s="106" t="str">
        <f>IFERROR(__xludf.DUMMYFUNCTION("""COMPUTED_VALUE"""),"Avissawella")</f>
        <v>Avissawella</v>
      </c>
      <c r="J455" s="106" t="str">
        <f>IFERROR(__xludf.DUMMYFUNCTION("""COMPUTED_VALUE"""),"Returned To Branch Failed To Deliver")</f>
        <v>Returned To Branch Failed To Deliver</v>
      </c>
      <c r="K455" s="106" t="str">
        <f>IFERROR(__xludf.DUMMYFUNCTION("""COMPUTED_VALUE"""),"Customer Care")</f>
        <v>Customer Care</v>
      </c>
      <c r="L455" s="106" t="str">
        <f>IFERROR(__xludf.DUMMYFUNCTION("""COMPUTED_VALUE"""),"Call Wrapped")</f>
        <v>Call Wrapped</v>
      </c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>
      <c r="A456" s="82"/>
      <c r="B456" s="98" t="str">
        <f>IFERROR(__xludf.DUMMYFUNCTION("""COMPUTED_VALUE"""),"385")</f>
        <v>385</v>
      </c>
      <c r="C456" s="98" t="str">
        <f>IFERROR(__xludf.DUMMYFUNCTION("""COMPUTED_VALUE"""),"Malik")</f>
        <v>Malik</v>
      </c>
      <c r="D456" s="98" t="str">
        <f>IFERROR(__xludf.DUMMYFUNCTION("""COMPUTED_VALUE"""),"701618102")</f>
        <v>701618102</v>
      </c>
      <c r="E456" s="98" t="str">
        <f>IFERROR(__xludf.DUMMYFUNCTION("""COMPUTED_VALUE"""),"N")</f>
        <v>N</v>
      </c>
      <c r="F456" s="98" t="str">
        <f>IFERROR(__xludf.DUMMYFUNCTION("""COMPUTED_VALUE"""),"Byte Boost Marketing")</f>
        <v>Byte Boost Marketing</v>
      </c>
      <c r="G456" s="98" t="str">
        <f>IFERROR(__xludf.DUMMYFUNCTION("""COMPUTED_VALUE"""),"BE110464")</f>
        <v>BE110464</v>
      </c>
      <c r="H456" s="98" t="str">
        <f>IFERROR(__xludf.DUMMYFUNCTION("""COMPUTED_VALUE"""),"Customer Toldhe Will Pick Thje Parcel At Branch")</f>
        <v>Customer Toldhe Will Pick Thje Parcel At Branch</v>
      </c>
      <c r="I456" s="98" t="str">
        <f>IFERROR(__xludf.DUMMYFUNCTION("""COMPUTED_VALUE"""),"Kegalle")</f>
        <v>Kegalle</v>
      </c>
      <c r="J456" s="98" t="str">
        <f>IFERROR(__xludf.DUMMYFUNCTION("""COMPUTED_VALUE"""),"Received At Destination")</f>
        <v>Received At Destination</v>
      </c>
      <c r="K456" s="98" t="str">
        <f>IFERROR(__xludf.DUMMYFUNCTION("""COMPUTED_VALUE"""),"Branch Operations")</f>
        <v>Branch Operations</v>
      </c>
      <c r="L456" s="98" t="str">
        <f>IFERROR(__xludf.DUMMYFUNCTION("""COMPUTED_VALUE"""),"Call Transfered To Branh And Informed To Them")</f>
        <v>Call Transfered To Branh And Informed To Them</v>
      </c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>
      <c r="A457" s="82"/>
      <c r="B457" s="106" t="str">
        <f>IFERROR(__xludf.DUMMYFUNCTION("""COMPUTED_VALUE"""),"405")</f>
        <v>405</v>
      </c>
      <c r="C457" s="106" t="str">
        <f>IFERROR(__xludf.DUMMYFUNCTION("""COMPUTED_VALUE"""),"Malik")</f>
        <v>Malik</v>
      </c>
      <c r="D457" s="106" t="str">
        <f>IFERROR(__xludf.DUMMYFUNCTION("""COMPUTED_VALUE"""),"770063998")</f>
        <v>770063998</v>
      </c>
      <c r="E457" s="106" t="str">
        <f>IFERROR(__xludf.DUMMYFUNCTION("""COMPUTED_VALUE"""),"Y")</f>
        <v>Y</v>
      </c>
      <c r="F457" s="106" t="str">
        <f>IFERROR(__xludf.DUMMYFUNCTION("""COMPUTED_VALUE"""),"Mahaovita Hela Osu")</f>
        <v>Mahaovita Hela Osu</v>
      </c>
      <c r="G457" s="106" t="str">
        <f>IFERROR(__xludf.DUMMYFUNCTION("""COMPUTED_VALUE"""),"A3698571")</f>
        <v>A3698571</v>
      </c>
      <c r="H457" s="106" t="str">
        <f>IFERROR(__xludf.DUMMYFUNCTION("""COMPUTED_VALUE"""),"Call Wrapped")</f>
        <v>Call Wrapped</v>
      </c>
      <c r="I457" s="106" t="str">
        <f>IFERROR(__xludf.DUMMYFUNCTION("""COMPUTED_VALUE"""),"Thalawathugoda")</f>
        <v>Thalawathugoda</v>
      </c>
      <c r="J457" s="106" t="str">
        <f>IFERROR(__xludf.DUMMYFUNCTION("""COMPUTED_VALUE"""),"Delivered")</f>
        <v>Delivered</v>
      </c>
      <c r="K457" s="106" t="str">
        <f>IFERROR(__xludf.DUMMYFUNCTION("""COMPUTED_VALUE"""),"Customer Care")</f>
        <v>Customer Care</v>
      </c>
      <c r="L457" s="106" t="str">
        <f>IFERROR(__xludf.DUMMYFUNCTION("""COMPUTED_VALUE"""),"Sent A Msg To Genzo Madushika")</f>
        <v>Sent A Msg To Genzo Madushika</v>
      </c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>
      <c r="A458" s="82"/>
      <c r="B458" s="98" t="str">
        <f>IFERROR(__xludf.DUMMYFUNCTION("""COMPUTED_VALUE"""),"387")</f>
        <v>387</v>
      </c>
      <c r="C458" s="98" t="str">
        <f>IFERROR(__xludf.DUMMYFUNCTION("""COMPUTED_VALUE"""),"Malik")</f>
        <v>Malik</v>
      </c>
      <c r="D458" s="98" t="str">
        <f>IFERROR(__xludf.DUMMYFUNCTION("""COMPUTED_VALUE"""),"717127550")</f>
        <v>717127550</v>
      </c>
      <c r="E458" s="98" t="str">
        <f>IFERROR(__xludf.DUMMYFUNCTION("""COMPUTED_VALUE"""),"N")</f>
        <v>N</v>
      </c>
      <c r="F458" s="98" t="str">
        <f>IFERROR(__xludf.DUMMYFUNCTION("""COMPUTED_VALUE"""),"Neha Skin")</f>
        <v>Neha Skin</v>
      </c>
      <c r="G458" s="98" t="str">
        <f>IFERROR(__xludf.DUMMYFUNCTION("""COMPUTED_VALUE"""),"BE108407")</f>
        <v>BE108407</v>
      </c>
      <c r="H458" s="98" t="str">
        <f>IFERROR(__xludf.DUMMYFUNCTION("""COMPUTED_VALUE"""),"Delivery Today")</f>
        <v>Delivery Today</v>
      </c>
      <c r="I458" s="98" t="str">
        <f>IFERROR(__xludf.DUMMYFUNCTION("""COMPUTED_VALUE"""),"Thalawathugoda")</f>
        <v>Thalawathugoda</v>
      </c>
      <c r="J458" s="98" t="str">
        <f>IFERROR(__xludf.DUMMYFUNCTION("""COMPUTED_VALUE"""),"Returned To Branch Failed To Deliver")</f>
        <v>Returned To Branch Failed To Deliver</v>
      </c>
      <c r="K458" s="98" t="str">
        <f>IFERROR(__xludf.DUMMYFUNCTION("""COMPUTED_VALUE"""),"Branch Operations")</f>
        <v>Branch Operations</v>
      </c>
      <c r="L458" s="98" t="str">
        <f>IFERROR(__xludf.DUMMYFUNCTION("""COMPUTED_VALUE"""),"Info Branch")</f>
        <v>Info Branch</v>
      </c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>
      <c r="A459" s="82"/>
      <c r="B459" s="106" t="str">
        <f>IFERROR(__xludf.DUMMYFUNCTION("""COMPUTED_VALUE"""),"388")</f>
        <v>388</v>
      </c>
      <c r="C459" s="106" t="str">
        <f>IFERROR(__xludf.DUMMYFUNCTION("""COMPUTED_VALUE"""),"Malik")</f>
        <v>Malik</v>
      </c>
      <c r="D459" s="106" t="str">
        <f>IFERROR(__xludf.DUMMYFUNCTION("""COMPUTED_VALUE"""),"710607191")</f>
        <v>710607191</v>
      </c>
      <c r="E459" s="106" t="str">
        <f>IFERROR(__xludf.DUMMYFUNCTION("""COMPUTED_VALUE"""),"N")</f>
        <v>N</v>
      </c>
      <c r="F459" s="106" t="str">
        <f>IFERROR(__xludf.DUMMYFUNCTION("""COMPUTED_VALUE"""),"Winpro Holdings")</f>
        <v>Winpro Holdings</v>
      </c>
      <c r="G459" s="106" t="str">
        <f>IFERROR(__xludf.DUMMYFUNCTION("""COMPUTED_VALUE"""),"BE010314")</f>
        <v>BE010314</v>
      </c>
      <c r="H459" s="106" t="str">
        <f>IFERROR(__xludf.DUMMYFUNCTION("""COMPUTED_VALUE"""),"Some Details / Return To Client")</f>
        <v>Some Details / Return To Client</v>
      </c>
      <c r="I459" s="106" t="str">
        <f>IFERROR(__xludf.DUMMYFUNCTION("""COMPUTED_VALUE"""),"Thalawathugoda")</f>
        <v>Thalawathugoda</v>
      </c>
      <c r="J459" s="106" t="str">
        <f>IFERROR(__xludf.DUMMYFUNCTION("""COMPUTED_VALUE"""),"Returned To Client")</f>
        <v>Returned To Client</v>
      </c>
      <c r="K459" s="106" t="str">
        <f>IFERROR(__xludf.DUMMYFUNCTION("""COMPUTED_VALUE"""),"Customer Care")</f>
        <v>Customer Care</v>
      </c>
      <c r="L459" s="106" t="str">
        <f>IFERROR(__xludf.DUMMYFUNCTION("""COMPUTED_VALUE"""),"Details Given")</f>
        <v>Details Given</v>
      </c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>
      <c r="A460" s="82"/>
      <c r="B460" s="98" t="str">
        <f>IFERROR(__xludf.DUMMYFUNCTION("""COMPUTED_VALUE"""),"388")</f>
        <v>388</v>
      </c>
      <c r="C460" s="98" t="str">
        <f>IFERROR(__xludf.DUMMYFUNCTION("""COMPUTED_VALUE"""),"Malik")</f>
        <v>Malik</v>
      </c>
      <c r="D460" s="98" t="str">
        <f>IFERROR(__xludf.DUMMYFUNCTION("""COMPUTED_VALUE"""),"710607191")</f>
        <v>710607191</v>
      </c>
      <c r="E460" s="98" t="str">
        <f>IFERROR(__xludf.DUMMYFUNCTION("""COMPUTED_VALUE"""),"N")</f>
        <v>N</v>
      </c>
      <c r="F460" s="98" t="str">
        <f>IFERROR(__xludf.DUMMYFUNCTION("""COMPUTED_VALUE"""),"Winpro Holdings")</f>
        <v>Winpro Holdings</v>
      </c>
      <c r="G460" s="98" t="str">
        <f>IFERROR(__xludf.DUMMYFUNCTION("""COMPUTED_VALUE"""),"BE007011 ")</f>
        <v>BE007011 </v>
      </c>
      <c r="H460" s="98" t="str">
        <f>IFERROR(__xludf.DUMMYFUNCTION("""COMPUTED_VALUE"""),"Some Details / Return To Client")</f>
        <v>Some Details / Return To Client</v>
      </c>
      <c r="I460" s="98" t="str">
        <f>IFERROR(__xludf.DUMMYFUNCTION("""COMPUTED_VALUE"""),"Thalawathugoda")</f>
        <v>Thalawathugoda</v>
      </c>
      <c r="J460" s="98" t="str">
        <f>IFERROR(__xludf.DUMMYFUNCTION("""COMPUTED_VALUE"""),"Returned To Client")</f>
        <v>Returned To Client</v>
      </c>
      <c r="K460" s="98" t="str">
        <f>IFERROR(__xludf.DUMMYFUNCTION("""COMPUTED_VALUE"""),"Customer Care")</f>
        <v>Customer Care</v>
      </c>
      <c r="L460" s="98" t="str">
        <f>IFERROR(__xludf.DUMMYFUNCTION("""COMPUTED_VALUE"""),"Details Given")</f>
        <v>Details Given</v>
      </c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>
      <c r="A461" s="82"/>
      <c r="B461" s="106" t="str">
        <f>IFERROR(__xludf.DUMMYFUNCTION("""COMPUTED_VALUE"""),"409")</f>
        <v>409</v>
      </c>
      <c r="C461" s="106" t="str">
        <f>IFERROR(__xludf.DUMMYFUNCTION("""COMPUTED_VALUE"""),"Malik")</f>
        <v>Malik</v>
      </c>
      <c r="D461" s="106" t="str">
        <f>IFERROR(__xludf.DUMMYFUNCTION("""COMPUTED_VALUE"""),"779449477")</f>
        <v>779449477</v>
      </c>
      <c r="E461" s="106" t="str">
        <f>IFERROR(__xludf.DUMMYFUNCTION("""COMPUTED_VALUE"""),"N")</f>
        <v>N</v>
      </c>
      <c r="F461" s="106" t="str">
        <f>IFERROR(__xludf.DUMMYFUNCTION("""COMPUTED_VALUE"""),"Ceylon Ayura")</f>
        <v>Ceylon Ayura</v>
      </c>
      <c r="G461" s="106" t="str">
        <f>IFERROR(__xludf.DUMMYFUNCTION("""COMPUTED_VALUE"""),"BE078767")</f>
        <v>BE078767</v>
      </c>
      <c r="H461" s="106" t="str">
        <f>IFERROR(__xludf.DUMMYFUNCTION("""COMPUTED_VALUE"""),"No Responce Mid Way")</f>
        <v>No Responce Mid Way</v>
      </c>
      <c r="I461" s="106" t="str">
        <f>IFERROR(__xludf.DUMMYFUNCTION("""COMPUTED_VALUE"""),"Galle")</f>
        <v>Galle</v>
      </c>
      <c r="J461" s="106" t="str">
        <f>IFERROR(__xludf.DUMMYFUNCTION("""COMPUTED_VALUE"""),"Returned To Branch Failed To Deliver")</f>
        <v>Returned To Branch Failed To Deliver</v>
      </c>
      <c r="K461" s="106" t="str">
        <f>IFERROR(__xludf.DUMMYFUNCTION("""COMPUTED_VALUE"""),"Customer Care")</f>
        <v>Customer Care</v>
      </c>
      <c r="L461" s="106" t="str">
        <f>IFERROR(__xludf.DUMMYFUNCTION("""COMPUTED_VALUE"""),"Call Wrapped And Call Back Number Is Nusy")</f>
        <v>Call Wrapped And Call Back Number Is Nusy</v>
      </c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>
      <c r="A462" s="82"/>
      <c r="B462" s="98" t="str">
        <f>IFERROR(__xludf.DUMMYFUNCTION("""COMPUTED_VALUE"""),"410")</f>
        <v>410</v>
      </c>
      <c r="C462" s="98" t="str">
        <f>IFERROR(__xludf.DUMMYFUNCTION("""COMPUTED_VALUE"""),"Malik")</f>
        <v>Malik</v>
      </c>
      <c r="D462" s="98" t="str">
        <f>IFERROR(__xludf.DUMMYFUNCTION("""COMPUTED_VALUE"""),"770877270")</f>
        <v>770877270</v>
      </c>
      <c r="E462" s="98" t="str">
        <f>IFERROR(__xludf.DUMMYFUNCTION("""COMPUTED_VALUE"""),"Y")</f>
        <v>Y</v>
      </c>
      <c r="F462" s="98" t="str">
        <f>IFERROR(__xludf.DUMMYFUNCTION("""COMPUTED_VALUE"""),"Ceylon Ayura")</f>
        <v>Ceylon Ayura</v>
      </c>
      <c r="G462" s="98" t="str">
        <f>IFERROR(__xludf.DUMMYFUNCTION("""COMPUTED_VALUE"""),"BE078767")</f>
        <v>BE078767</v>
      </c>
      <c r="H462" s="98" t="str">
        <f>IFERROR(__xludf.DUMMYFUNCTION("""COMPUTED_VALUE"""),"Bussiness Name Change")</f>
        <v>Bussiness Name Change</v>
      </c>
      <c r="I462" s="98" t="str">
        <f>IFERROR(__xludf.DUMMYFUNCTION("""COMPUTED_VALUE"""),"Galle")</f>
        <v>Galle</v>
      </c>
      <c r="J462" s="98" t="str">
        <f>IFERROR(__xludf.DUMMYFUNCTION("""COMPUTED_VALUE"""),"Returned To Branch Failed To Deliver")</f>
        <v>Returned To Branch Failed To Deliver</v>
      </c>
      <c r="K462" s="98" t="str">
        <f>IFERROR(__xludf.DUMMYFUNCTION("""COMPUTED_VALUE"""),"Sales")</f>
        <v>Sales</v>
      </c>
      <c r="L462" s="98" t="str">
        <f>IFERROR(__xludf.DUMMYFUNCTION("""COMPUTED_VALUE"""),"Marketing Department Number Given")</f>
        <v>Marketing Department Number Given</v>
      </c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>
      <c r="A463" s="82"/>
      <c r="B463" s="106" t="str">
        <f>IFERROR(__xludf.DUMMYFUNCTION("""COMPUTED_VALUE"""),"391")</f>
        <v>391</v>
      </c>
      <c r="C463" s="106" t="str">
        <f>IFERROR(__xludf.DUMMYFUNCTION("""COMPUTED_VALUE"""),"Malik")</f>
        <v>Malik</v>
      </c>
      <c r="D463" s="106" t="str">
        <f>IFERROR(__xludf.DUMMYFUNCTION("""COMPUTED_VALUE"""),"715171873")</f>
        <v>715171873</v>
      </c>
      <c r="E463" s="106" t="str">
        <f>IFERROR(__xludf.DUMMYFUNCTION("""COMPUTED_VALUE"""),"N")</f>
        <v>N</v>
      </c>
      <c r="F463" s="107" t="str">
        <f>IFERROR(__xludf.DUMMYFUNCTION("""COMPUTED_VALUE"""),"Onelink.Lk")</f>
        <v>Onelink.Lk</v>
      </c>
      <c r="G463" s="106" t="str">
        <f>IFERROR(__xludf.DUMMYFUNCTION("""COMPUTED_VALUE"""),"BE066365")</f>
        <v>BE066365</v>
      </c>
      <c r="H463" s="106" t="str">
        <f>IFERROR(__xludf.DUMMYFUNCTION("""COMPUTED_VALUE"""),"Some Details / Delivery")</f>
        <v>Some Details / Delivery</v>
      </c>
      <c r="I463" s="106" t="str">
        <f>IFERROR(__xludf.DUMMYFUNCTION("""COMPUTED_VALUE"""),"Ratmalana")</f>
        <v>Ratmalana</v>
      </c>
      <c r="J463" s="106" t="str">
        <f>IFERROR(__xludf.DUMMYFUNCTION("""COMPUTED_VALUE"""),"Delivered")</f>
        <v>Delivered</v>
      </c>
      <c r="K463" s="106" t="str">
        <f>IFERROR(__xludf.DUMMYFUNCTION("""COMPUTED_VALUE"""),"Customer Care")</f>
        <v>Customer Care</v>
      </c>
      <c r="L463" s="106" t="str">
        <f>IFERROR(__xludf.DUMMYFUNCTION("""COMPUTED_VALUE"""),"Details Given")</f>
        <v>Details Given</v>
      </c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>
      <c r="A464" s="82"/>
      <c r="B464" s="98" t="str">
        <f>IFERROR(__xludf.DUMMYFUNCTION("""COMPUTED_VALUE"""),"392")</f>
        <v>392</v>
      </c>
      <c r="C464" s="98" t="str">
        <f>IFERROR(__xludf.DUMMYFUNCTION("""COMPUTED_VALUE"""),"Malik")</f>
        <v>Malik</v>
      </c>
      <c r="D464" s="98" t="str">
        <f>IFERROR(__xludf.DUMMYFUNCTION("""COMPUTED_VALUE"""),"756081207")</f>
        <v>756081207</v>
      </c>
      <c r="E464" s="98" t="str">
        <f>IFERROR(__xludf.DUMMYFUNCTION("""COMPUTED_VALUE"""),"N")</f>
        <v>N</v>
      </c>
      <c r="F464" s="108" t="str">
        <f>IFERROR(__xludf.DUMMYFUNCTION("""COMPUTED_VALUE"""),"Saleway.Lk")</f>
        <v>Saleway.Lk</v>
      </c>
      <c r="G464" s="98" t="str">
        <f>IFERROR(__xludf.DUMMYFUNCTION("""COMPUTED_VALUE"""),"BD910852")</f>
        <v>BD910852</v>
      </c>
      <c r="H464" s="98" t="str">
        <f>IFERROR(__xludf.DUMMYFUNCTION("""COMPUTED_VALUE"""),"Customer Wants To Return The Parcel")</f>
        <v>Customer Wants To Return The Parcel</v>
      </c>
      <c r="I464" s="98" t="str">
        <f>IFERROR(__xludf.DUMMYFUNCTION("""COMPUTED_VALUE"""),"Ratmalana")</f>
        <v>Ratmalana</v>
      </c>
      <c r="J464" s="98" t="str">
        <f>IFERROR(__xludf.DUMMYFUNCTION("""COMPUTED_VALUE"""),"Delivered")</f>
        <v>Delivered</v>
      </c>
      <c r="K464" s="98" t="str">
        <f>IFERROR(__xludf.DUMMYFUNCTION("""COMPUTED_VALUE"""),"Customer Care")</f>
        <v>Customer Care</v>
      </c>
      <c r="L464" s="98" t="str">
        <f>IFERROR(__xludf.DUMMYFUNCTION("""COMPUTED_VALUE"""),"Info Deepika")</f>
        <v>Info Deepika</v>
      </c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>
      <c r="A465" s="82"/>
      <c r="B465" s="106" t="str">
        <f>IFERROR(__xludf.DUMMYFUNCTION("""COMPUTED_VALUE"""),"413")</f>
        <v>413</v>
      </c>
      <c r="C465" s="106" t="str">
        <f>IFERROR(__xludf.DUMMYFUNCTION("""COMPUTED_VALUE"""),"Malik")</f>
        <v>Malik</v>
      </c>
      <c r="D465" s="106" t="str">
        <f>IFERROR(__xludf.DUMMYFUNCTION("""COMPUTED_VALUE"""),"702337422")</f>
        <v>702337422</v>
      </c>
      <c r="E465" s="106" t="str">
        <f>IFERROR(__xludf.DUMMYFUNCTION("""COMPUTED_VALUE"""),"Y")</f>
        <v>Y</v>
      </c>
      <c r="F465" s="106" t="str">
        <f>IFERROR(__xludf.DUMMYFUNCTION("""COMPUTED_VALUE"""),"Skyline")</f>
        <v>Skyline</v>
      </c>
      <c r="G465" s="106" t="str">
        <f>IFERROR(__xludf.DUMMYFUNCTION("""COMPUTED_VALUE"""),"BE096087")</f>
        <v>BE096087</v>
      </c>
      <c r="H465" s="106" t="str">
        <f>IFERROR(__xludf.DUMMYFUNCTION("""COMPUTED_VALUE"""),"Call Wrapped")</f>
        <v>Call Wrapped</v>
      </c>
      <c r="I465" s="106" t="str">
        <f>IFERROR(__xludf.DUMMYFUNCTION("""COMPUTED_VALUE"""),"Jaffna")</f>
        <v>Jaffna</v>
      </c>
      <c r="J465" s="106" t="str">
        <f>IFERROR(__xludf.DUMMYFUNCTION("""COMPUTED_VALUE"""),"Returned To Branch Rescheduled")</f>
        <v>Returned To Branch Rescheduled</v>
      </c>
      <c r="K465" s="106" t="str">
        <f>IFERROR(__xludf.DUMMYFUNCTION("""COMPUTED_VALUE"""),"Customer Care")</f>
        <v>Customer Care</v>
      </c>
      <c r="L465" s="106" t="str">
        <f>IFERROR(__xludf.DUMMYFUNCTION("""COMPUTED_VALUE"""),"Call Wrapped")</f>
        <v>Call Wrapped</v>
      </c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>
      <c r="A466" s="82"/>
      <c r="B466" s="98" t="str">
        <f>IFERROR(__xludf.DUMMYFUNCTION("""COMPUTED_VALUE"""),"394")</f>
        <v>394</v>
      </c>
      <c r="C466" s="98" t="str">
        <f>IFERROR(__xludf.DUMMYFUNCTION("""COMPUTED_VALUE"""),"Malik")</f>
        <v>Malik</v>
      </c>
      <c r="D466" s="98" t="str">
        <f>IFERROR(__xludf.DUMMYFUNCTION("""COMPUTED_VALUE"""),"778839082")</f>
        <v>778839082</v>
      </c>
      <c r="E466" s="98" t="str">
        <f>IFERROR(__xludf.DUMMYFUNCTION("""COMPUTED_VALUE"""),"N")</f>
        <v>N</v>
      </c>
      <c r="F466" s="108" t="str">
        <f>IFERROR(__xludf.DUMMYFUNCTION("""COMPUTED_VALUE"""),"Primex.Lk")</f>
        <v>Primex.Lk</v>
      </c>
      <c r="G466" s="98" t="str">
        <f>IFERROR(__xludf.DUMMYFUNCTION("""COMPUTED_VALUE"""),"BE092398")</f>
        <v>BE092398</v>
      </c>
      <c r="H466" s="98" t="str">
        <f>IFERROR(__xludf.DUMMYFUNCTION("""COMPUTED_VALUE"""),"Delivery Today")</f>
        <v>Delivery Today</v>
      </c>
      <c r="I466" s="98" t="str">
        <f>IFERROR(__xludf.DUMMYFUNCTION("""COMPUTED_VALUE"""),"Ja-Ela")</f>
        <v>Ja-Ela</v>
      </c>
      <c r="J466" s="98" t="str">
        <f>IFERROR(__xludf.DUMMYFUNCTION("""COMPUTED_VALUE"""),"Returned To Branch Failed To Deliver")</f>
        <v>Returned To Branch Failed To Deliver</v>
      </c>
      <c r="K466" s="98" t="str">
        <f>IFERROR(__xludf.DUMMYFUNCTION("""COMPUTED_VALUE"""),"Branch Operations")</f>
        <v>Branch Operations</v>
      </c>
      <c r="L466" s="98" t="str">
        <f>IFERROR(__xludf.DUMMYFUNCTION("""COMPUTED_VALUE"""),"Info Branch")</f>
        <v>Info Branch</v>
      </c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>
      <c r="A467" s="82"/>
      <c r="B467" s="106" t="str">
        <f>IFERROR(__xludf.DUMMYFUNCTION("""COMPUTED_VALUE"""),"395")</f>
        <v>395</v>
      </c>
      <c r="C467" s="106" t="str">
        <f>IFERROR(__xludf.DUMMYFUNCTION("""COMPUTED_VALUE"""),"Malik")</f>
        <v>Malik</v>
      </c>
      <c r="D467" s="106" t="str">
        <f>IFERROR(__xludf.DUMMYFUNCTION("""COMPUTED_VALUE"""),"741693627")</f>
        <v>741693627</v>
      </c>
      <c r="E467" s="106" t="str">
        <f>IFERROR(__xludf.DUMMYFUNCTION("""COMPUTED_VALUE"""),"N")</f>
        <v>N</v>
      </c>
      <c r="F467" s="106" t="str">
        <f>IFERROR(__xludf.DUMMYFUNCTION("""COMPUTED_VALUE"""),"Manjistha Hair Oil")</f>
        <v>Manjistha Hair Oil</v>
      </c>
      <c r="G467" s="106" t="str">
        <f>IFERROR(__xludf.DUMMYFUNCTION("""COMPUTED_VALUE"""),"A4383823")</f>
        <v>A4383823</v>
      </c>
      <c r="H467" s="106" t="str">
        <f>IFERROR(__xludf.DUMMYFUNCTION("""COMPUTED_VALUE"""),"Some Details")</f>
        <v>Some Details</v>
      </c>
      <c r="I467" s="106" t="str">
        <f>IFERROR(__xludf.DUMMYFUNCTION("""COMPUTED_VALUE"""),"Ja-Ela")</f>
        <v>Ja-Ela</v>
      </c>
      <c r="J467" s="106" t="str">
        <f>IFERROR(__xludf.DUMMYFUNCTION("""COMPUTED_VALUE"""),"Returned To Branch Failed To Deliver")</f>
        <v>Returned To Branch Failed To Deliver</v>
      </c>
      <c r="K467" s="106" t="str">
        <f>IFERROR(__xludf.DUMMYFUNCTION("""COMPUTED_VALUE"""),"Customer Care")</f>
        <v>Customer Care</v>
      </c>
      <c r="L467" s="106" t="str">
        <f>IFERROR(__xludf.DUMMYFUNCTION("""COMPUTED_VALUE"""),"Details Given")</f>
        <v>Details Given</v>
      </c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>
      <c r="A468" s="82"/>
      <c r="B468" s="98" t="str">
        <f>IFERROR(__xludf.DUMMYFUNCTION("""COMPUTED_VALUE"""),"416")</f>
        <v>416</v>
      </c>
      <c r="C468" s="98" t="str">
        <f>IFERROR(__xludf.DUMMYFUNCTION("""COMPUTED_VALUE"""),"Malik")</f>
        <v>Malik</v>
      </c>
      <c r="D468" s="98" t="str">
        <f>IFERROR(__xludf.DUMMYFUNCTION("""COMPUTED_VALUE"""),"705130700")</f>
        <v>705130700</v>
      </c>
      <c r="E468" s="98" t="str">
        <f>IFERROR(__xludf.DUMMYFUNCTION("""COMPUTED_VALUE"""),"N")</f>
        <v>N</v>
      </c>
      <c r="F468" s="108" t="str">
        <f>IFERROR(__xludf.DUMMYFUNCTION("""COMPUTED_VALUE"""),"Onelink.Lk")</f>
        <v>Onelink.Lk</v>
      </c>
      <c r="G468" s="98" t="str">
        <f>IFERROR(__xludf.DUMMYFUNCTION("""COMPUTED_VALUE"""),"BE066365")</f>
        <v>BE066365</v>
      </c>
      <c r="H468" s="98" t="str">
        <f>IFERROR(__xludf.DUMMYFUNCTION("""COMPUTED_VALUE"""),"No Proper Details")</f>
        <v>No Proper Details</v>
      </c>
      <c r="I468" s="98" t="str">
        <f>IFERROR(__xludf.DUMMYFUNCTION("""COMPUTED_VALUE"""),"Ratmalana")</f>
        <v>Ratmalana</v>
      </c>
      <c r="J468" s="98" t="str">
        <f>IFERROR(__xludf.DUMMYFUNCTION("""COMPUTED_VALUE"""),"Delivered")</f>
        <v>Delivered</v>
      </c>
      <c r="K468" s="98" t="str">
        <f>IFERROR(__xludf.DUMMYFUNCTION("""COMPUTED_VALUE"""),"Customer Care")</f>
        <v>Customer Care</v>
      </c>
      <c r="L468" s="98" t="str">
        <f>IFERROR(__xludf.DUMMYFUNCTION("""COMPUTED_VALUE"""),"Ask To Call Back With Proper Details")</f>
        <v>Ask To Call Back With Proper Details</v>
      </c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>
      <c r="A469" s="82"/>
      <c r="B469" s="106" t="str">
        <f>IFERROR(__xludf.DUMMYFUNCTION("""COMPUTED_VALUE"""),"397")</f>
        <v>397</v>
      </c>
      <c r="C469" s="106" t="str">
        <f>IFERROR(__xludf.DUMMYFUNCTION("""COMPUTED_VALUE"""),"Malik")</f>
        <v>Malik</v>
      </c>
      <c r="D469" s="106" t="str">
        <f>IFERROR(__xludf.DUMMYFUNCTION("""COMPUTED_VALUE"""),"714695400")</f>
        <v>714695400</v>
      </c>
      <c r="E469" s="106" t="str">
        <f>IFERROR(__xludf.DUMMYFUNCTION("""COMPUTED_VALUE"""),"Y")</f>
        <v>Y</v>
      </c>
      <c r="F469" s="106" t="str">
        <f>IFERROR(__xludf.DUMMYFUNCTION("""COMPUTED_VALUE"""),"Rosi Luggage &amp; Bags")</f>
        <v>Rosi Luggage &amp; Bags</v>
      </c>
      <c r="G469" s="106" t="str">
        <f>IFERROR(__xludf.DUMMYFUNCTION("""COMPUTED_VALUE"""),"90978952")</f>
        <v>90978952</v>
      </c>
      <c r="H469" s="106" t="str">
        <f>IFERROR(__xludf.DUMMYFUNCTION("""COMPUTED_VALUE"""),"Payment Issue")</f>
        <v>Payment Issue</v>
      </c>
      <c r="I469" s="106" t="str">
        <f>IFERROR(__xludf.DUMMYFUNCTION("""COMPUTED_VALUE"""),"Colombo Metro")</f>
        <v>Colombo Metro</v>
      </c>
      <c r="J469" s="106" t="str">
        <f>IFERROR(__xludf.DUMMYFUNCTION("""COMPUTED_VALUE"""),"Received At Destination")</f>
        <v>Received At Destination</v>
      </c>
      <c r="K469" s="106" t="str">
        <f>IFERROR(__xludf.DUMMYFUNCTION("""COMPUTED_VALUE"""),"Customer Care")</f>
        <v>Customer Care</v>
      </c>
      <c r="L469" s="106" t="str">
        <f>IFERROR(__xludf.DUMMYFUNCTION("""COMPUTED_VALUE"""),"Call Transfered To Finance")</f>
        <v>Call Transfered To Finance</v>
      </c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>
      <c r="A470" s="82"/>
      <c r="B470" s="98" t="str">
        <f>IFERROR(__xludf.DUMMYFUNCTION("""COMPUTED_VALUE"""),"419")</f>
        <v>419</v>
      </c>
      <c r="C470" s="98" t="str">
        <f>IFERROR(__xludf.DUMMYFUNCTION("""COMPUTED_VALUE"""),"Malik")</f>
        <v>Malik</v>
      </c>
      <c r="D470" s="98" t="str">
        <f>IFERROR(__xludf.DUMMYFUNCTION("""COMPUTED_VALUE"""),"768046805")</f>
        <v>768046805</v>
      </c>
      <c r="E470" s="98" t="str">
        <f>IFERROR(__xludf.DUMMYFUNCTION("""COMPUTED_VALUE"""),"N")</f>
        <v>N</v>
      </c>
      <c r="F470" s="98" t="str">
        <f>IFERROR(__xludf.DUMMYFUNCTION("""COMPUTED_VALUE"""),"Hk Fashion Mirigama")</f>
        <v>Hk Fashion Mirigama</v>
      </c>
      <c r="G470" s="98" t="str">
        <f>IFERROR(__xludf.DUMMYFUNCTION("""COMPUTED_VALUE"""),"A4157598")</f>
        <v>A4157598</v>
      </c>
      <c r="H470" s="98" t="str">
        <f>IFERROR(__xludf.DUMMYFUNCTION("""COMPUTED_VALUE"""),"Some Details /Delivery")</f>
        <v>Some Details /Delivery</v>
      </c>
      <c r="I470" s="98" t="str">
        <f>IFERROR(__xludf.DUMMYFUNCTION("""COMPUTED_VALUE"""),"Ja-Ela")</f>
        <v>Ja-Ela</v>
      </c>
      <c r="J470" s="98" t="str">
        <f>IFERROR(__xludf.DUMMYFUNCTION("""COMPUTED_VALUE"""),"Returned To Branch Failed To Deliver")</f>
        <v>Returned To Branch Failed To Deliver</v>
      </c>
      <c r="K470" s="98" t="str">
        <f>IFERROR(__xludf.DUMMYFUNCTION("""COMPUTED_VALUE"""),"Customer Care")</f>
        <v>Customer Care</v>
      </c>
      <c r="L470" s="98" t="str">
        <f>IFERROR(__xludf.DUMMYFUNCTION("""COMPUTED_VALUE"""),"Details Given")</f>
        <v>Details Given</v>
      </c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>
      <c r="A471" s="82"/>
      <c r="B471" s="106" t="str">
        <f>IFERROR(__xludf.DUMMYFUNCTION("""COMPUTED_VALUE"""),"422")</f>
        <v>422</v>
      </c>
      <c r="C471" s="106" t="str">
        <f>IFERROR(__xludf.DUMMYFUNCTION("""COMPUTED_VALUE"""),"Malik")</f>
        <v>Malik</v>
      </c>
      <c r="D471" s="106" t="str">
        <f>IFERROR(__xludf.DUMMYFUNCTION("""COMPUTED_VALUE"""),"755865990")</f>
        <v>755865990</v>
      </c>
      <c r="E471" s="106" t="str">
        <f>IFERROR(__xludf.DUMMYFUNCTION("""COMPUTED_VALUE"""),"Y")</f>
        <v>Y</v>
      </c>
      <c r="F471" s="106" t="str">
        <f>IFERROR(__xludf.DUMMYFUNCTION("""COMPUTED_VALUE"""),"Mahaovita Hela Osu")</f>
        <v>Mahaovita Hela Osu</v>
      </c>
      <c r="G471" s="106" t="str">
        <f>IFERROR(__xludf.DUMMYFUNCTION("""COMPUTED_VALUE"""),"A3698540")</f>
        <v>A3698540</v>
      </c>
      <c r="H471" s="106" t="str">
        <f>IFERROR(__xludf.DUMMYFUNCTION("""COMPUTED_VALUE"""),"Cod Registration")</f>
        <v>Cod Registration</v>
      </c>
      <c r="I471" s="106" t="str">
        <f>IFERROR(__xludf.DUMMYFUNCTION("""COMPUTED_VALUE"""),"Colombo Metro")</f>
        <v>Colombo Metro</v>
      </c>
      <c r="J471" s="106" t="str">
        <f>IFERROR(__xludf.DUMMYFUNCTION("""COMPUTED_VALUE"""),"Received At Destination")</f>
        <v>Received At Destination</v>
      </c>
      <c r="K471" s="106" t="str">
        <f>IFERROR(__xludf.DUMMYFUNCTION("""COMPUTED_VALUE"""),"Sales")</f>
        <v>Sales</v>
      </c>
      <c r="L471" s="106" t="str">
        <f>IFERROR(__xludf.DUMMYFUNCTION("""COMPUTED_VALUE"""),"Marketing Number Given")</f>
        <v>Marketing Number Given</v>
      </c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>
      <c r="A472" s="82"/>
      <c r="B472" s="98" t="str">
        <f>IFERROR(__xludf.DUMMYFUNCTION("""COMPUTED_VALUE"""),"423")</f>
        <v>423</v>
      </c>
      <c r="C472" s="98" t="str">
        <f>IFERROR(__xludf.DUMMYFUNCTION("""COMPUTED_VALUE"""),"Malik")</f>
        <v>Malik</v>
      </c>
      <c r="D472" s="98" t="str">
        <f>IFERROR(__xludf.DUMMYFUNCTION("""COMPUTED_VALUE"""),"765779370")</f>
        <v>765779370</v>
      </c>
      <c r="E472" s="98" t="str">
        <f>IFERROR(__xludf.DUMMYFUNCTION("""COMPUTED_VALUE"""),"Y")</f>
        <v>Y</v>
      </c>
      <c r="F472" s="98" t="str">
        <f>IFERROR(__xludf.DUMMYFUNCTION("""COMPUTED_VALUE"""),"D Mine Shop")</f>
        <v>D Mine Shop</v>
      </c>
      <c r="G472" s="98" t="str">
        <f>IFERROR(__xludf.DUMMYFUNCTION("""COMPUTED_VALUE"""),"79564297")</f>
        <v>79564297</v>
      </c>
      <c r="H472" s="98" t="str">
        <f>IFERROR(__xludf.DUMMYFUNCTION("""COMPUTED_VALUE"""),"Some Details /Delivery")</f>
        <v>Some Details /Delivery</v>
      </c>
      <c r="I472" s="98" t="str">
        <f>IFERROR(__xludf.DUMMYFUNCTION("""COMPUTED_VALUE"""),"Colombo Metro")</f>
        <v>Colombo Metro</v>
      </c>
      <c r="J472" s="98" t="str">
        <f>IFERROR(__xludf.DUMMYFUNCTION("""COMPUTED_VALUE"""),"Received At Destination")</f>
        <v>Received At Destination</v>
      </c>
      <c r="K472" s="98" t="str">
        <f>IFERROR(__xludf.DUMMYFUNCTION("""COMPUTED_VALUE"""),"Customer Care")</f>
        <v>Customer Care</v>
      </c>
      <c r="L472" s="98" t="str">
        <f>IFERROR(__xludf.DUMMYFUNCTION("""COMPUTED_VALUE"""),"Details Given/ Info Branch")</f>
        <v>Details Given/ Info Branch</v>
      </c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>
      <c r="A473" s="82"/>
      <c r="B473" s="106" t="str">
        <f>IFERROR(__xludf.DUMMYFUNCTION("""COMPUTED_VALUE"""),"424")</f>
        <v>424</v>
      </c>
      <c r="C473" s="106" t="str">
        <f>IFERROR(__xludf.DUMMYFUNCTION("""COMPUTED_VALUE"""),"Malik")</f>
        <v>Malik</v>
      </c>
      <c r="D473" s="106" t="str">
        <f>IFERROR(__xludf.DUMMYFUNCTION("""COMPUTED_VALUE"""),"760486453")</f>
        <v>760486453</v>
      </c>
      <c r="E473" s="106" t="str">
        <f>IFERROR(__xludf.DUMMYFUNCTION("""COMPUTED_VALUE"""),"N")</f>
        <v>N</v>
      </c>
      <c r="F473" s="106" t="str">
        <f>IFERROR(__xludf.DUMMYFUNCTION("""COMPUTED_VALUE"""),"D Mine Shop")</f>
        <v>D Mine Shop</v>
      </c>
      <c r="G473" s="106" t="str">
        <f>IFERROR(__xludf.DUMMYFUNCTION("""COMPUTED_VALUE"""),"79564297")</f>
        <v>79564297</v>
      </c>
      <c r="H473" s="106" t="str">
        <f>IFERROR(__xludf.DUMMYFUNCTION("""COMPUTED_VALUE"""),"Some Details /Delivery")</f>
        <v>Some Details /Delivery</v>
      </c>
      <c r="I473" s="106" t="str">
        <f>IFERROR(__xludf.DUMMYFUNCTION("""COMPUTED_VALUE"""),"Colombo Metro")</f>
        <v>Colombo Metro</v>
      </c>
      <c r="J473" s="106" t="str">
        <f>IFERROR(__xludf.DUMMYFUNCTION("""COMPUTED_VALUE"""),"Received At Destination")</f>
        <v>Received At Destination</v>
      </c>
      <c r="K473" s="106" t="str">
        <f>IFERROR(__xludf.DUMMYFUNCTION("""COMPUTED_VALUE"""),"Customer Care")</f>
        <v>Customer Care</v>
      </c>
      <c r="L473" s="106" t="str">
        <f>IFERROR(__xludf.DUMMYFUNCTION("""COMPUTED_VALUE"""),"Location Send")</f>
        <v>Location Send</v>
      </c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>
      <c r="A474" s="82"/>
      <c r="B474" s="98" t="str">
        <f>IFERROR(__xludf.DUMMYFUNCTION("""COMPUTED_VALUE"""),"405")</f>
        <v>405</v>
      </c>
      <c r="C474" s="98" t="str">
        <f>IFERROR(__xludf.DUMMYFUNCTION("""COMPUTED_VALUE"""),"Malik")</f>
        <v>Malik</v>
      </c>
      <c r="D474" s="98" t="str">
        <f>IFERROR(__xludf.DUMMYFUNCTION("""COMPUTED_VALUE"""),"770063998")</f>
        <v>770063998</v>
      </c>
      <c r="E474" s="98" t="str">
        <f>IFERROR(__xludf.DUMMYFUNCTION("""COMPUTED_VALUE"""),"N")</f>
        <v>N</v>
      </c>
      <c r="F474" s="108" t="str">
        <f>IFERROR(__xludf.DUMMYFUNCTION("""COMPUTED_VALUE"""),"Zunna.Lk")</f>
        <v>Zunna.Lk</v>
      </c>
      <c r="G474" s="98" t="str">
        <f>IFERROR(__xludf.DUMMYFUNCTION("""COMPUTED_VALUE"""),"BD470027")</f>
        <v>BD470027</v>
      </c>
      <c r="H474" s="98" t="str">
        <f>IFERROR(__xludf.DUMMYFUNCTION("""COMPUTED_VALUE"""),"Customer Want Return This Package")</f>
        <v>Customer Want Return This Package</v>
      </c>
      <c r="I474" s="98" t="str">
        <f>IFERROR(__xludf.DUMMYFUNCTION("""COMPUTED_VALUE"""),"Negombo")</f>
        <v>Negombo</v>
      </c>
      <c r="J474" s="98" t="str">
        <f>IFERROR(__xludf.DUMMYFUNCTION("""COMPUTED_VALUE"""),"Returned To Branch Failed To Deliver")</f>
        <v>Returned To Branch Failed To Deliver</v>
      </c>
      <c r="K474" s="98" t="str">
        <f>IFERROR(__xludf.DUMMYFUNCTION("""COMPUTED_VALUE"""),"Customer Care")</f>
        <v>Customer Care</v>
      </c>
      <c r="L474" s="98" t="str">
        <f>IFERROR(__xludf.DUMMYFUNCTION("""COMPUTED_VALUE"""),"Sent A Msg To Genzo Madushika")</f>
        <v>Sent A Msg To Genzo Madushika</v>
      </c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>
      <c r="A475" s="82"/>
      <c r="B475" s="106" t="str">
        <f>IFERROR(__xludf.DUMMYFUNCTION("""COMPUTED_VALUE"""),"406")</f>
        <v>406</v>
      </c>
      <c r="C475" s="106" t="str">
        <f>IFERROR(__xludf.DUMMYFUNCTION("""COMPUTED_VALUE"""),"Malik")</f>
        <v>Malik</v>
      </c>
      <c r="D475" s="106" t="str">
        <f>IFERROR(__xludf.DUMMYFUNCTION("""COMPUTED_VALUE"""),"714108884")</f>
        <v>714108884</v>
      </c>
      <c r="E475" s="106" t="str">
        <f>IFERROR(__xludf.DUMMYFUNCTION("""COMPUTED_VALUE"""),"N")</f>
        <v>N</v>
      </c>
      <c r="F475" s="106" t="str">
        <f>IFERROR(__xludf.DUMMYFUNCTION("""COMPUTED_VALUE"""),"Fleximold Silicone Pvt Ltd")</f>
        <v>Fleximold Silicone Pvt Ltd</v>
      </c>
      <c r="G475" s="106" t="str">
        <f>IFERROR(__xludf.DUMMYFUNCTION("""COMPUTED_VALUE"""),"A4464814")</f>
        <v>A4464814</v>
      </c>
      <c r="H475" s="106" t="str">
        <f>IFERROR(__xludf.DUMMYFUNCTION("""COMPUTED_VALUE"""),"Delivery Today")</f>
        <v>Delivery Today</v>
      </c>
      <c r="I475" s="106" t="str">
        <f>IFERROR(__xludf.DUMMYFUNCTION("""COMPUTED_VALUE"""),"Pilimathlawa")</f>
        <v>Pilimathlawa</v>
      </c>
      <c r="J475" s="106" t="str">
        <f>IFERROR(__xludf.DUMMYFUNCTION("""COMPUTED_VALUE"""),"Returned To Branch Rescheduled")</f>
        <v>Returned To Branch Rescheduled</v>
      </c>
      <c r="K475" s="106" t="str">
        <f>IFERROR(__xludf.DUMMYFUNCTION("""COMPUTED_VALUE"""),"Branch Operations")</f>
        <v>Branch Operations</v>
      </c>
      <c r="L475" s="106" t="str">
        <f>IFERROR(__xludf.DUMMYFUNCTION("""COMPUTED_VALUE"""),"Details Given")</f>
        <v>Details Given</v>
      </c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>
      <c r="A476" s="82"/>
      <c r="B476" s="98" t="str">
        <f>IFERROR(__xludf.DUMMYFUNCTION("""COMPUTED_VALUE"""),"432")</f>
        <v>432</v>
      </c>
      <c r="C476" s="98" t="str">
        <f>IFERROR(__xludf.DUMMYFUNCTION("""COMPUTED_VALUE"""),"Malik")</f>
        <v>Malik</v>
      </c>
      <c r="D476" s="98" t="str">
        <f>IFERROR(__xludf.DUMMYFUNCTION("""COMPUTED_VALUE"""),"770896992")</f>
        <v>770896992</v>
      </c>
      <c r="E476" s="98" t="str">
        <f>IFERROR(__xludf.DUMMYFUNCTION("""COMPUTED_VALUE"""),"N")</f>
        <v>N</v>
      </c>
      <c r="F476" s="98" t="str">
        <f>IFERROR(__xludf.DUMMYFUNCTION("""COMPUTED_VALUE"""),"Megha Caring (Pvt) Ltd")</f>
        <v>Megha Caring (Pvt) Ltd</v>
      </c>
      <c r="G476" s="98" t="str">
        <f>IFERROR(__xludf.DUMMYFUNCTION("""COMPUTED_VALUE"""),"BE062157")</f>
        <v>BE062157</v>
      </c>
      <c r="H476" s="98" t="str">
        <f>IFERROR(__xludf.DUMMYFUNCTION("""COMPUTED_VALUE"""),"Customer Wants To Know How To Use The Product")</f>
        <v>Customer Wants To Know How To Use The Product</v>
      </c>
      <c r="I476" s="98" t="str">
        <f>IFERROR(__xludf.DUMMYFUNCTION("""COMPUTED_VALUE"""),"Kahatagasdigiliya")</f>
        <v>Kahatagasdigiliya</v>
      </c>
      <c r="J476" s="98" t="str">
        <f>IFERROR(__xludf.DUMMYFUNCTION("""COMPUTED_VALUE"""),"Delivered")</f>
        <v>Delivered</v>
      </c>
      <c r="K476" s="98" t="str">
        <f>IFERROR(__xludf.DUMMYFUNCTION("""COMPUTED_VALUE"""),"Customer Care")</f>
        <v>Customer Care</v>
      </c>
      <c r="L476" s="98" t="str">
        <f>IFERROR(__xludf.DUMMYFUNCTION("""COMPUTED_VALUE"""),"Details Given")</f>
        <v>Details Given</v>
      </c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>
      <c r="A477" s="82"/>
      <c r="B477" s="106" t="str">
        <f>IFERROR(__xludf.DUMMYFUNCTION("""COMPUTED_VALUE"""),"414")</f>
        <v>414</v>
      </c>
      <c r="C477" s="106" t="str">
        <f>IFERROR(__xludf.DUMMYFUNCTION("""COMPUTED_VALUE"""),"Malik")</f>
        <v>Malik</v>
      </c>
      <c r="D477" s="106" t="str">
        <f>IFERROR(__xludf.DUMMYFUNCTION("""COMPUTED_VALUE"""),"702337422")</f>
        <v>702337422</v>
      </c>
      <c r="E477" s="106" t="str">
        <f>IFERROR(__xludf.DUMMYFUNCTION("""COMPUTED_VALUE"""),"N")</f>
        <v>N</v>
      </c>
      <c r="F477" s="106" t="str">
        <f>IFERROR(__xludf.DUMMYFUNCTION("""COMPUTED_VALUE"""),"Lesa Fashion")</f>
        <v>Lesa Fashion</v>
      </c>
      <c r="G477" s="106" t="str">
        <f>IFERROR(__xludf.DUMMYFUNCTION("""COMPUTED_VALUE"""),"A4581256")</f>
        <v>A4581256</v>
      </c>
      <c r="H477" s="106" t="str">
        <f>IFERROR(__xludf.DUMMYFUNCTION("""COMPUTED_VALUE"""),"Exchange Parcel")</f>
        <v>Exchange Parcel</v>
      </c>
      <c r="I477" s="106" t="str">
        <f>IFERROR(__xludf.DUMMYFUNCTION("""COMPUTED_VALUE"""),"Kurunegala")</f>
        <v>Kurunegala</v>
      </c>
      <c r="J477" s="106" t="str">
        <f>IFERROR(__xludf.DUMMYFUNCTION("""COMPUTED_VALUE"""),"Delivered")</f>
        <v>Delivered</v>
      </c>
      <c r="K477" s="106" t="str">
        <f>IFERROR(__xludf.DUMMYFUNCTION("""COMPUTED_VALUE"""),"Customer Care")</f>
        <v>Customer Care</v>
      </c>
      <c r="L477" s="106" t="str">
        <f>IFERROR(__xludf.DUMMYFUNCTION("""COMPUTED_VALUE"""),"Called Back Line Is Busy")</f>
        <v>Called Back Line Is Busy</v>
      </c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>
      <c r="A478" s="82"/>
      <c r="B478" s="98" t="str">
        <f>IFERROR(__xludf.DUMMYFUNCTION("""COMPUTED_VALUE"""),"415")</f>
        <v>415</v>
      </c>
      <c r="C478" s="98" t="str">
        <f>IFERROR(__xludf.DUMMYFUNCTION("""COMPUTED_VALUE"""),"Malik")</f>
        <v>Malik</v>
      </c>
      <c r="D478" s="98" t="str">
        <f>IFERROR(__xludf.DUMMYFUNCTION("""COMPUTED_VALUE"""),"761051545")</f>
        <v>761051545</v>
      </c>
      <c r="E478" s="98" t="str">
        <f>IFERROR(__xludf.DUMMYFUNCTION("""COMPUTED_VALUE"""),"N")</f>
        <v>N</v>
      </c>
      <c r="F478" s="108" t="str">
        <f>IFERROR(__xludf.DUMMYFUNCTION("""COMPUTED_VALUE"""),"Onelink.Lk")</f>
        <v>Onelink.Lk</v>
      </c>
      <c r="G478" s="98" t="str">
        <f>IFERROR(__xludf.DUMMYFUNCTION("""COMPUTED_VALUE"""),"BE066365")</f>
        <v>BE066365</v>
      </c>
      <c r="H478" s="98" t="str">
        <f>IFERROR(__xludf.DUMMYFUNCTION("""COMPUTED_VALUE"""),"Customer Want Return This Package")</f>
        <v>Customer Want Return This Package</v>
      </c>
      <c r="I478" s="98" t="str">
        <f>IFERROR(__xludf.DUMMYFUNCTION("""COMPUTED_VALUE"""),"Thalawathugoda")</f>
        <v>Thalawathugoda</v>
      </c>
      <c r="J478" s="98" t="str">
        <f>IFERROR(__xludf.DUMMYFUNCTION("""COMPUTED_VALUE"""),"Delivered")</f>
        <v>Delivered</v>
      </c>
      <c r="K478" s="98" t="str">
        <f>IFERROR(__xludf.DUMMYFUNCTION("""COMPUTED_VALUE"""),"Customer Care")</f>
        <v>Customer Care</v>
      </c>
      <c r="L478" s="98" t="str">
        <f>IFERROR(__xludf.DUMMYFUNCTION("""COMPUTED_VALUE"""),"Info Client")</f>
        <v>Info Client</v>
      </c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>
      <c r="A479" s="82"/>
      <c r="B479" s="106" t="str">
        <f>IFERROR(__xludf.DUMMYFUNCTION("""COMPUTED_VALUE"""),"417")</f>
        <v>417</v>
      </c>
      <c r="C479" s="106" t="str">
        <f>IFERROR(__xludf.DUMMYFUNCTION("""COMPUTED_VALUE"""),"Malik")</f>
        <v>Malik</v>
      </c>
      <c r="D479" s="106" t="str">
        <f>IFERROR(__xludf.DUMMYFUNCTION("""COMPUTED_VALUE"""),"768953933")</f>
        <v>768953933</v>
      </c>
      <c r="E479" s="106" t="str">
        <f>IFERROR(__xludf.DUMMYFUNCTION("""COMPUTED_VALUE"""),"N")</f>
        <v>N</v>
      </c>
      <c r="F479" s="106" t="str">
        <f>IFERROR(__xludf.DUMMYFUNCTION("""COMPUTED_VALUE"""),"Futurefind Marketing")</f>
        <v>Futurefind Marketing</v>
      </c>
      <c r="G479" s="106" t="str">
        <f>IFERROR(__xludf.DUMMYFUNCTION("""COMPUTED_VALUE"""),"BE091014")</f>
        <v>BE091014</v>
      </c>
      <c r="H479" s="106" t="str">
        <f>IFERROR(__xludf.DUMMYFUNCTION("""COMPUTED_VALUE"""),"Re Delivery Today")</f>
        <v>Re Delivery Today</v>
      </c>
      <c r="I479" s="106" t="str">
        <f>IFERROR(__xludf.DUMMYFUNCTION("""COMPUTED_VALUE"""),"Ja-Ela")</f>
        <v>Ja-Ela</v>
      </c>
      <c r="J479" s="106" t="str">
        <f>IFERROR(__xludf.DUMMYFUNCTION("""COMPUTED_VALUE"""),"Returned To Branch Failed To Deliver")</f>
        <v>Returned To Branch Failed To Deliver</v>
      </c>
      <c r="K479" s="106" t="str">
        <f>IFERROR(__xludf.DUMMYFUNCTION("""COMPUTED_VALUE"""),"Branch Operations")</f>
        <v>Branch Operations</v>
      </c>
      <c r="L479" s="106" t="str">
        <f>IFERROR(__xludf.DUMMYFUNCTION("""COMPUTED_VALUE"""),"Info Branch")</f>
        <v>Info Branch</v>
      </c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>
      <c r="A480" s="82"/>
      <c r="B480" s="98" t="str">
        <f>IFERROR(__xludf.DUMMYFUNCTION("""COMPUTED_VALUE"""),"420")</f>
        <v>420</v>
      </c>
      <c r="C480" s="98" t="str">
        <f>IFERROR(__xludf.DUMMYFUNCTION("""COMPUTED_VALUE"""),"Malik")</f>
        <v>Malik</v>
      </c>
      <c r="D480" s="98" t="str">
        <f>IFERROR(__xludf.DUMMYFUNCTION("""COMPUTED_VALUE"""),"765597071")</f>
        <v>765597071</v>
      </c>
      <c r="E480" s="98" t="str">
        <f>IFERROR(__xludf.DUMMYFUNCTION("""COMPUTED_VALUE"""),"N")</f>
        <v>N</v>
      </c>
      <c r="F480" s="98" t="str">
        <f>IFERROR(__xludf.DUMMYFUNCTION("""COMPUTED_VALUE"""),"Win Lanka")</f>
        <v>Win Lanka</v>
      </c>
      <c r="G480" s="98" t="str">
        <f>IFERROR(__xludf.DUMMYFUNCTION("""COMPUTED_VALUE"""),"BE091473")</f>
        <v>BE091473</v>
      </c>
      <c r="H480" s="98" t="str">
        <f>IFERROR(__xludf.DUMMYFUNCTION("""COMPUTED_VALUE"""),"Delivery Today")</f>
        <v>Delivery Today</v>
      </c>
      <c r="I480" s="98" t="str">
        <f>IFERROR(__xludf.DUMMYFUNCTION("""COMPUTED_VALUE"""),"Mahiyanganaya")</f>
        <v>Mahiyanganaya</v>
      </c>
      <c r="J480" s="98" t="str">
        <f>IFERROR(__xludf.DUMMYFUNCTION("""COMPUTED_VALUE"""),"Returned To Branch Rescheduled")</f>
        <v>Returned To Branch Rescheduled</v>
      </c>
      <c r="K480" s="98" t="str">
        <f>IFERROR(__xludf.DUMMYFUNCTION("""COMPUTED_VALUE"""),"Branch Operations")</f>
        <v>Branch Operations</v>
      </c>
      <c r="L480" s="98" t="str">
        <f>IFERROR(__xludf.DUMMYFUNCTION("""COMPUTED_VALUE"""),"Info Branch")</f>
        <v>Info Branch</v>
      </c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>
      <c r="A481" s="82"/>
      <c r="B481" s="106" t="str">
        <f>IFERROR(__xludf.DUMMYFUNCTION("""COMPUTED_VALUE"""),"423")</f>
        <v>423</v>
      </c>
      <c r="C481" s="106" t="str">
        <f>IFERROR(__xludf.DUMMYFUNCTION("""COMPUTED_VALUE"""),"Malik")</f>
        <v>Malik</v>
      </c>
      <c r="D481" s="106" t="str">
        <f>IFERROR(__xludf.DUMMYFUNCTION("""COMPUTED_VALUE"""),"765779370")</f>
        <v>765779370</v>
      </c>
      <c r="E481" s="106" t="str">
        <f>IFERROR(__xludf.DUMMYFUNCTION("""COMPUTED_VALUE"""),"Y")</f>
        <v>Y</v>
      </c>
      <c r="F481" s="106" t="str">
        <f>IFERROR(__xludf.DUMMYFUNCTION("""COMPUTED_VALUE"""),"D Mine Shop")</f>
        <v>D Mine Shop</v>
      </c>
      <c r="G481" s="106" t="str">
        <f>IFERROR(__xludf.DUMMYFUNCTION("""COMPUTED_VALUE"""),"79564297")</f>
        <v>79564297</v>
      </c>
      <c r="H481" s="106" t="str">
        <f>IFERROR(__xludf.DUMMYFUNCTION("""COMPUTED_VALUE"""),"Some Details /Delivery")</f>
        <v>Some Details /Delivery</v>
      </c>
      <c r="I481" s="106" t="str">
        <f>IFERROR(__xludf.DUMMYFUNCTION("""COMPUTED_VALUE"""),"Thalawathugoda")</f>
        <v>Thalawathugoda</v>
      </c>
      <c r="J481" s="106" t="str">
        <f>IFERROR(__xludf.DUMMYFUNCTION("""COMPUTED_VALUE"""),"Re-Assign Rider")</f>
        <v>Re-Assign Rider</v>
      </c>
      <c r="K481" s="106" t="str">
        <f>IFERROR(__xludf.DUMMYFUNCTION("""COMPUTED_VALUE"""),"Customer Care")</f>
        <v>Customer Care</v>
      </c>
      <c r="L481" s="106" t="str">
        <f>IFERROR(__xludf.DUMMYFUNCTION("""COMPUTED_VALUE"""),"Details Given/ Info Branch")</f>
        <v>Details Given/ Info Branch</v>
      </c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>
      <c r="A482" s="82"/>
      <c r="B482" s="98" t="str">
        <f>IFERROR(__xludf.DUMMYFUNCTION("""COMPUTED_VALUE"""),"424")</f>
        <v>424</v>
      </c>
      <c r="C482" s="98" t="str">
        <f>IFERROR(__xludf.DUMMYFUNCTION("""COMPUTED_VALUE"""),"Malik")</f>
        <v>Malik</v>
      </c>
      <c r="D482" s="98" t="str">
        <f>IFERROR(__xludf.DUMMYFUNCTION("""COMPUTED_VALUE"""),"760486453")</f>
        <v>760486453</v>
      </c>
      <c r="E482" s="98" t="str">
        <f>IFERROR(__xludf.DUMMYFUNCTION("""COMPUTED_VALUE"""),"N")</f>
        <v>N</v>
      </c>
      <c r="F482" s="98" t="str">
        <f>IFERROR(__xludf.DUMMYFUNCTION("""COMPUTED_VALUE"""),"D Mine Shop")</f>
        <v>D Mine Shop</v>
      </c>
      <c r="G482" s="98" t="str">
        <f>IFERROR(__xludf.DUMMYFUNCTION("""COMPUTED_VALUE"""),"79564297")</f>
        <v>79564297</v>
      </c>
      <c r="H482" s="98" t="str">
        <f>IFERROR(__xludf.DUMMYFUNCTION("""COMPUTED_VALUE"""),"Some Details /Delivery")</f>
        <v>Some Details /Delivery</v>
      </c>
      <c r="I482" s="98" t="str">
        <f>IFERROR(__xludf.DUMMYFUNCTION("""COMPUTED_VALUE"""),"Thalawathugoda")</f>
        <v>Thalawathugoda</v>
      </c>
      <c r="J482" s="98" t="str">
        <f>IFERROR(__xludf.DUMMYFUNCTION("""COMPUTED_VALUE"""),"Re-Assign Rider")</f>
        <v>Re-Assign Rider</v>
      </c>
      <c r="K482" s="98" t="str">
        <f>IFERROR(__xludf.DUMMYFUNCTION("""COMPUTED_VALUE"""),"Customer Care")</f>
        <v>Customer Care</v>
      </c>
      <c r="L482" s="98" t="str">
        <f>IFERROR(__xludf.DUMMYFUNCTION("""COMPUTED_VALUE"""),"Location Send")</f>
        <v>Location Send</v>
      </c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>
      <c r="A483" s="82"/>
      <c r="B483" s="106" t="str">
        <f>IFERROR(__xludf.DUMMYFUNCTION("""COMPUTED_VALUE"""),"425")</f>
        <v>425</v>
      </c>
      <c r="C483" s="106" t="str">
        <f>IFERROR(__xludf.DUMMYFUNCTION("""COMPUTED_VALUE"""),"Malik")</f>
        <v>Malik</v>
      </c>
      <c r="D483" s="106" t="str">
        <f>IFERROR(__xludf.DUMMYFUNCTION("""COMPUTED_VALUE"""),"719551229")</f>
        <v>719551229</v>
      </c>
      <c r="E483" s="106" t="str">
        <f>IFERROR(__xludf.DUMMYFUNCTION("""COMPUTED_VALUE"""),"N")</f>
        <v>N</v>
      </c>
      <c r="F483" s="106" t="str">
        <f>IFERROR(__xludf.DUMMYFUNCTION("""COMPUTED_VALUE"""),"Easytech Solutions")</f>
        <v>Easytech Solutions</v>
      </c>
      <c r="G483" s="106" t="str">
        <f>IFERROR(__xludf.DUMMYFUNCTION("""COMPUTED_VALUE"""),"A4600825")</f>
        <v>A4600825</v>
      </c>
      <c r="H483" s="106" t="str">
        <f>IFERROR(__xludf.DUMMYFUNCTION("""COMPUTED_VALUE"""),"Delivery 5/7/2026")</f>
        <v>Delivery 5/7/2026</v>
      </c>
      <c r="I483" s="106" t="str">
        <f>IFERROR(__xludf.DUMMYFUNCTION("""COMPUTED_VALUE"""),"Nittambuwa")</f>
        <v>Nittambuwa</v>
      </c>
      <c r="J483" s="106" t="str">
        <f>IFERROR(__xludf.DUMMYFUNCTION("""COMPUTED_VALUE"""),"Returned To Branch Rescheduled")</f>
        <v>Returned To Branch Rescheduled</v>
      </c>
      <c r="K483" s="106" t="str">
        <f>IFERROR(__xludf.DUMMYFUNCTION("""COMPUTED_VALUE"""),"Branch Operations")</f>
        <v>Branch Operations</v>
      </c>
      <c r="L483" s="106" t="str">
        <f>IFERROR(__xludf.DUMMYFUNCTION("""COMPUTED_VALUE"""),"Info Branch")</f>
        <v>Info Branch</v>
      </c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>
      <c r="A484" s="82"/>
      <c r="B484" s="98" t="str">
        <f>IFERROR(__xludf.DUMMYFUNCTION("""COMPUTED_VALUE"""),"427")</f>
        <v>427</v>
      </c>
      <c r="C484" s="98" t="str">
        <f>IFERROR(__xludf.DUMMYFUNCTION("""COMPUTED_VALUE"""),"Malik")</f>
        <v>Malik</v>
      </c>
      <c r="D484" s="98" t="str">
        <f>IFERROR(__xludf.DUMMYFUNCTION("""COMPUTED_VALUE"""),"743866343")</f>
        <v>743866343</v>
      </c>
      <c r="E484" s="98" t="str">
        <f>IFERROR(__xludf.DUMMYFUNCTION("""COMPUTED_VALUE"""),"N")</f>
        <v>N</v>
      </c>
      <c r="F484" s="98" t="str">
        <f>IFERROR(__xludf.DUMMYFUNCTION("""COMPUTED_VALUE"""),"The Axon")</f>
        <v>The Axon</v>
      </c>
      <c r="G484" s="98" t="str">
        <f>IFERROR(__xludf.DUMMYFUNCTION("""COMPUTED_VALUE"""),"BE110591 ")</f>
        <v>BE110591 </v>
      </c>
      <c r="H484" s="98" t="str">
        <f>IFERROR(__xludf.DUMMYFUNCTION("""COMPUTED_VALUE"""),"Customer Want Return This Package")</f>
        <v>Customer Want Return This Package</v>
      </c>
      <c r="I484" s="98" t="str">
        <f>IFERROR(__xludf.DUMMYFUNCTION("""COMPUTED_VALUE"""),"Ja-Ela")</f>
        <v>Ja-Ela</v>
      </c>
      <c r="J484" s="98" t="str">
        <f>IFERROR(__xludf.DUMMYFUNCTION("""COMPUTED_VALUE"""),"Out For Delivery")</f>
        <v>Out For Delivery</v>
      </c>
      <c r="K484" s="98" t="str">
        <f>IFERROR(__xludf.DUMMYFUNCTION("""COMPUTED_VALUE"""),"Branch Operations")</f>
        <v>Branch Operations</v>
      </c>
      <c r="L484" s="98" t="str">
        <f>IFERROR(__xludf.DUMMYFUNCTION("""COMPUTED_VALUE"""),"Info Deepika")</f>
        <v>Info Deepika</v>
      </c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>
      <c r="A485" s="82"/>
      <c r="B485" s="106" t="str">
        <f>IFERROR(__xludf.DUMMYFUNCTION("""COMPUTED_VALUE"""),"430")</f>
        <v>430</v>
      </c>
      <c r="C485" s="106" t="str">
        <f>IFERROR(__xludf.DUMMYFUNCTION("""COMPUTED_VALUE"""),"Malik")</f>
        <v>Malik</v>
      </c>
      <c r="D485" s="106" t="str">
        <f>IFERROR(__xludf.DUMMYFUNCTION("""COMPUTED_VALUE"""),"779134698")</f>
        <v>779134698</v>
      </c>
      <c r="E485" s="106" t="str">
        <f>IFERROR(__xludf.DUMMYFUNCTION("""COMPUTED_VALUE"""),"Y")</f>
        <v>Y</v>
      </c>
      <c r="F485" s="106" t="str">
        <f>IFERROR(__xludf.DUMMYFUNCTION("""COMPUTED_VALUE"""),"Win Glow Sri Lanka")</f>
        <v>Win Glow Sri Lanka</v>
      </c>
      <c r="G485" s="106" t="str">
        <f>IFERROR(__xludf.DUMMYFUNCTION("""COMPUTED_VALUE"""),"BA761425")</f>
        <v>BA761425</v>
      </c>
      <c r="H485" s="106" t="str">
        <f>IFERROR(__xludf.DUMMYFUNCTION("""COMPUTED_VALUE"""),"Re Delivery 4/7/2026 - Customer Confirmed")</f>
        <v>Re Delivery 4/7/2026 - Customer Confirmed</v>
      </c>
      <c r="I485" s="106" t="str">
        <f>IFERROR(__xludf.DUMMYFUNCTION("""COMPUTED_VALUE"""),"Negombo")</f>
        <v>Negombo</v>
      </c>
      <c r="J485" s="106" t="str">
        <f>IFERROR(__xludf.DUMMYFUNCTION("""COMPUTED_VALUE"""),"Returned To Branch Failed To Deliver")</f>
        <v>Returned To Branch Failed To Deliver</v>
      </c>
      <c r="K485" s="106" t="str">
        <f>IFERROR(__xludf.DUMMYFUNCTION("""COMPUTED_VALUE"""),"Branch Operations")</f>
        <v>Branch Operations</v>
      </c>
      <c r="L485" s="106" t="str">
        <f>IFERROR(__xludf.DUMMYFUNCTION("""COMPUTED_VALUE"""),"Info Branch")</f>
        <v>Info Branch</v>
      </c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>
      <c r="A486" s="82"/>
      <c r="B486" s="98" t="str">
        <f>IFERROR(__xludf.DUMMYFUNCTION("""COMPUTED_VALUE"""),"762")</f>
        <v>762</v>
      </c>
      <c r="C486" s="98" t="str">
        <f>IFERROR(__xludf.DUMMYFUNCTION("""COMPUTED_VALUE"""),"Mandari")</f>
        <v>Mandari</v>
      </c>
      <c r="D486" s="98" t="str">
        <f>IFERROR(__xludf.DUMMYFUNCTION("""COMPUTED_VALUE"""),"779134698")</f>
        <v>779134698</v>
      </c>
      <c r="E486" s="98" t="str">
        <f>IFERROR(__xludf.DUMMYFUNCTION("""COMPUTED_VALUE"""),"N")</f>
        <v>N</v>
      </c>
      <c r="F486" s="98" t="str">
        <f>IFERROR(__xludf.DUMMYFUNCTION("""COMPUTED_VALUE"""),"Oneshop")</f>
        <v>Oneshop</v>
      </c>
      <c r="G486" s="98" t="str">
        <f>IFERROR(__xludf.DUMMYFUNCTION("""COMPUTED_VALUE"""),"BE095056")</f>
        <v>BE095056</v>
      </c>
      <c r="H486" s="98" t="str">
        <f>IFERROR(__xludf.DUMMYFUNCTION("""COMPUTED_VALUE"""),"Mathara Branch Location")</f>
        <v>Mathara Branch Location</v>
      </c>
      <c r="I486" s="98" t="str">
        <f>IFERROR(__xludf.DUMMYFUNCTION("""COMPUTED_VALUE"""),"Jaffna")</f>
        <v>Jaffna</v>
      </c>
      <c r="J486" s="98" t="str">
        <f>IFERROR(__xludf.DUMMYFUNCTION("""COMPUTED_VALUE"""),"Returned To Branch Rescheduled")</f>
        <v>Returned To Branch Rescheduled</v>
      </c>
      <c r="K486" s="98" t="str">
        <f>IFERROR(__xludf.DUMMYFUNCTION("""COMPUTED_VALUE"""),"Customer Care")</f>
        <v>Customer Care</v>
      </c>
      <c r="L486" s="98" t="str">
        <f>IFERROR(__xludf.DUMMYFUNCTION("""COMPUTED_VALUE"""),"Return Item")</f>
        <v>Return Item</v>
      </c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>
      <c r="A487" s="82"/>
      <c r="B487" s="106" t="str">
        <f>IFERROR(__xludf.DUMMYFUNCTION("""COMPUTED_VALUE"""),"763")</f>
        <v>763</v>
      </c>
      <c r="C487" s="106" t="str">
        <f>IFERROR(__xludf.DUMMYFUNCTION("""COMPUTED_VALUE"""),"Lakshani")</f>
        <v>Lakshani</v>
      </c>
      <c r="D487" s="106" t="str">
        <f>IFERROR(__xludf.DUMMYFUNCTION("""COMPUTED_VALUE"""),"773403193")</f>
        <v>773403193</v>
      </c>
      <c r="E487" s="106" t="str">
        <f>IFERROR(__xludf.DUMMYFUNCTION("""COMPUTED_VALUE"""),"N")</f>
        <v>N</v>
      </c>
      <c r="F487" s="106" t="str">
        <f>IFERROR(__xludf.DUMMYFUNCTION("""COMPUTED_VALUE"""),"Tsk E-Mart")</f>
        <v>Tsk E-Mart</v>
      </c>
      <c r="G487" s="106" t="str">
        <f>IFERROR(__xludf.DUMMYFUNCTION("""COMPUTED_VALUE"""),"BE081708")</f>
        <v>BE081708</v>
      </c>
      <c r="H487" s="106" t="str">
        <f>IFERROR(__xludf.DUMMYFUNCTION("""COMPUTED_VALUE"""),"Re Delivery")</f>
        <v>Re Delivery</v>
      </c>
      <c r="I487" s="106" t="str">
        <f>IFERROR(__xludf.DUMMYFUNCTION("""COMPUTED_VALUE"""),"Kalutara")</f>
        <v>Kalutara</v>
      </c>
      <c r="J487" s="106" t="str">
        <f>IFERROR(__xludf.DUMMYFUNCTION("""COMPUTED_VALUE"""),"Received At Destination")</f>
        <v>Received At Destination</v>
      </c>
      <c r="K487" s="106" t="str">
        <f>IFERROR(__xludf.DUMMYFUNCTION("""COMPUTED_VALUE"""),"Branch Operations")</f>
        <v>Branch Operations</v>
      </c>
      <c r="L487" s="106" t="str">
        <f>IFERROR(__xludf.DUMMYFUNCTION("""COMPUTED_VALUE"""),"Done")</f>
        <v>Done</v>
      </c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>
      <c r="A488" s="82"/>
      <c r="B488" s="98" t="str">
        <f>IFERROR(__xludf.DUMMYFUNCTION("""COMPUTED_VALUE"""),"764")</f>
        <v>764</v>
      </c>
      <c r="C488" s="98" t="str">
        <f>IFERROR(__xludf.DUMMYFUNCTION("""COMPUTED_VALUE"""),"Malik")</f>
        <v>Malik</v>
      </c>
      <c r="D488" s="98" t="str">
        <f>IFERROR(__xludf.DUMMYFUNCTION("""COMPUTED_VALUE"""),"770082611")</f>
        <v>770082611</v>
      </c>
      <c r="E488" s="98" t="str">
        <f>IFERROR(__xludf.DUMMYFUNCTION("""COMPUTED_VALUE"""),"N")</f>
        <v>N</v>
      </c>
      <c r="F488" s="98" t="str">
        <f>IFERROR(__xludf.DUMMYFUNCTION("""COMPUTED_VALUE"""),"Kw Holdings")</f>
        <v>Kw Holdings</v>
      </c>
      <c r="G488" s="98" t="str">
        <f>IFERROR(__xludf.DUMMYFUNCTION("""COMPUTED_VALUE"""),"BE104870")</f>
        <v>BE104870</v>
      </c>
      <c r="H488" s="98" t="str">
        <f>IFERROR(__xludf.DUMMYFUNCTION("""COMPUTED_VALUE"""),"Customer Want Return This Order")</f>
        <v>Customer Want Return This Order</v>
      </c>
      <c r="I488" s="98" t="str">
        <f>IFERROR(__xludf.DUMMYFUNCTION("""COMPUTED_VALUE"""),"Monaragala")</f>
        <v>Monaragala</v>
      </c>
      <c r="J488" s="98" t="str">
        <f>IFERROR(__xludf.DUMMYFUNCTION("""COMPUTED_VALUE"""),"Out For Delivery")</f>
        <v>Out For Delivery</v>
      </c>
      <c r="K488" s="98" t="str">
        <f>IFERROR(__xludf.DUMMYFUNCTION("""COMPUTED_VALUE"""),"Customer Care")</f>
        <v>Customer Care</v>
      </c>
      <c r="L488" s="98" t="str">
        <f>IFERROR(__xludf.DUMMYFUNCTION("""COMPUTED_VALUE"""),"Call Transfer Jeni")</f>
        <v>Call Transfer Jeni</v>
      </c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>
      <c r="A489" s="82"/>
      <c r="B489" s="106" t="str">
        <f>IFERROR(__xludf.DUMMYFUNCTION("""COMPUTED_VALUE"""),"765")</f>
        <v>765</v>
      </c>
      <c r="C489" s="106" t="str">
        <f>IFERROR(__xludf.DUMMYFUNCTION("""COMPUTED_VALUE"""),"Jeni")</f>
        <v>Jeni</v>
      </c>
      <c r="D489" s="106" t="str">
        <f>IFERROR(__xludf.DUMMYFUNCTION("""COMPUTED_VALUE"""),"729394331")</f>
        <v>729394331</v>
      </c>
      <c r="E489" s="106" t="str">
        <f>IFERROR(__xludf.DUMMYFUNCTION("""COMPUTED_VALUE"""),"Y")</f>
        <v>Y</v>
      </c>
      <c r="F489" s="106" t="str">
        <f>IFERROR(__xludf.DUMMYFUNCTION("""COMPUTED_VALUE"""),"Uhome")</f>
        <v>Uhome</v>
      </c>
      <c r="G489" s="106" t="str">
        <f>IFERROR(__xludf.DUMMYFUNCTION("""COMPUTED_VALUE"""),"BE025902")</f>
        <v>BE025902</v>
      </c>
      <c r="H489" s="106" t="str">
        <f>IFERROR(__xludf.DUMMYFUNCTION("""COMPUTED_VALUE"""),"Answerd &amp; Cut The Line")</f>
        <v>Answerd &amp; Cut The Line</v>
      </c>
      <c r="I489" s="106" t="str">
        <f>IFERROR(__xludf.DUMMYFUNCTION("""COMPUTED_VALUE"""),"Kurunegala")</f>
        <v>Kurunegala</v>
      </c>
      <c r="J489" s="106" t="str">
        <f>IFERROR(__xludf.DUMMYFUNCTION("""COMPUTED_VALUE"""),"Returned To Branch Rescheduled")</f>
        <v>Returned To Branch Rescheduled</v>
      </c>
      <c r="K489" s="106" t="str">
        <f>IFERROR(__xludf.DUMMYFUNCTION("""COMPUTED_VALUE"""),"Branch Operations")</f>
        <v>Branch Operations</v>
      </c>
      <c r="L489" s="106" t="str">
        <f>IFERROR(__xludf.DUMMYFUNCTION("""COMPUTED_VALUE"""),"Informed Branch")</f>
        <v>Informed Branch</v>
      </c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>
      <c r="A490" s="82"/>
      <c r="B490" s="98" t="str">
        <f>IFERROR(__xludf.DUMMYFUNCTION("""COMPUTED_VALUE"""),"766")</f>
        <v>766</v>
      </c>
      <c r="C490" s="98" t="str">
        <f>IFERROR(__xludf.DUMMYFUNCTION("""COMPUTED_VALUE"""),"Jeni")</f>
        <v>Jeni</v>
      </c>
      <c r="D490" s="98" t="str">
        <f>IFERROR(__xludf.DUMMYFUNCTION("""COMPUTED_VALUE"""),"743530160")</f>
        <v>743530160</v>
      </c>
      <c r="E490" s="98" t="str">
        <f>IFERROR(__xludf.DUMMYFUNCTION("""COMPUTED_VALUE"""),"N")</f>
        <v>N</v>
      </c>
      <c r="F490" s="98" t="str">
        <f>IFERROR(__xludf.DUMMYFUNCTION("""COMPUTED_VALUE"""),"Tiny Tush Diapers")</f>
        <v>Tiny Tush Diapers</v>
      </c>
      <c r="G490" s="98" t="str">
        <f>IFERROR(__xludf.DUMMYFUNCTION("""COMPUTED_VALUE"""),"BE081770")</f>
        <v>BE081770</v>
      </c>
      <c r="H490" s="98" t="str">
        <f>IFERROR(__xludf.DUMMYFUNCTION("""COMPUTED_VALUE"""),"Arrange To Deliver Tomorrow / Top Urgant")</f>
        <v>Arrange To Deliver Tomorrow / Top Urgant</v>
      </c>
      <c r="I490" s="98" t="str">
        <f>IFERROR(__xludf.DUMMYFUNCTION("""COMPUTED_VALUE"""),"Ambalangoda")</f>
        <v>Ambalangoda</v>
      </c>
      <c r="J490" s="98" t="str">
        <f>IFERROR(__xludf.DUMMYFUNCTION("""COMPUTED_VALUE"""),"Returned To Branch Rescheduled")</f>
        <v>Returned To Branch Rescheduled</v>
      </c>
      <c r="K490" s="98" t="str">
        <f>IFERROR(__xludf.DUMMYFUNCTION("""COMPUTED_VALUE"""),"Ware House - Kurunegala")</f>
        <v>Ware House - Kurunegala</v>
      </c>
      <c r="L490" s="98" t="str">
        <f>IFERROR(__xludf.DUMMYFUNCTION("""COMPUTED_VALUE"""),"Done")</f>
        <v>Done</v>
      </c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>
      <c r="A491" s="82"/>
      <c r="B491" s="106" t="str">
        <f>IFERROR(__xludf.DUMMYFUNCTION("""COMPUTED_VALUE"""),"767")</f>
        <v>767</v>
      </c>
      <c r="C491" s="106" t="str">
        <f>IFERROR(__xludf.DUMMYFUNCTION("""COMPUTED_VALUE"""),"Umesha")</f>
        <v>Umesha</v>
      </c>
      <c r="D491" s="106" t="str">
        <f>IFERROR(__xludf.DUMMYFUNCTION("""COMPUTED_VALUE"""),"750850157")</f>
        <v>750850157</v>
      </c>
      <c r="E491" s="106" t="str">
        <f>IFERROR(__xludf.DUMMYFUNCTION("""COMPUTED_VALUE"""),"Y")</f>
        <v>Y</v>
      </c>
      <c r="F491" s="106" t="str">
        <f>IFERROR(__xludf.DUMMYFUNCTION("""COMPUTED_VALUE"""),"Kanro Enterprises")</f>
        <v>Kanro Enterprises</v>
      </c>
      <c r="G491" s="106" t="str">
        <f>IFERROR(__xludf.DUMMYFUNCTION("""COMPUTED_VALUE"""),"BE070737")</f>
        <v>BE070737</v>
      </c>
      <c r="H491" s="106" t="str">
        <f>IFERROR(__xludf.DUMMYFUNCTION("""COMPUTED_VALUE"""),"Customer Receivede Empty Package")</f>
        <v>Customer Receivede Empty Package</v>
      </c>
      <c r="I491" s="106" t="str">
        <f>IFERROR(__xludf.DUMMYFUNCTION("""COMPUTED_VALUE"""),"Piliyandala")</f>
        <v>Piliyandala</v>
      </c>
      <c r="J491" s="106" t="str">
        <f>IFERROR(__xludf.DUMMYFUNCTION("""COMPUTED_VALUE"""),"Dispatched To Destination")</f>
        <v>Dispatched To Destination</v>
      </c>
      <c r="K491" s="106" t="str">
        <f>IFERROR(__xludf.DUMMYFUNCTION("""COMPUTED_VALUE"""),"Branch Operations")</f>
        <v>Branch Operations</v>
      </c>
      <c r="L491" s="106" t="str">
        <f>IFERROR(__xludf.DUMMYFUNCTION("""COMPUTED_VALUE"""),"Details Given")</f>
        <v>Details Given</v>
      </c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>
      <c r="A492" s="82"/>
      <c r="B492" s="98" t="str">
        <f>IFERROR(__xludf.DUMMYFUNCTION("""COMPUTED_VALUE"""),"768")</f>
        <v>768</v>
      </c>
      <c r="C492" s="98" t="str">
        <f>IFERROR(__xludf.DUMMYFUNCTION("""COMPUTED_VALUE"""),"Mandari")</f>
        <v>Mandari</v>
      </c>
      <c r="D492" s="98" t="str">
        <f>IFERROR(__xludf.DUMMYFUNCTION("""COMPUTED_VALUE"""),"750309320")</f>
        <v>750309320</v>
      </c>
      <c r="E492" s="98" t="str">
        <f>IFERROR(__xludf.DUMMYFUNCTION("""COMPUTED_VALUE"""),"Y")</f>
        <v>Y</v>
      </c>
      <c r="F492" s="98" t="str">
        <f>IFERROR(__xludf.DUMMYFUNCTION("""COMPUTED_VALUE"""),"Flora Natural")</f>
        <v>Flora Natural</v>
      </c>
      <c r="G492" s="98" t="str">
        <f>IFERROR(__xludf.DUMMYFUNCTION("""COMPUTED_VALUE"""),"BA733879")</f>
        <v>BA733879</v>
      </c>
      <c r="H492" s="98" t="str">
        <f>IFERROR(__xludf.DUMMYFUNCTION("""COMPUTED_VALUE"""),"Top Urgent Today")</f>
        <v>Top Urgent Today</v>
      </c>
      <c r="I492" s="98" t="str">
        <f>IFERROR(__xludf.DUMMYFUNCTION("""COMPUTED_VALUE"""),"Wennappuwa")</f>
        <v>Wennappuwa</v>
      </c>
      <c r="J492" s="98" t="str">
        <f>IFERROR(__xludf.DUMMYFUNCTION("""COMPUTED_VALUE"""),"Delivered")</f>
        <v>Delivered</v>
      </c>
      <c r="K492" s="98" t="str">
        <f>IFERROR(__xludf.DUMMYFUNCTION("""COMPUTED_VALUE"""),"Return")</f>
        <v>Return</v>
      </c>
      <c r="L492" s="98" t="str">
        <f>IFERROR(__xludf.DUMMYFUNCTION("""COMPUTED_VALUE"""),"Done")</f>
        <v>Done</v>
      </c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>
      <c r="A493" s="82"/>
      <c r="B493" s="106" t="str">
        <f>IFERROR(__xludf.DUMMYFUNCTION("""COMPUTED_VALUE"""),"769")</f>
        <v>769</v>
      </c>
      <c r="C493" s="106" t="str">
        <f>IFERROR(__xludf.DUMMYFUNCTION("""COMPUTED_VALUE"""),"Umesha")</f>
        <v>Umesha</v>
      </c>
      <c r="D493" s="106" t="str">
        <f>IFERROR(__xludf.DUMMYFUNCTION("""COMPUTED_VALUE"""),"778749643")</f>
        <v>778749643</v>
      </c>
      <c r="E493" s="106" t="str">
        <f>IFERROR(__xludf.DUMMYFUNCTION("""COMPUTED_VALUE"""),"Y")</f>
        <v>Y</v>
      </c>
      <c r="F493" s="107" t="str">
        <f>IFERROR(__xludf.DUMMYFUNCTION("""COMPUTED_VALUE"""),"Onelink.Lk")</f>
        <v>Onelink.Lk</v>
      </c>
      <c r="G493" s="106" t="str">
        <f>IFERROR(__xludf.DUMMYFUNCTION("""COMPUTED_VALUE"""),"A4705463")</f>
        <v>A4705463</v>
      </c>
      <c r="H493" s="106" t="str">
        <f>IFERROR(__xludf.DUMMYFUNCTION("""COMPUTED_VALUE"""),"Way Bill Not To The System")</f>
        <v>Way Bill Not To The System</v>
      </c>
      <c r="I493" s="106" t="str">
        <f>IFERROR(__xludf.DUMMYFUNCTION("""COMPUTED_VALUE"""),"Avissawella")</f>
        <v>Avissawella</v>
      </c>
      <c r="J493" s="106" t="str">
        <f>IFERROR(__xludf.DUMMYFUNCTION("""COMPUTED_VALUE"""),"Delivered")</f>
        <v>Delivered</v>
      </c>
      <c r="K493" s="106" t="str">
        <f>IFERROR(__xludf.DUMMYFUNCTION("""COMPUTED_VALUE"""),"Customer Care")</f>
        <v>Customer Care</v>
      </c>
      <c r="L493" s="106" t="str">
        <f>IFERROR(__xludf.DUMMYFUNCTION("""COMPUTED_VALUE"""),"Informed Malik")</f>
        <v>Informed Malik</v>
      </c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>
      <c r="A494" s="82"/>
      <c r="B494" s="98" t="str">
        <f>IFERROR(__xludf.DUMMYFUNCTION("""COMPUTED_VALUE"""),"770")</f>
        <v>770</v>
      </c>
      <c r="C494" s="98" t="str">
        <f>IFERROR(__xludf.DUMMYFUNCTION("""COMPUTED_VALUE"""),"Malik")</f>
        <v>Malik</v>
      </c>
      <c r="D494" s="98" t="str">
        <f>IFERROR(__xludf.DUMMYFUNCTION("""COMPUTED_VALUE"""),"776578265")</f>
        <v>776578265</v>
      </c>
      <c r="E494" s="98" t="str">
        <f>IFERROR(__xludf.DUMMYFUNCTION("""COMPUTED_VALUE"""),"Y")</f>
        <v>Y</v>
      </c>
      <c r="F494" s="108" t="str">
        <f>IFERROR(__xludf.DUMMYFUNCTION("""COMPUTED_VALUE"""),"Onelink.Lk")</f>
        <v>Onelink.Lk</v>
      </c>
      <c r="G494" s="98" t="str">
        <f>IFERROR(__xludf.DUMMYFUNCTION("""COMPUTED_VALUE"""),"A4086806")</f>
        <v>A4086806</v>
      </c>
      <c r="H494" s="98" t="str">
        <f>IFERROR(__xludf.DUMMYFUNCTION("""COMPUTED_VALUE"""),"Re Deliver")</f>
        <v>Re Deliver</v>
      </c>
      <c r="I494" s="98" t="str">
        <f>IFERROR(__xludf.DUMMYFUNCTION("""COMPUTED_VALUE"""),"Ja-Ela")</f>
        <v>Ja-Ela</v>
      </c>
      <c r="J494" s="98" t="str">
        <f>IFERROR(__xludf.DUMMYFUNCTION("""COMPUTED_VALUE"""),"Returned To Branch Rescheduled")</f>
        <v>Returned To Branch Rescheduled</v>
      </c>
      <c r="K494" s="98" t="str">
        <f>IFERROR(__xludf.DUMMYFUNCTION("""COMPUTED_VALUE"""),"Customer Care")</f>
        <v>Customer Care</v>
      </c>
      <c r="L494" s="98" t="str">
        <f>IFERROR(__xludf.DUMMYFUNCTION("""COMPUTED_VALUE"""),"Informed Branch Number Via A Whatsapp")</f>
        <v>Informed Branch Number Via A Whatsapp</v>
      </c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>
      <c r="A495" s="82"/>
      <c r="B495" s="106" t="str">
        <f>IFERROR(__xludf.DUMMYFUNCTION("""COMPUTED_VALUE"""),"771")</f>
        <v>771</v>
      </c>
      <c r="C495" s="106" t="str">
        <f>IFERROR(__xludf.DUMMYFUNCTION("""COMPUTED_VALUE"""),"Umesha")</f>
        <v>Umesha</v>
      </c>
      <c r="D495" s="106" t="str">
        <f>IFERROR(__xludf.DUMMYFUNCTION("""COMPUTED_VALUE"""),"710149136")</f>
        <v>710149136</v>
      </c>
      <c r="E495" s="106" t="str">
        <f>IFERROR(__xludf.DUMMYFUNCTION("""COMPUTED_VALUE"""),"N")</f>
        <v>N</v>
      </c>
      <c r="F495" s="106" t="str">
        <f>IFERROR(__xludf.DUMMYFUNCTION("""COMPUTED_VALUE"""),"Kw Holdings")</f>
        <v>Kw Holdings</v>
      </c>
      <c r="G495" s="106" t="str">
        <f>IFERROR(__xludf.DUMMYFUNCTION("""COMPUTED_VALUE"""),"A4248931")</f>
        <v>A4248931</v>
      </c>
      <c r="H495" s="106" t="str">
        <f>IFERROR(__xludf.DUMMYFUNCTION("""COMPUTED_VALUE"""),"Re Deliver")</f>
        <v>Re Deliver</v>
      </c>
      <c r="I495" s="106" t="str">
        <f>IFERROR(__xludf.DUMMYFUNCTION("""COMPUTED_VALUE"""),"Ambalangoda")</f>
        <v>Ambalangoda</v>
      </c>
      <c r="J495" s="106" t="str">
        <f>IFERROR(__xludf.DUMMYFUNCTION("""COMPUTED_VALUE"""),"Delivered")</f>
        <v>Delivered</v>
      </c>
      <c r="K495" s="106" t="str">
        <f>IFERROR(__xludf.DUMMYFUNCTION("""COMPUTED_VALUE"""),"Branch Operations")</f>
        <v>Branch Operations</v>
      </c>
      <c r="L495" s="106" t="str">
        <f>IFERROR(__xludf.DUMMYFUNCTION("""COMPUTED_VALUE"""),"Not Responding")</f>
        <v>Not Responding</v>
      </c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>
      <c r="A496" s="82"/>
      <c r="B496" s="98" t="str">
        <f>IFERROR(__xludf.DUMMYFUNCTION("""COMPUTED_VALUE"""),"772")</f>
        <v>772</v>
      </c>
      <c r="C496" s="98" t="str">
        <f>IFERROR(__xludf.DUMMYFUNCTION("""COMPUTED_VALUE"""),"Jeni")</f>
        <v>Jeni</v>
      </c>
      <c r="D496" s="98" t="str">
        <f>IFERROR(__xludf.DUMMYFUNCTION("""COMPUTED_VALUE"""),"761051545")</f>
        <v>761051545</v>
      </c>
      <c r="E496" s="98" t="str">
        <f>IFERROR(__xludf.DUMMYFUNCTION("""COMPUTED_VALUE"""),"N")</f>
        <v>N</v>
      </c>
      <c r="F496" s="98" t="str">
        <f>IFERROR(__xludf.DUMMYFUNCTION("""COMPUTED_VALUE"""),"Ceylon Store")</f>
        <v>Ceylon Store</v>
      </c>
      <c r="G496" s="98" t="str">
        <f>IFERROR(__xludf.DUMMYFUNCTION("""COMPUTED_VALUE"""),"BE112942")</f>
        <v>BE112942</v>
      </c>
      <c r="H496" s="98" t="str">
        <f>IFERROR(__xludf.DUMMYFUNCTION("""COMPUTED_VALUE"""),"Order Status")</f>
        <v>Order Status</v>
      </c>
      <c r="I496" s="98" t="str">
        <f>IFERROR(__xludf.DUMMYFUNCTION("""COMPUTED_VALUE"""),"Puttalam")</f>
        <v>Puttalam</v>
      </c>
      <c r="J496" s="98" t="str">
        <f>IFERROR(__xludf.DUMMYFUNCTION("""COMPUTED_VALUE"""),"Returned To Branch Rescheduled")</f>
        <v>Returned To Branch Rescheduled</v>
      </c>
      <c r="K496" s="98" t="str">
        <f>IFERROR(__xludf.DUMMYFUNCTION("""COMPUTED_VALUE"""),"Domestic")</f>
        <v>Domestic</v>
      </c>
      <c r="L496" s="98" t="str">
        <f>IFERROR(__xludf.DUMMYFUNCTION("""COMPUTED_VALUE"""),"Tranfer Cll")</f>
        <v>Tranfer Cll</v>
      </c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>
      <c r="A497" s="82"/>
      <c r="B497" s="106" t="str">
        <f>IFERROR(__xludf.DUMMYFUNCTION("""COMPUTED_VALUE"""),"773")</f>
        <v>773</v>
      </c>
      <c r="C497" s="106" t="str">
        <f>IFERROR(__xludf.DUMMYFUNCTION("""COMPUTED_VALUE"""),"Lakshani")</f>
        <v>Lakshani</v>
      </c>
      <c r="D497" s="106" t="str">
        <f>IFERROR(__xludf.DUMMYFUNCTION("""COMPUTED_VALUE"""),"762064417")</f>
        <v>762064417</v>
      </c>
      <c r="E497" s="106" t="str">
        <f>IFERROR(__xludf.DUMMYFUNCTION("""COMPUTED_VALUE"""),"N")</f>
        <v>N</v>
      </c>
      <c r="F497" s="106" t="str">
        <f>IFERROR(__xludf.DUMMYFUNCTION("""COMPUTED_VALUE"""),"Kanro Enterprises")</f>
        <v>Kanro Enterprises</v>
      </c>
      <c r="G497" s="106" t="str">
        <f>IFERROR(__xludf.DUMMYFUNCTION("""COMPUTED_VALUE"""),"A4309144")</f>
        <v>A4309144</v>
      </c>
      <c r="H497" s="106" t="str">
        <f>IFERROR(__xludf.DUMMYFUNCTION("""COMPUTED_VALUE"""),"Still Processing")</f>
        <v>Still Processing</v>
      </c>
      <c r="I497" s="106" t="str">
        <f>IFERROR(__xludf.DUMMYFUNCTION("""COMPUTED_VALUE"""),"Homagama")</f>
        <v>Homagama</v>
      </c>
      <c r="J497" s="106" t="str">
        <f>IFERROR(__xludf.DUMMYFUNCTION("""COMPUTED_VALUE"""),"Returned To Branch Failed To Deliver")</f>
        <v>Returned To Branch Failed To Deliver</v>
      </c>
      <c r="K497" s="106" t="str">
        <f>IFERROR(__xludf.DUMMYFUNCTION("""COMPUTED_VALUE"""),"Customer Care")</f>
        <v>Customer Care</v>
      </c>
      <c r="L497" s="106" t="str">
        <f>IFERROR(__xludf.DUMMYFUNCTION("""COMPUTED_VALUE"""),"Given Incharge Number")</f>
        <v>Given Incharge Number</v>
      </c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>
      <c r="A498" s="82"/>
      <c r="B498" s="98" t="str">
        <f>IFERROR(__xludf.DUMMYFUNCTION("""COMPUTED_VALUE"""),"774")</f>
        <v>774</v>
      </c>
      <c r="C498" s="98" t="str">
        <f>IFERROR(__xludf.DUMMYFUNCTION("""COMPUTED_VALUE"""),"Malik")</f>
        <v>Malik</v>
      </c>
      <c r="D498" s="98" t="str">
        <f>IFERROR(__xludf.DUMMYFUNCTION("""COMPUTED_VALUE"""),"727494566")</f>
        <v>727494566</v>
      </c>
      <c r="E498" s="98" t="str">
        <f>IFERROR(__xludf.DUMMYFUNCTION("""COMPUTED_VALUE"""),"N")</f>
        <v>N</v>
      </c>
      <c r="F498" s="98" t="str">
        <f>IFERROR(__xludf.DUMMYFUNCTION("""COMPUTED_VALUE"""),"Elenorabyro")</f>
        <v>Elenorabyro</v>
      </c>
      <c r="G498" s="98" t="str">
        <f>IFERROR(__xludf.DUMMYFUNCTION("""COMPUTED_VALUE"""),"A4431681")</f>
        <v>A4431681</v>
      </c>
      <c r="H498" s="98" t="str">
        <f>IFERROR(__xludf.DUMMYFUNCTION("""COMPUTED_VALUE"""),"Customer Want Return This Package")</f>
        <v>Customer Want Return This Package</v>
      </c>
      <c r="I498" s="98" t="str">
        <f>IFERROR(__xludf.DUMMYFUNCTION("""COMPUTED_VALUE"""),"Kaduwela")</f>
        <v>Kaduwela</v>
      </c>
      <c r="J498" s="98" t="str">
        <f>IFERROR(__xludf.DUMMYFUNCTION("""COMPUTED_VALUE"""),"Received At Destination")</f>
        <v>Received At Destination</v>
      </c>
      <c r="K498" s="98" t="str">
        <f>IFERROR(__xludf.DUMMYFUNCTION("""COMPUTED_VALUE"""),"Customer Care")</f>
        <v>Customer Care</v>
      </c>
      <c r="L498" s="98" t="str">
        <f>IFERROR(__xludf.DUMMYFUNCTION("""COMPUTED_VALUE"""),"Done")</f>
        <v>Done</v>
      </c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>
      <c r="A499" s="82"/>
      <c r="B499" s="106" t="str">
        <f>IFERROR(__xludf.DUMMYFUNCTION("""COMPUTED_VALUE"""),"775")</f>
        <v>775</v>
      </c>
      <c r="C499" s="106" t="str">
        <f>IFERROR(__xludf.DUMMYFUNCTION("""COMPUTED_VALUE"""),"Malik")</f>
        <v>Malik</v>
      </c>
      <c r="D499" s="106" t="str">
        <f>IFERROR(__xludf.DUMMYFUNCTION("""COMPUTED_VALUE"""),"760189186")</f>
        <v>760189186</v>
      </c>
      <c r="E499" s="106" t="str">
        <f>IFERROR(__xludf.DUMMYFUNCTION("""COMPUTED_VALUE"""),"Y")</f>
        <v>Y</v>
      </c>
      <c r="F499" s="106" t="str">
        <f>IFERROR(__xludf.DUMMYFUNCTION("""COMPUTED_VALUE"""),"Dolly'Fashion")</f>
        <v>Dolly'Fashion</v>
      </c>
      <c r="G499" s="106" t="str">
        <f>IFERROR(__xludf.DUMMYFUNCTION("""COMPUTED_VALUE"""),"A4248931")</f>
        <v>A4248931</v>
      </c>
      <c r="H499" s="106" t="str">
        <f>IFERROR(__xludf.DUMMYFUNCTION("""COMPUTED_VALUE"""),"Urgent Today")</f>
        <v>Urgent Today</v>
      </c>
      <c r="I499" s="106" t="str">
        <f>IFERROR(__xludf.DUMMYFUNCTION("""COMPUTED_VALUE"""),"Ratmalana")</f>
        <v>Ratmalana</v>
      </c>
      <c r="J499" s="106" t="str">
        <f>IFERROR(__xludf.DUMMYFUNCTION("""COMPUTED_VALUE"""),"Received At Ho (Returned Item)")</f>
        <v>Received At Ho (Returned Item)</v>
      </c>
      <c r="K499" s="106" t="str">
        <f>IFERROR(__xludf.DUMMYFUNCTION("""COMPUTED_VALUE"""),"Customer Care")</f>
        <v>Customer Care</v>
      </c>
      <c r="L499" s="106" t="str">
        <f>IFERROR(__xludf.DUMMYFUNCTION("""COMPUTED_VALUE"""),"Informed Genzo Nethmi")</f>
        <v>Informed Genzo Nethmi</v>
      </c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>
      <c r="A500" s="82"/>
      <c r="B500" s="98" t="str">
        <f>IFERROR(__xludf.DUMMYFUNCTION("""COMPUTED_VALUE"""),"776")</f>
        <v>776</v>
      </c>
      <c r="C500" s="98" t="str">
        <f>IFERROR(__xludf.DUMMYFUNCTION("""COMPUTED_VALUE"""),"Jeni")</f>
        <v>Jeni</v>
      </c>
      <c r="D500" s="98" t="str">
        <f>IFERROR(__xludf.DUMMYFUNCTION("""COMPUTED_VALUE"""),"789676659")</f>
        <v>789676659</v>
      </c>
      <c r="E500" s="98" t="str">
        <f>IFERROR(__xludf.DUMMYFUNCTION("""COMPUTED_VALUE"""),"N")</f>
        <v>N</v>
      </c>
      <c r="F500" s="98" t="str">
        <f>IFERROR(__xludf.DUMMYFUNCTION("""COMPUTED_VALUE"""),"Faith Store")</f>
        <v>Faith Store</v>
      </c>
      <c r="G500" s="98" t="str">
        <f>IFERROR(__xludf.DUMMYFUNCTION("""COMPUTED_VALUE"""),"BE096306")</f>
        <v>BE096306</v>
      </c>
      <c r="H500" s="98" t="str">
        <f>IFERROR(__xludf.DUMMYFUNCTION("""COMPUTED_VALUE"""),"Customer Collect At Branch")</f>
        <v>Customer Collect At Branch</v>
      </c>
      <c r="I500" s="98" t="str">
        <f>IFERROR(__xludf.DUMMYFUNCTION("""COMPUTED_VALUE"""),"Pilimathlawa")</f>
        <v>Pilimathlawa</v>
      </c>
      <c r="J500" s="98" t="str">
        <f>IFERROR(__xludf.DUMMYFUNCTION("""COMPUTED_VALUE"""),"Returned To Branch Rescheduled")</f>
        <v>Returned To Branch Rescheduled</v>
      </c>
      <c r="K500" s="98" t="str">
        <f>IFERROR(__xludf.DUMMYFUNCTION("""COMPUTED_VALUE"""),"Customer Care")</f>
        <v>Customer Care</v>
      </c>
      <c r="L500" s="98" t="str">
        <f>IFERROR(__xludf.DUMMYFUNCTION("""COMPUTED_VALUE"""),"Done")</f>
        <v>Done</v>
      </c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>
      <c r="A501" s="82"/>
      <c r="B501" s="106" t="str">
        <f>IFERROR(__xludf.DUMMYFUNCTION("""COMPUTED_VALUE"""),"777")</f>
        <v>777</v>
      </c>
      <c r="C501" s="106" t="str">
        <f>IFERROR(__xludf.DUMMYFUNCTION("""COMPUTED_VALUE"""),"Mandari")</f>
        <v>Mandari</v>
      </c>
      <c r="D501" s="106" t="str">
        <f>IFERROR(__xludf.DUMMYFUNCTION("""COMPUTED_VALUE"""),"760534977")</f>
        <v>760534977</v>
      </c>
      <c r="E501" s="106" t="str">
        <f>IFERROR(__xludf.DUMMYFUNCTION("""COMPUTED_VALUE"""),"Y")</f>
        <v>Y</v>
      </c>
      <c r="F501" s="106" t="str">
        <f>IFERROR(__xludf.DUMMYFUNCTION("""COMPUTED_VALUE"""),"Quick Mart.Lk")</f>
        <v>Quick Mart.Lk</v>
      </c>
      <c r="G501" s="106" t="str">
        <f>IFERROR(__xludf.DUMMYFUNCTION("""COMPUTED_VALUE"""),"A4591385")</f>
        <v>A4591385</v>
      </c>
      <c r="H501" s="106" t="str">
        <f>IFERROR(__xludf.DUMMYFUNCTION("""COMPUTED_VALUE"""),"Re Deliver")</f>
        <v>Re Deliver</v>
      </c>
      <c r="I501" s="106" t="str">
        <f>IFERROR(__xludf.DUMMYFUNCTION("""COMPUTED_VALUE"""),"Maradana")</f>
        <v>Maradana</v>
      </c>
      <c r="J501" s="106" t="str">
        <f>IFERROR(__xludf.DUMMYFUNCTION("""COMPUTED_VALUE"""),"Delivered")</f>
        <v>Delivered</v>
      </c>
      <c r="K501" s="106" t="str">
        <f>IFERROR(__xludf.DUMMYFUNCTION("""COMPUTED_VALUE"""),"Customer Care")</f>
        <v>Customer Care</v>
      </c>
      <c r="L501" s="106" t="str">
        <f>IFERROR(__xludf.DUMMYFUNCTION("""COMPUTED_VALUE"""),"Done")</f>
        <v>Done</v>
      </c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>
      <c r="A502" s="82"/>
      <c r="B502" s="98" t="str">
        <f>IFERROR(__xludf.DUMMYFUNCTION("""COMPUTED_VALUE"""),"778")</f>
        <v>778</v>
      </c>
      <c r="C502" s="98" t="str">
        <f>IFERROR(__xludf.DUMMYFUNCTION("""COMPUTED_VALUE"""),"Malik")</f>
        <v>Malik</v>
      </c>
      <c r="D502" s="98" t="str">
        <f>IFERROR(__xludf.DUMMYFUNCTION("""COMPUTED_VALUE"""),"744944474")</f>
        <v>744944474</v>
      </c>
      <c r="E502" s="98" t="str">
        <f>IFERROR(__xludf.DUMMYFUNCTION("""COMPUTED_VALUE"""),"Y")</f>
        <v>Y</v>
      </c>
      <c r="F502" s="108" t="str">
        <f>IFERROR(__xludf.DUMMYFUNCTION("""COMPUTED_VALUE"""),"Onelink.Lk")</f>
        <v>Onelink.Lk</v>
      </c>
      <c r="G502" s="98" t="str">
        <f>IFERROR(__xludf.DUMMYFUNCTION("""COMPUTED_VALUE"""),"A4309144")</f>
        <v>A4309144</v>
      </c>
      <c r="H502" s="98" t="str">
        <f>IFERROR(__xludf.DUMMYFUNCTION("""COMPUTED_VALUE"""),"Customer Want Return This Package")</f>
        <v>Customer Want Return This Package</v>
      </c>
      <c r="I502" s="98" t="str">
        <f>IFERROR(__xludf.DUMMYFUNCTION("""COMPUTED_VALUE"""),"Negombo")</f>
        <v>Negombo</v>
      </c>
      <c r="J502" s="98" t="str">
        <f>IFERROR(__xludf.DUMMYFUNCTION("""COMPUTED_VALUE"""),"Received At Destination")</f>
        <v>Received At Destination</v>
      </c>
      <c r="K502" s="98" t="str">
        <f>IFERROR(__xludf.DUMMYFUNCTION("""COMPUTED_VALUE"""),"Customer Care")</f>
        <v>Customer Care</v>
      </c>
      <c r="L502" s="98" t="str">
        <f>IFERROR(__xludf.DUMMYFUNCTION("""COMPUTED_VALUE"""),"Informed Branch Number Via A Whatsapp")</f>
        <v>Informed Branch Number Via A Whatsapp</v>
      </c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>
      <c r="A503" s="82"/>
      <c r="B503" s="106" t="str">
        <f>IFERROR(__xludf.DUMMYFUNCTION("""COMPUTED_VALUE"""),"779")</f>
        <v>779</v>
      </c>
      <c r="C503" s="106" t="str">
        <f>IFERROR(__xludf.DUMMYFUNCTION("""COMPUTED_VALUE"""),"Jeni")</f>
        <v>Jeni</v>
      </c>
      <c r="D503" s="106" t="str">
        <f>IFERROR(__xludf.DUMMYFUNCTION("""COMPUTED_VALUE"""),"776346403")</f>
        <v>776346403</v>
      </c>
      <c r="E503" s="106" t="str">
        <f>IFERROR(__xludf.DUMMYFUNCTION("""COMPUTED_VALUE"""),"N")</f>
        <v>N</v>
      </c>
      <c r="F503" s="106" t="str">
        <f>IFERROR(__xludf.DUMMYFUNCTION("""COMPUTED_VALUE"""),"Bhashi Products")</f>
        <v>Bhashi Products</v>
      </c>
      <c r="G503" s="106" t="str">
        <f>IFERROR(__xludf.DUMMYFUNCTION("""COMPUTED_VALUE"""),"A4702183")</f>
        <v>A4702183</v>
      </c>
      <c r="H503" s="106" t="str">
        <f>IFERROR(__xludf.DUMMYFUNCTION("""COMPUTED_VALUE"""),"Didn'T Know The Tracking Number")</f>
        <v>Didn'T Know The Tracking Number</v>
      </c>
      <c r="I503" s="106" t="str">
        <f>IFERROR(__xludf.DUMMYFUNCTION("""COMPUTED_VALUE"""),"Kuliyapitiya")</f>
        <v>Kuliyapitiya</v>
      </c>
      <c r="J503" s="106" t="str">
        <f>IFERROR(__xludf.DUMMYFUNCTION("""COMPUTED_VALUE"""),"Out For Delivery")</f>
        <v>Out For Delivery</v>
      </c>
      <c r="K503" s="106" t="str">
        <f>IFERROR(__xludf.DUMMYFUNCTION("""COMPUTED_VALUE"""),"Branch Operations")</f>
        <v>Branch Operations</v>
      </c>
      <c r="L503" s="106" t="str">
        <f>IFERROR(__xludf.DUMMYFUNCTION("""COMPUTED_VALUE"""),"Call Transfer Jeni")</f>
        <v>Call Transfer Jeni</v>
      </c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>
      <c r="A504" s="82"/>
      <c r="B504" s="98" t="str">
        <f>IFERROR(__xludf.DUMMYFUNCTION("""COMPUTED_VALUE"""),"780")</f>
        <v>780</v>
      </c>
      <c r="C504" s="98" t="str">
        <f>IFERROR(__xludf.DUMMYFUNCTION("""COMPUTED_VALUE"""),"Umesha")</f>
        <v>Umesha</v>
      </c>
      <c r="D504" s="98" t="str">
        <f>IFERROR(__xludf.DUMMYFUNCTION("""COMPUTED_VALUE"""),"702595357")</f>
        <v>702595357</v>
      </c>
      <c r="E504" s="98" t="str">
        <f>IFERROR(__xludf.DUMMYFUNCTION("""COMPUTED_VALUE"""),"Y")</f>
        <v>Y</v>
      </c>
      <c r="F504" s="98" t="str">
        <f>IFERROR(__xludf.DUMMYFUNCTION("""COMPUTED_VALUE"""),"Alpha.Com(Pvt)Ltd")</f>
        <v>Alpha.Com(Pvt)Ltd</v>
      </c>
      <c r="G504" s="98" t="str">
        <f>IFERROR(__xludf.DUMMYFUNCTION("""COMPUTED_VALUE"""),"A4366972")</f>
        <v>A4366972</v>
      </c>
      <c r="H504" s="98" t="str">
        <f>IFERROR(__xludf.DUMMYFUNCTION("""COMPUTED_VALUE"""),"Customer Refused")</f>
        <v>Customer Refused</v>
      </c>
      <c r="I504" s="98" t="str">
        <f>IFERROR(__xludf.DUMMYFUNCTION("""COMPUTED_VALUE"""),"Ratmalana")</f>
        <v>Ratmalana</v>
      </c>
      <c r="J504" s="98" t="str">
        <f>IFERROR(__xludf.DUMMYFUNCTION("""COMPUTED_VALUE"""),"Received At Ho (Returned Item)")</f>
        <v>Received At Ho (Returned Item)</v>
      </c>
      <c r="K504" s="98" t="str">
        <f>IFERROR(__xludf.DUMMYFUNCTION("""COMPUTED_VALUE"""),"Branch Operations")</f>
        <v>Branch Operations</v>
      </c>
      <c r="L504" s="98" t="str">
        <f>IFERROR(__xludf.DUMMYFUNCTION("""COMPUTED_VALUE"""),"Informed Genzo Amanthi")</f>
        <v>Informed Genzo Amanthi</v>
      </c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>
      <c r="A505" s="82"/>
      <c r="B505" s="106" t="str">
        <f>IFERROR(__xludf.DUMMYFUNCTION("""COMPUTED_VALUE"""),"781")</f>
        <v>781</v>
      </c>
      <c r="C505" s="106" t="str">
        <f>IFERROR(__xludf.DUMMYFUNCTION("""COMPUTED_VALUE"""),"Lakshani")</f>
        <v>Lakshani</v>
      </c>
      <c r="D505" s="106" t="str">
        <f>IFERROR(__xludf.DUMMYFUNCTION("""COMPUTED_VALUE"""),"768804852")</f>
        <v>768804852</v>
      </c>
      <c r="E505" s="106" t="str">
        <f>IFERROR(__xludf.DUMMYFUNCTION("""COMPUTED_VALUE"""),"Y")</f>
        <v>Y</v>
      </c>
      <c r="F505" s="106" t="str">
        <f>IFERROR(__xludf.DUMMYFUNCTION("""COMPUTED_VALUE"""),"Bella Flower")</f>
        <v>Bella Flower</v>
      </c>
      <c r="G505" s="106" t="str">
        <f>IFERROR(__xludf.DUMMYFUNCTION("""COMPUTED_VALUE"""),"BE084359")</f>
        <v>BE084359</v>
      </c>
      <c r="H505" s="106" t="str">
        <f>IFERROR(__xludf.DUMMYFUNCTION("""COMPUTED_VALUE"""),"Re Delivery")</f>
        <v>Re Delivery</v>
      </c>
      <c r="I505" s="106" t="str">
        <f>IFERROR(__xludf.DUMMYFUNCTION("""COMPUTED_VALUE"""),"Piliyandala")</f>
        <v>Piliyandala</v>
      </c>
      <c r="J505" s="106" t="str">
        <f>IFERROR(__xludf.DUMMYFUNCTION("""COMPUTED_VALUE"""),"Received At Destination")</f>
        <v>Received At Destination</v>
      </c>
      <c r="K505" s="106" t="str">
        <f>IFERROR(__xludf.DUMMYFUNCTION("""COMPUTED_VALUE"""),"Branch Operations")</f>
        <v>Branch Operations</v>
      </c>
      <c r="L505" s="106" t="str">
        <f>IFERROR(__xludf.DUMMYFUNCTION("""COMPUTED_VALUE"""),"Done")</f>
        <v>Done</v>
      </c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>
      <c r="A506" s="82"/>
      <c r="B506" s="98" t="str">
        <f>IFERROR(__xludf.DUMMYFUNCTION("""COMPUTED_VALUE"""),"782")</f>
        <v>782</v>
      </c>
      <c r="C506" s="98" t="str">
        <f>IFERROR(__xludf.DUMMYFUNCTION("""COMPUTED_VALUE"""),"Malik")</f>
        <v>Malik</v>
      </c>
      <c r="D506" s="98" t="str">
        <f>IFERROR(__xludf.DUMMYFUNCTION("""COMPUTED_VALUE"""),"785921781")</f>
        <v>785921781</v>
      </c>
      <c r="E506" s="98" t="str">
        <f>IFERROR(__xludf.DUMMYFUNCTION("""COMPUTED_VALUE"""),"Y")</f>
        <v>Y</v>
      </c>
      <c r="F506" s="98" t="str">
        <f>IFERROR(__xludf.DUMMYFUNCTION("""COMPUTED_VALUE"""),"Miraci Holdings")</f>
        <v>Miraci Holdings</v>
      </c>
      <c r="G506" s="98" t="str">
        <f>IFERROR(__xludf.DUMMYFUNCTION("""COMPUTED_VALUE"""),"A4715695")</f>
        <v>A4715695</v>
      </c>
      <c r="H506" s="98" t="str">
        <f>IFERROR(__xludf.DUMMYFUNCTION("""COMPUTED_VALUE"""),"Belihuloya Branch")</f>
        <v>Belihuloya Branch</v>
      </c>
      <c r="I506" s="98" t="str">
        <f>IFERROR(__xludf.DUMMYFUNCTION("""COMPUTED_VALUE"""),"Gampaha")</f>
        <v>Gampaha</v>
      </c>
      <c r="J506" s="98" t="str">
        <f>IFERROR(__xludf.DUMMYFUNCTION("""COMPUTED_VALUE"""),"Returned To Branch Rescheduled")</f>
        <v>Returned To Branch Rescheduled</v>
      </c>
      <c r="K506" s="98" t="str">
        <f>IFERROR(__xludf.DUMMYFUNCTION("""COMPUTED_VALUE"""),"Branch Operations")</f>
        <v>Branch Operations</v>
      </c>
      <c r="L506" s="98" t="str">
        <f>IFERROR(__xludf.DUMMYFUNCTION("""COMPUTED_VALUE"""),"Informed Branch")</f>
        <v>Informed Branch</v>
      </c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>
      <c r="A507" s="82"/>
      <c r="B507" s="106" t="str">
        <f>IFERROR(__xludf.DUMMYFUNCTION("""COMPUTED_VALUE"""),"783")</f>
        <v>783</v>
      </c>
      <c r="C507" s="106" t="str">
        <f>IFERROR(__xludf.DUMMYFUNCTION("""COMPUTED_VALUE"""),"Jeni")</f>
        <v>Jeni</v>
      </c>
      <c r="D507" s="106" t="str">
        <f>IFERROR(__xludf.DUMMYFUNCTION("""COMPUTED_VALUE"""),"780311364")</f>
        <v>780311364</v>
      </c>
      <c r="E507" s="106" t="str">
        <f>IFERROR(__xludf.DUMMYFUNCTION("""COMPUTED_VALUE"""),"N")</f>
        <v>N</v>
      </c>
      <c r="F507" s="106" t="str">
        <f>IFERROR(__xludf.DUMMYFUNCTION("""COMPUTED_VALUE"""),"Win Glow Sri Lanka")</f>
        <v>Win Glow Sri Lanka</v>
      </c>
      <c r="G507" s="106" t="str">
        <f>IFERROR(__xludf.DUMMYFUNCTION("""COMPUTED_VALUE"""),"A4470093")</f>
        <v>A4470093</v>
      </c>
      <c r="H507" s="106" t="str">
        <f>IFERROR(__xludf.DUMMYFUNCTION("""COMPUTED_VALUE"""),"Return Package")</f>
        <v>Return Package</v>
      </c>
      <c r="I507" s="106" t="str">
        <f>IFERROR(__xludf.DUMMYFUNCTION("""COMPUTED_VALUE"""),"Colombo Metro")</f>
        <v>Colombo Metro</v>
      </c>
      <c r="J507" s="106" t="str">
        <f>IFERROR(__xludf.DUMMYFUNCTION("""COMPUTED_VALUE"""),"Returned To Branch Rescheduled")</f>
        <v>Returned To Branch Rescheduled</v>
      </c>
      <c r="K507" s="106" t="str">
        <f>IFERROR(__xludf.DUMMYFUNCTION("""COMPUTED_VALUE"""),"Customer Care")</f>
        <v>Customer Care</v>
      </c>
      <c r="L507" s="106" t="str">
        <f>IFERROR(__xludf.DUMMYFUNCTION("""COMPUTED_VALUE"""),"Call Transfer Jeni")</f>
        <v>Call Transfer Jeni</v>
      </c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>
      <c r="A508" s="82"/>
      <c r="B508" s="98" t="str">
        <f>IFERROR(__xludf.DUMMYFUNCTION("""COMPUTED_VALUE"""),"784")</f>
        <v>784</v>
      </c>
      <c r="C508" s="98" t="str">
        <f>IFERROR(__xludf.DUMMYFUNCTION("""COMPUTED_VALUE"""),"Jeni")</f>
        <v>Jeni</v>
      </c>
      <c r="D508" s="98" t="str">
        <f>IFERROR(__xludf.DUMMYFUNCTION("""COMPUTED_VALUE"""),"770063998")</f>
        <v>770063998</v>
      </c>
      <c r="E508" s="98" t="str">
        <f>IFERROR(__xludf.DUMMYFUNCTION("""COMPUTED_VALUE"""),"N")</f>
        <v>N</v>
      </c>
      <c r="F508" s="98" t="str">
        <f>IFERROR(__xludf.DUMMYFUNCTION("""COMPUTED_VALUE"""),"P &amp; S Help Investment Pvt(Ltd)")</f>
        <v>P &amp; S Help Investment Pvt(Ltd)</v>
      </c>
      <c r="G508" s="98" t="str">
        <f>IFERROR(__xludf.DUMMYFUNCTION("""COMPUTED_VALUE"""),"BE098496")</f>
        <v>BE098496</v>
      </c>
      <c r="H508" s="98" t="str">
        <f>IFERROR(__xludf.DUMMYFUNCTION("""COMPUTED_VALUE"""),"Re Deliver")</f>
        <v>Re Deliver</v>
      </c>
      <c r="I508" s="98" t="str">
        <f>IFERROR(__xludf.DUMMYFUNCTION("""COMPUTED_VALUE"""),"Embilipitiya")</f>
        <v>Embilipitiya</v>
      </c>
      <c r="J508" s="98" t="str">
        <f>IFERROR(__xludf.DUMMYFUNCTION("""COMPUTED_VALUE"""),"Received At Destination")</f>
        <v>Received At Destination</v>
      </c>
      <c r="K508" s="98" t="str">
        <f>IFERROR(__xludf.DUMMYFUNCTION("""COMPUTED_VALUE"""),"Customer Care")</f>
        <v>Customer Care</v>
      </c>
      <c r="L508" s="98" t="str">
        <f>IFERROR(__xludf.DUMMYFUNCTION("""COMPUTED_VALUE"""),"Informed Branch")</f>
        <v>Informed Branch</v>
      </c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>
      <c r="A509" s="82"/>
      <c r="B509" s="106" t="str">
        <f>IFERROR(__xludf.DUMMYFUNCTION("""COMPUTED_VALUE"""),"785")</f>
        <v>785</v>
      </c>
      <c r="C509" s="106" t="str">
        <f>IFERROR(__xludf.DUMMYFUNCTION("""COMPUTED_VALUE"""),"Umesha")</f>
        <v>Umesha</v>
      </c>
      <c r="D509" s="106" t="str">
        <f>IFERROR(__xludf.DUMMYFUNCTION("""COMPUTED_VALUE"""),"791082935")</f>
        <v>791082935</v>
      </c>
      <c r="E509" s="106" t="str">
        <f>IFERROR(__xludf.DUMMYFUNCTION("""COMPUTED_VALUE"""),"N")</f>
        <v>N</v>
      </c>
      <c r="F509" s="106" t="str">
        <f>IFERROR(__xludf.DUMMYFUNCTION("""COMPUTED_VALUE"""),"Dewkith Coloting")</f>
        <v>Dewkith Coloting</v>
      </c>
      <c r="G509" s="106" t="str">
        <f>IFERROR(__xludf.DUMMYFUNCTION("""COMPUTED_VALUE"""),"BE091724")</f>
        <v>BE091724</v>
      </c>
      <c r="H509" s="106" t="str">
        <f>IFERROR(__xludf.DUMMYFUNCTION("""COMPUTED_VALUE"""),"Urgent Today")</f>
        <v>Urgent Today</v>
      </c>
      <c r="I509" s="106" t="str">
        <f>IFERROR(__xludf.DUMMYFUNCTION("""COMPUTED_VALUE"""),"Dambulla")</f>
        <v>Dambulla</v>
      </c>
      <c r="J509" s="106" t="str">
        <f>IFERROR(__xludf.DUMMYFUNCTION("""COMPUTED_VALUE"""),"Return To Ho (Invalid Destination)")</f>
        <v>Return To Ho (Invalid Destination)</v>
      </c>
      <c r="K509" s="106" t="str">
        <f>IFERROR(__xludf.DUMMYFUNCTION("""COMPUTED_VALUE"""),"Sales")</f>
        <v>Sales</v>
      </c>
      <c r="L509" s="106" t="str">
        <f>IFERROR(__xludf.DUMMYFUNCTION("""COMPUTED_VALUE"""),"Informed Branch")</f>
        <v>Informed Branch</v>
      </c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>
      <c r="A510" s="82"/>
      <c r="B510" s="98" t="str">
        <f>IFERROR(__xludf.DUMMYFUNCTION("""COMPUTED_VALUE"""),"786")</f>
        <v>786</v>
      </c>
      <c r="C510" s="98" t="str">
        <f>IFERROR(__xludf.DUMMYFUNCTION("""COMPUTED_VALUE"""),"Jeni")</f>
        <v>Jeni</v>
      </c>
      <c r="D510" s="98" t="str">
        <f>IFERROR(__xludf.DUMMYFUNCTION("""COMPUTED_VALUE"""),"773719168")</f>
        <v>773719168</v>
      </c>
      <c r="E510" s="98" t="str">
        <f>IFERROR(__xludf.DUMMYFUNCTION("""COMPUTED_VALUE"""),"N")</f>
        <v>N</v>
      </c>
      <c r="F510" s="108" t="str">
        <f>IFERROR(__xludf.DUMMYFUNCTION("""COMPUTED_VALUE"""),"Saleway.Lk")</f>
        <v>Saleway.Lk</v>
      </c>
      <c r="G510" s="98" t="str">
        <f>IFERROR(__xludf.DUMMYFUNCTION("""COMPUTED_VALUE"""),"A4086806")</f>
        <v>A4086806</v>
      </c>
      <c r="H510" s="98" t="str">
        <f>IFERROR(__xludf.DUMMYFUNCTION("""COMPUTED_VALUE"""),"Re Deliver")</f>
        <v>Re Deliver</v>
      </c>
      <c r="I510" s="98" t="str">
        <f>IFERROR(__xludf.DUMMYFUNCTION("""COMPUTED_VALUE"""),"Colombo Metro")</f>
        <v>Colombo Metro</v>
      </c>
      <c r="J510" s="98" t="str">
        <f>IFERROR(__xludf.DUMMYFUNCTION("""COMPUTED_VALUE"""),"Returned To Branch Rescheduled")</f>
        <v>Returned To Branch Rescheduled</v>
      </c>
      <c r="K510" s="98" t="str">
        <f>IFERROR(__xludf.DUMMYFUNCTION("""COMPUTED_VALUE"""),"Branch Operations")</f>
        <v>Branch Operations</v>
      </c>
      <c r="L510" s="98" t="str">
        <f>IFERROR(__xludf.DUMMYFUNCTION("""COMPUTED_VALUE"""),"Call Wrapped")</f>
        <v>Call Wrapped</v>
      </c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>
      <c r="A511" s="82"/>
      <c r="B511" s="106" t="str">
        <f>IFERROR(__xludf.DUMMYFUNCTION("""COMPUTED_VALUE"""),"787")</f>
        <v>787</v>
      </c>
      <c r="C511" s="106" t="str">
        <f>IFERROR(__xludf.DUMMYFUNCTION("""COMPUTED_VALUE"""),"Umesha")</f>
        <v>Umesha</v>
      </c>
      <c r="D511" s="106" t="str">
        <f>IFERROR(__xludf.DUMMYFUNCTION("""COMPUTED_VALUE"""),"704092215")</f>
        <v>704092215</v>
      </c>
      <c r="E511" s="106" t="str">
        <f>IFERROR(__xludf.DUMMYFUNCTION("""COMPUTED_VALUE"""),"Y")</f>
        <v>Y</v>
      </c>
      <c r="F511" s="106" t="str">
        <f>IFERROR(__xludf.DUMMYFUNCTION("""COMPUTED_VALUE"""),"Lakshini Dilrukshi")</f>
        <v>Lakshini Dilrukshi</v>
      </c>
      <c r="G511" s="106" t="str">
        <f>IFERROR(__xludf.DUMMYFUNCTION("""COMPUTED_VALUE"""),"90954741")</f>
        <v>90954741</v>
      </c>
      <c r="H511" s="106" t="str">
        <f>IFERROR(__xludf.DUMMYFUNCTION("""COMPUTED_VALUE"""),"Horana Branch No")</f>
        <v>Horana Branch No</v>
      </c>
      <c r="I511" s="106" t="str">
        <f>IFERROR(__xludf.DUMMYFUNCTION("""COMPUTED_VALUE"""),"Mirigama")</f>
        <v>Mirigama</v>
      </c>
      <c r="J511" s="106" t="str">
        <f>IFERROR(__xludf.DUMMYFUNCTION("""COMPUTED_VALUE"""),"Delivered")</f>
        <v>Delivered</v>
      </c>
      <c r="K511" s="106" t="str">
        <f>IFERROR(__xludf.DUMMYFUNCTION("""COMPUTED_VALUE"""),"Branch Operations")</f>
        <v>Branch Operations</v>
      </c>
      <c r="L511" s="106" t="str">
        <f>IFERROR(__xludf.DUMMYFUNCTION("""COMPUTED_VALUE"""),"Informed Branch")</f>
        <v>Informed Branch</v>
      </c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>
      <c r="A512" s="82"/>
      <c r="B512" s="98" t="str">
        <f>IFERROR(__xludf.DUMMYFUNCTION("""COMPUTED_VALUE"""),"788")</f>
        <v>788</v>
      </c>
      <c r="C512" s="98" t="str">
        <f>IFERROR(__xludf.DUMMYFUNCTION("""COMPUTED_VALUE"""),"Jeni")</f>
        <v>Jeni</v>
      </c>
      <c r="D512" s="98" t="str">
        <f>IFERROR(__xludf.DUMMYFUNCTION("""COMPUTED_VALUE"""),"750941179")</f>
        <v>750941179</v>
      </c>
      <c r="E512" s="98" t="str">
        <f>IFERROR(__xludf.DUMMYFUNCTION("""COMPUTED_VALUE"""),"N")</f>
        <v>N</v>
      </c>
      <c r="F512" s="98" t="str">
        <f>IFERROR(__xludf.DUMMYFUNCTION("""COMPUTED_VALUE"""),"Sr Center")</f>
        <v>Sr Center</v>
      </c>
      <c r="G512" s="98" t="str">
        <f>IFERROR(__xludf.DUMMYFUNCTION("""COMPUTED_VALUE"""),"BE078767")</f>
        <v>BE078767</v>
      </c>
      <c r="H512" s="98" t="str">
        <f>IFERROR(__xludf.DUMMYFUNCTION("""COMPUTED_VALUE"""),"Mathara Branch Location")</f>
        <v>Mathara Branch Location</v>
      </c>
      <c r="I512" s="98" t="str">
        <f>IFERROR(__xludf.DUMMYFUNCTION("""COMPUTED_VALUE"""),"Thalawathugoda")</f>
        <v>Thalawathugoda</v>
      </c>
      <c r="J512" s="98" t="str">
        <f>IFERROR(__xludf.DUMMYFUNCTION("""COMPUTED_VALUE"""),"Returned To Branch Rescheduled")</f>
        <v>Returned To Branch Rescheduled</v>
      </c>
      <c r="K512" s="98" t="str">
        <f>IFERROR(__xludf.DUMMYFUNCTION("""COMPUTED_VALUE"""),"Customer Care")</f>
        <v>Customer Care</v>
      </c>
      <c r="L512" s="98" t="str">
        <f>IFERROR(__xludf.DUMMYFUNCTION("""COMPUTED_VALUE"""),"Informed Branch")</f>
        <v>Informed Branch</v>
      </c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>
      <c r="A513" s="82"/>
      <c r="B513" s="106" t="str">
        <f>IFERROR(__xludf.DUMMYFUNCTION("""COMPUTED_VALUE"""),"789")</f>
        <v>789</v>
      </c>
      <c r="C513" s="106" t="str">
        <f>IFERROR(__xludf.DUMMYFUNCTION("""COMPUTED_VALUE"""),"Malik")</f>
        <v>Malik</v>
      </c>
      <c r="D513" s="106" t="str">
        <f>IFERROR(__xludf.DUMMYFUNCTION("""COMPUTED_VALUE"""),"732914083")</f>
        <v>732914083</v>
      </c>
      <c r="E513" s="106" t="str">
        <f>IFERROR(__xludf.DUMMYFUNCTION("""COMPUTED_VALUE"""),"N")</f>
        <v>N</v>
      </c>
      <c r="F513" s="106" t="str">
        <f>IFERROR(__xludf.DUMMYFUNCTION("""COMPUTED_VALUE"""),"Rooby Marketing")</f>
        <v>Rooby Marketing</v>
      </c>
      <c r="G513" s="106" t="str">
        <f>IFERROR(__xludf.DUMMYFUNCTION("""COMPUTED_VALUE"""),"BA766395")</f>
        <v>BA766395</v>
      </c>
      <c r="H513" s="106" t="str">
        <f>IFERROR(__xludf.DUMMYFUNCTION("""COMPUTED_VALUE"""),"Answered")</f>
        <v>Answered</v>
      </c>
      <c r="I513" s="106" t="str">
        <f>IFERROR(__xludf.DUMMYFUNCTION("""COMPUTED_VALUE"""),"Horana")</f>
        <v>Horana</v>
      </c>
      <c r="J513" s="106" t="str">
        <f>IFERROR(__xludf.DUMMYFUNCTION("""COMPUTED_VALUE"""),"Out For Delivery")</f>
        <v>Out For Delivery</v>
      </c>
      <c r="K513" s="106" t="str">
        <f>IFERROR(__xludf.DUMMYFUNCTION("""COMPUTED_VALUE"""),"Customer Care")</f>
        <v>Customer Care</v>
      </c>
      <c r="L513" s="106" t="str">
        <f>IFERROR(__xludf.DUMMYFUNCTION("""COMPUTED_VALUE"""),"Call Transfer Jeni")</f>
        <v>Call Transfer Jeni</v>
      </c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>
      <c r="A514" s="82"/>
      <c r="B514" s="98" t="str">
        <f>IFERROR(__xludf.DUMMYFUNCTION("""COMPUTED_VALUE"""),"790")</f>
        <v>790</v>
      </c>
      <c r="C514" s="98" t="str">
        <f>IFERROR(__xludf.DUMMYFUNCTION("""COMPUTED_VALUE"""),"Malik")</f>
        <v>Malik</v>
      </c>
      <c r="D514" s="98" t="str">
        <f>IFERROR(__xludf.DUMMYFUNCTION("""COMPUTED_VALUE"""),"786740073")</f>
        <v>786740073</v>
      </c>
      <c r="E514" s="98" t="str">
        <f>IFERROR(__xludf.DUMMYFUNCTION("""COMPUTED_VALUE"""),"N")</f>
        <v>N</v>
      </c>
      <c r="F514" s="98" t="str">
        <f>IFERROR(__xludf.DUMMYFUNCTION("""COMPUTED_VALUE"""),"Ceylon Ayura")</f>
        <v>Ceylon Ayura</v>
      </c>
      <c r="G514" s="98" t="str">
        <f>IFERROR(__xludf.DUMMYFUNCTION("""COMPUTED_VALUE"""),"BA771537")</f>
        <v>BA771537</v>
      </c>
      <c r="H514" s="98" t="str">
        <f>IFERROR(__xludf.DUMMYFUNCTION("""COMPUTED_VALUE"""),"Arrange To Deliver Tomorrow / Top Urgant")</f>
        <v>Arrange To Deliver Tomorrow / Top Urgant</v>
      </c>
      <c r="I514" s="98" t="str">
        <f>IFERROR(__xludf.DUMMYFUNCTION("""COMPUTED_VALUE"""),"Imaduwa")</f>
        <v>Imaduwa</v>
      </c>
      <c r="J514" s="98" t="str">
        <f>IFERROR(__xludf.DUMMYFUNCTION("""COMPUTED_VALUE"""),"Out For Delivery")</f>
        <v>Out For Delivery</v>
      </c>
      <c r="K514" s="98" t="str">
        <f>IFERROR(__xludf.DUMMYFUNCTION("""COMPUTED_VALUE"""),"Customer Care")</f>
        <v>Customer Care</v>
      </c>
      <c r="L514" s="98" t="str">
        <f>IFERROR(__xludf.DUMMYFUNCTION("""COMPUTED_VALUE"""),"Informed Genzo Team")</f>
        <v>Informed Genzo Team</v>
      </c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>
      <c r="A515" s="82"/>
      <c r="B515" s="106" t="str">
        <f>IFERROR(__xludf.DUMMYFUNCTION("""COMPUTED_VALUE"""),"791")</f>
        <v>791</v>
      </c>
      <c r="C515" s="106" t="str">
        <f>IFERROR(__xludf.DUMMYFUNCTION("""COMPUTED_VALUE"""),"Jeni")</f>
        <v>Jeni</v>
      </c>
      <c r="D515" s="106" t="str">
        <f>IFERROR(__xludf.DUMMYFUNCTION("""COMPUTED_VALUE"""),"766979286")</f>
        <v>766979286</v>
      </c>
      <c r="E515" s="106" t="str">
        <f>IFERROR(__xludf.DUMMYFUNCTION("""COMPUTED_VALUE"""),"N")</f>
        <v>N</v>
      </c>
      <c r="F515" s="106" t="str">
        <f>IFERROR(__xludf.DUMMYFUNCTION("""COMPUTED_VALUE"""),"Winpro Holdings")</f>
        <v>Winpro Holdings</v>
      </c>
      <c r="G515" s="106" t="str">
        <f>IFERROR(__xludf.DUMMYFUNCTION("""COMPUTED_VALUE"""),"BE100437")</f>
        <v>BE100437</v>
      </c>
      <c r="H515" s="106"/>
      <c r="I515" s="106" t="str">
        <f>IFERROR(__xludf.DUMMYFUNCTION("""COMPUTED_VALUE"""),"Ratmalana")</f>
        <v>Ratmalana</v>
      </c>
      <c r="J515" s="106" t="str">
        <f>IFERROR(__xludf.DUMMYFUNCTION("""COMPUTED_VALUE"""),"Out For Delivery")</f>
        <v>Out For Delivery</v>
      </c>
      <c r="K515" s="106" t="str">
        <f>IFERROR(__xludf.DUMMYFUNCTION("""COMPUTED_VALUE"""),"Customer Care")</f>
        <v>Customer Care</v>
      </c>
      <c r="L515" s="106" t="str">
        <f>IFERROR(__xludf.DUMMYFUNCTION("""COMPUTED_VALUE"""),"Informed Genzo Deepika")</f>
        <v>Informed Genzo Deepika</v>
      </c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>
      <c r="A516" s="82"/>
      <c r="B516" s="98" t="str">
        <f>IFERROR(__xludf.DUMMYFUNCTION("""COMPUTED_VALUE"""),"792")</f>
        <v>792</v>
      </c>
      <c r="C516" s="98" t="str">
        <f>IFERROR(__xludf.DUMMYFUNCTION("""COMPUTED_VALUE"""),"Jeni")</f>
        <v>Jeni</v>
      </c>
      <c r="D516" s="98" t="str">
        <f>IFERROR(__xludf.DUMMYFUNCTION("""COMPUTED_VALUE"""),"757715579")</f>
        <v>757715579</v>
      </c>
      <c r="E516" s="98" t="str">
        <f>IFERROR(__xludf.DUMMYFUNCTION("""COMPUTED_VALUE"""),"Y")</f>
        <v>Y</v>
      </c>
      <c r="F516" s="98" t="str">
        <f>IFERROR(__xludf.DUMMYFUNCTION("""COMPUTED_VALUE"""),"Oneshop")</f>
        <v>Oneshop</v>
      </c>
      <c r="G516" s="98" t="str">
        <f>IFERROR(__xludf.DUMMYFUNCTION("""COMPUTED_VALUE"""),"WD3331521")</f>
        <v>WD3331521</v>
      </c>
      <c r="H516" s="98" t="str">
        <f>IFERROR(__xludf.DUMMYFUNCTION("""COMPUTED_VALUE"""),"Arrange To Deliver Today /Top Urgent")</f>
        <v>Arrange To Deliver Today /Top Urgent</v>
      </c>
      <c r="I516" s="98" t="str">
        <f>IFERROR(__xludf.DUMMYFUNCTION("""COMPUTED_VALUE"""),"Avissawella")</f>
        <v>Avissawella</v>
      </c>
      <c r="J516" s="98" t="str">
        <f>IFERROR(__xludf.DUMMYFUNCTION("""COMPUTED_VALUE"""),"Dispatched To Destination")</f>
        <v>Dispatched To Destination</v>
      </c>
      <c r="K516" s="98" t="str">
        <f>IFERROR(__xludf.DUMMYFUNCTION("""COMPUTED_VALUE"""),"Customer Care")</f>
        <v>Customer Care</v>
      </c>
      <c r="L516" s="98" t="str">
        <f>IFERROR(__xludf.DUMMYFUNCTION("""COMPUTED_VALUE"""),"Informed Genzo Nethmi")</f>
        <v>Informed Genzo Nethmi</v>
      </c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>
      <c r="A517" s="82"/>
      <c r="B517" s="106" t="str">
        <f>IFERROR(__xludf.DUMMYFUNCTION("""COMPUTED_VALUE"""),"793")</f>
        <v>793</v>
      </c>
      <c r="C517" s="106" t="str">
        <f>IFERROR(__xludf.DUMMYFUNCTION("""COMPUTED_VALUE"""),"Jeni")</f>
        <v>Jeni</v>
      </c>
      <c r="D517" s="106" t="str">
        <f>IFERROR(__xludf.DUMMYFUNCTION("""COMPUTED_VALUE"""),"760486453")</f>
        <v>760486453</v>
      </c>
      <c r="E517" s="106" t="str">
        <f>IFERROR(__xludf.DUMMYFUNCTION("""COMPUTED_VALUE"""),"N")</f>
        <v>N</v>
      </c>
      <c r="F517" s="106" t="str">
        <f>IFERROR(__xludf.DUMMYFUNCTION("""COMPUTED_VALUE"""),"The Axon")</f>
        <v>The Axon</v>
      </c>
      <c r="G517" s="106" t="str">
        <f>IFERROR(__xludf.DUMMYFUNCTION("""COMPUTED_VALUE"""),"A3373703")</f>
        <v>A3373703</v>
      </c>
      <c r="H517" s="106" t="str">
        <f>IFERROR(__xludf.DUMMYFUNCTION("""COMPUTED_VALUE"""),"Customer Want Return This Package")</f>
        <v>Customer Want Return This Package</v>
      </c>
      <c r="I517" s="106" t="str">
        <f>IFERROR(__xludf.DUMMYFUNCTION("""COMPUTED_VALUE"""),"Ratmalana")</f>
        <v>Ratmalana</v>
      </c>
      <c r="J517" s="106" t="str">
        <f>IFERROR(__xludf.DUMMYFUNCTION("""COMPUTED_VALUE"""),"Out For Delivery")</f>
        <v>Out For Delivery</v>
      </c>
      <c r="K517" s="106" t="str">
        <f>IFERROR(__xludf.DUMMYFUNCTION("""COMPUTED_VALUE"""),"Customer Care")</f>
        <v>Customer Care</v>
      </c>
      <c r="L517" s="106" t="str">
        <f>IFERROR(__xludf.DUMMYFUNCTION("""COMPUTED_VALUE"""),"Informed Customer")</f>
        <v>Informed Customer</v>
      </c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>
      <c r="A518" s="82"/>
      <c r="B518" s="98" t="str">
        <f>IFERROR(__xludf.DUMMYFUNCTION("""COMPUTED_VALUE"""),"794")</f>
        <v>794</v>
      </c>
      <c r="C518" s="98" t="str">
        <f>IFERROR(__xludf.DUMMYFUNCTION("""COMPUTED_VALUE"""),"Mandari")</f>
        <v>Mandari</v>
      </c>
      <c r="D518" s="98" t="str">
        <f>IFERROR(__xludf.DUMMYFUNCTION("""COMPUTED_VALUE"""),"779335697")</f>
        <v>779335697</v>
      </c>
      <c r="E518" s="98" t="str">
        <f>IFERROR(__xludf.DUMMYFUNCTION("""COMPUTED_VALUE"""),"Y")</f>
        <v>Y</v>
      </c>
      <c r="F518" s="98" t="str">
        <f>IFERROR(__xludf.DUMMYFUNCTION("""COMPUTED_VALUE"""),"C&amp;L Markerting")</f>
        <v>C&amp;L Markerting</v>
      </c>
      <c r="G518" s="98" t="str">
        <f>IFERROR(__xludf.DUMMYFUNCTION("""COMPUTED_VALUE"""),"BE055923")</f>
        <v>BE055923</v>
      </c>
      <c r="H518" s="98" t="str">
        <f>IFERROR(__xludf.DUMMYFUNCTION("""COMPUTED_VALUE"""),"Re Deliver")</f>
        <v>Re Deliver</v>
      </c>
      <c r="I518" s="98" t="str">
        <f>IFERROR(__xludf.DUMMYFUNCTION("""COMPUTED_VALUE"""),"Thalawathugoda")</f>
        <v>Thalawathugoda</v>
      </c>
      <c r="J518" s="98" t="str">
        <f>IFERROR(__xludf.DUMMYFUNCTION("""COMPUTED_VALUE"""),"Returned To Branch Rescheduled")</f>
        <v>Returned To Branch Rescheduled</v>
      </c>
      <c r="K518" s="98" t="str">
        <f>IFERROR(__xludf.DUMMYFUNCTION("""COMPUTED_VALUE"""),"Branch Operations")</f>
        <v>Branch Operations</v>
      </c>
      <c r="L518" s="98" t="str">
        <f>IFERROR(__xludf.DUMMYFUNCTION("""COMPUTED_VALUE"""),"Info Deepika")</f>
        <v>Info Deepika</v>
      </c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>
      <c r="A519" s="82"/>
      <c r="B519" s="106" t="str">
        <f>IFERROR(__xludf.DUMMYFUNCTION("""COMPUTED_VALUE"""),"795")</f>
        <v>795</v>
      </c>
      <c r="C519" s="106" t="str">
        <f>IFERROR(__xludf.DUMMYFUNCTION("""COMPUTED_VALUE"""),"Mandari")</f>
        <v>Mandari</v>
      </c>
      <c r="D519" s="106" t="str">
        <f>IFERROR(__xludf.DUMMYFUNCTION("""COMPUTED_VALUE"""),"797172351")</f>
        <v>797172351</v>
      </c>
      <c r="E519" s="106" t="str">
        <f>IFERROR(__xludf.DUMMYFUNCTION("""COMPUTED_VALUE"""),"N")</f>
        <v>N</v>
      </c>
      <c r="F519" s="106" t="str">
        <f>IFERROR(__xludf.DUMMYFUNCTION("""COMPUTED_VALUE"""),"Angel Attic")</f>
        <v>Angel Attic</v>
      </c>
      <c r="G519" s="106" t="str">
        <f>IFERROR(__xludf.DUMMYFUNCTION("""COMPUTED_VALUE"""),"BE133979")</f>
        <v>BE133979</v>
      </c>
      <c r="H519" s="106" t="str">
        <f>IFERROR(__xludf.DUMMYFUNCTION("""COMPUTED_VALUE"""),"Arrange To Deliver Today / Top Urgant")</f>
        <v>Arrange To Deliver Today / Top Urgant</v>
      </c>
      <c r="I519" s="106" t="str">
        <f>IFERROR(__xludf.DUMMYFUNCTION("""COMPUTED_VALUE"""),"Welimada")</f>
        <v>Welimada</v>
      </c>
      <c r="J519" s="106" t="str">
        <f>IFERROR(__xludf.DUMMYFUNCTION("""COMPUTED_VALUE"""),"Returned To Client")</f>
        <v>Returned To Client</v>
      </c>
      <c r="K519" s="106" t="str">
        <f>IFERROR(__xludf.DUMMYFUNCTION("""COMPUTED_VALUE"""),"Branch Operations")</f>
        <v>Branch Operations</v>
      </c>
      <c r="L519" s="106" t="str">
        <f>IFERROR(__xludf.DUMMYFUNCTION("""COMPUTED_VALUE"""),"Informed Branch Supervisor Number Via A Whatsapp")</f>
        <v>Informed Branch Supervisor Number Via A Whatsapp</v>
      </c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>
      <c r="A520" s="82"/>
      <c r="B520" s="98" t="str">
        <f>IFERROR(__xludf.DUMMYFUNCTION("""COMPUTED_VALUE"""),"796")</f>
        <v>796</v>
      </c>
      <c r="C520" s="98" t="str">
        <f>IFERROR(__xludf.DUMMYFUNCTION("""COMPUTED_VALUE"""),"Mandari")</f>
        <v>Mandari</v>
      </c>
      <c r="D520" s="98" t="str">
        <f>IFERROR(__xludf.DUMMYFUNCTION("""COMPUTED_VALUE"""),"710513897")</f>
        <v>710513897</v>
      </c>
      <c r="E520" s="98" t="str">
        <f>IFERROR(__xludf.DUMMYFUNCTION("""COMPUTED_VALUE"""),"Y")</f>
        <v>Y</v>
      </c>
      <c r="F520" s="98" t="str">
        <f>IFERROR(__xludf.DUMMYFUNCTION("""COMPUTED_VALUE"""),"Dorado")</f>
        <v>Dorado</v>
      </c>
      <c r="G520" s="98" t="str">
        <f>IFERROR(__xludf.DUMMYFUNCTION("""COMPUTED_VALUE"""),"BA774767")</f>
        <v>BA774767</v>
      </c>
      <c r="H520" s="98" t="str">
        <f>IFERROR(__xludf.DUMMYFUNCTION("""COMPUTED_VALUE"""),"Some Details /Delivery")</f>
        <v>Some Details /Delivery</v>
      </c>
      <c r="I520" s="98" t="str">
        <f>IFERROR(__xludf.DUMMYFUNCTION("""COMPUTED_VALUE"""),"Kandy")</f>
        <v>Kandy</v>
      </c>
      <c r="J520" s="98" t="str">
        <f>IFERROR(__xludf.DUMMYFUNCTION("""COMPUTED_VALUE"""),"Returned To Branch Failed To Deliver")</f>
        <v>Returned To Branch Failed To Deliver</v>
      </c>
      <c r="K520" s="98" t="str">
        <f>IFERROR(__xludf.DUMMYFUNCTION("""COMPUTED_VALUE"""),"Customer Care")</f>
        <v>Customer Care</v>
      </c>
      <c r="L520" s="98" t="str">
        <f>IFERROR(__xludf.DUMMYFUNCTION("""COMPUTED_VALUE"""),"Done")</f>
        <v>Done</v>
      </c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>
      <c r="A521" s="82"/>
      <c r="B521" s="106" t="str">
        <f>IFERROR(__xludf.DUMMYFUNCTION("""COMPUTED_VALUE"""),"797")</f>
        <v>797</v>
      </c>
      <c r="C521" s="106" t="str">
        <f>IFERROR(__xludf.DUMMYFUNCTION("""COMPUTED_VALUE"""),"Jeni")</f>
        <v>Jeni</v>
      </c>
      <c r="D521" s="106" t="str">
        <f>IFERROR(__xludf.DUMMYFUNCTION("""COMPUTED_VALUE"""),"715171873")</f>
        <v>715171873</v>
      </c>
      <c r="E521" s="106" t="str">
        <f>IFERROR(__xludf.DUMMYFUNCTION("""COMPUTED_VALUE"""),"N")</f>
        <v>N</v>
      </c>
      <c r="F521" s="106" t="str">
        <f>IFERROR(__xludf.DUMMYFUNCTION("""COMPUTED_VALUE"""),"Hp Dreams Online Store")</f>
        <v>Hp Dreams Online Store</v>
      </c>
      <c r="G521" s="106" t="str">
        <f>IFERROR(__xludf.DUMMYFUNCTION("""COMPUTED_VALUE"""),"A3149166")</f>
        <v>A3149166</v>
      </c>
      <c r="H521" s="106" t="str">
        <f>IFERROR(__xludf.DUMMYFUNCTION("""COMPUTED_VALUE"""),"Re Deliver")</f>
        <v>Re Deliver</v>
      </c>
      <c r="I521" s="106" t="str">
        <f>IFERROR(__xludf.DUMMYFUNCTION("""COMPUTED_VALUE"""),"Ambalangoda")</f>
        <v>Ambalangoda</v>
      </c>
      <c r="J521" s="106" t="str">
        <f>IFERROR(__xludf.DUMMYFUNCTION("""COMPUTED_VALUE"""),"Returned To Branch Failed To Deliver")</f>
        <v>Returned To Branch Failed To Deliver</v>
      </c>
      <c r="K521" s="106" t="str">
        <f>IFERROR(__xludf.DUMMYFUNCTION("""COMPUTED_VALUE"""),"Customer Care")</f>
        <v>Customer Care</v>
      </c>
      <c r="L521" s="106" t="str">
        <f>IFERROR(__xludf.DUMMYFUNCTION("""COMPUTED_VALUE"""),"Done")</f>
        <v>Done</v>
      </c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>
      <c r="A522" s="82"/>
      <c r="B522" s="98" t="str">
        <f>IFERROR(__xludf.DUMMYFUNCTION("""COMPUTED_VALUE"""),"798")</f>
        <v>798</v>
      </c>
      <c r="C522" s="98" t="str">
        <f>IFERROR(__xludf.DUMMYFUNCTION("""COMPUTED_VALUE"""),"Lakshani")</f>
        <v>Lakshani</v>
      </c>
      <c r="D522" s="98" t="str">
        <f>IFERROR(__xludf.DUMMYFUNCTION("""COMPUTED_VALUE"""),"740750103")</f>
        <v>740750103</v>
      </c>
      <c r="E522" s="98" t="str">
        <f>IFERROR(__xludf.DUMMYFUNCTION("""COMPUTED_VALUE"""),"N")</f>
        <v>N</v>
      </c>
      <c r="F522" s="108" t="str">
        <f>IFERROR(__xludf.DUMMYFUNCTION("""COMPUTED_VALUE"""),"Netwave.Lk")</f>
        <v>Netwave.Lk</v>
      </c>
      <c r="G522" s="98" t="str">
        <f>IFERROR(__xludf.DUMMYFUNCTION("""COMPUTED_VALUE"""),"A4432282")</f>
        <v>A4432282</v>
      </c>
      <c r="H522" s="98" t="str">
        <f>IFERROR(__xludf.DUMMYFUNCTION("""COMPUTED_VALUE"""),"Urgent Today")</f>
        <v>Urgent Today</v>
      </c>
      <c r="I522" s="98" t="str">
        <f>IFERROR(__xludf.DUMMYFUNCTION("""COMPUTED_VALUE"""),"Ratmalana")</f>
        <v>Ratmalana</v>
      </c>
      <c r="J522" s="98" t="str">
        <f>IFERROR(__xludf.DUMMYFUNCTION("""COMPUTED_VALUE"""),"Returned To Branch Rescheduled")</f>
        <v>Returned To Branch Rescheduled</v>
      </c>
      <c r="K522" s="98" t="str">
        <f>IFERROR(__xludf.DUMMYFUNCTION("""COMPUTED_VALUE"""),"Branch Operations")</f>
        <v>Branch Operations</v>
      </c>
      <c r="L522" s="98" t="str">
        <f>IFERROR(__xludf.DUMMYFUNCTION("""COMPUTED_VALUE"""),"Customer Said Check Andcall Back")</f>
        <v>Customer Said Check Andcall Back</v>
      </c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>
      <c r="A523" s="82"/>
      <c r="B523" s="106" t="str">
        <f>IFERROR(__xludf.DUMMYFUNCTION("""COMPUTED_VALUE"""),"799")</f>
        <v>799</v>
      </c>
      <c r="C523" s="106" t="str">
        <f>IFERROR(__xludf.DUMMYFUNCTION("""COMPUTED_VALUE"""),"Malik")</f>
        <v>Malik</v>
      </c>
      <c r="D523" s="106" t="str">
        <f>IFERROR(__xludf.DUMMYFUNCTION("""COMPUTED_VALUE"""),"701952286")</f>
        <v>701952286</v>
      </c>
      <c r="E523" s="106" t="str">
        <f>IFERROR(__xludf.DUMMYFUNCTION("""COMPUTED_VALUE"""),"N")</f>
        <v>N</v>
      </c>
      <c r="F523" s="106" t="str">
        <f>IFERROR(__xludf.DUMMYFUNCTION("""COMPUTED_VALUE"""),"Sahasra Team")</f>
        <v>Sahasra Team</v>
      </c>
      <c r="G523" s="106" t="str">
        <f>IFERROR(__xludf.DUMMYFUNCTION("""COMPUTED_VALUE"""),"BE083483")</f>
        <v>BE083483</v>
      </c>
      <c r="H523" s="106" t="str">
        <f>IFERROR(__xludf.DUMMYFUNCTION("""COMPUTED_VALUE"""),"Call Wrapped")</f>
        <v>Call Wrapped</v>
      </c>
      <c r="I523" s="106" t="str">
        <f>IFERROR(__xludf.DUMMYFUNCTION("""COMPUTED_VALUE"""),"Kurunegala")</f>
        <v>Kurunegala</v>
      </c>
      <c r="J523" s="106" t="str">
        <f>IFERROR(__xludf.DUMMYFUNCTION("""COMPUTED_VALUE"""),"Returned To Branch Rescheduled")</f>
        <v>Returned To Branch Rescheduled</v>
      </c>
      <c r="K523" s="106" t="str">
        <f>IFERROR(__xludf.DUMMYFUNCTION("""COMPUTED_VALUE"""),"Customer Care")</f>
        <v>Customer Care</v>
      </c>
      <c r="L523" s="106" t="str">
        <f>IFERROR(__xludf.DUMMYFUNCTION("""COMPUTED_VALUE"""),"Informed Branch Number Via A Whatsapp")</f>
        <v>Informed Branch Number Via A Whatsapp</v>
      </c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>
      <c r="A524" s="82"/>
      <c r="B524" s="98" t="str">
        <f>IFERROR(__xludf.DUMMYFUNCTION("""COMPUTED_VALUE"""),"800")</f>
        <v>800</v>
      </c>
      <c r="C524" s="98" t="str">
        <f>IFERROR(__xludf.DUMMYFUNCTION("""COMPUTED_VALUE"""),"Lakshani")</f>
        <v>Lakshani</v>
      </c>
      <c r="D524" s="98" t="str">
        <f>IFERROR(__xludf.DUMMYFUNCTION("""COMPUTED_VALUE"""),"711966347")</f>
        <v>711966347</v>
      </c>
      <c r="E524" s="98" t="str">
        <f>IFERROR(__xludf.DUMMYFUNCTION("""COMPUTED_VALUE"""),"N")</f>
        <v>N</v>
      </c>
      <c r="F524" s="98" t="str">
        <f>IFERROR(__xludf.DUMMYFUNCTION("""COMPUTED_VALUE"""),"Dv Clothing")</f>
        <v>Dv Clothing</v>
      </c>
      <c r="G524" s="98" t="str">
        <f>IFERROR(__xludf.DUMMYFUNCTION("""COMPUTED_VALUE"""),"BE075435")</f>
        <v>BE075435</v>
      </c>
      <c r="H524" s="98" t="str">
        <f>IFERROR(__xludf.DUMMYFUNCTION("""COMPUTED_VALUE"""),"Mathara Branch Location")</f>
        <v>Mathara Branch Location</v>
      </c>
      <c r="I524" s="98" t="str">
        <f>IFERROR(__xludf.DUMMYFUNCTION("""COMPUTED_VALUE"""),"Homagama")</f>
        <v>Homagama</v>
      </c>
      <c r="J524" s="98"/>
      <c r="K524" s="98" t="str">
        <f>IFERROR(__xludf.DUMMYFUNCTION("""COMPUTED_VALUE"""),"Branch Operations")</f>
        <v>Branch Operations</v>
      </c>
      <c r="L524" s="98" t="str">
        <f>IFERROR(__xludf.DUMMYFUNCTION("""COMPUTED_VALUE"""),"Given Number")</f>
        <v>Given Number</v>
      </c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>
      <c r="A525" s="82"/>
      <c r="B525" s="106" t="str">
        <f>IFERROR(__xludf.DUMMYFUNCTION("""COMPUTED_VALUE"""),"801")</f>
        <v>801</v>
      </c>
      <c r="C525" s="106" t="str">
        <f>IFERROR(__xludf.DUMMYFUNCTION("""COMPUTED_VALUE"""),"Umesha")</f>
        <v>Umesha</v>
      </c>
      <c r="D525" s="106" t="str">
        <f>IFERROR(__xludf.DUMMYFUNCTION("""COMPUTED_VALUE"""),"761106948")</f>
        <v>761106948</v>
      </c>
      <c r="E525" s="106" t="str">
        <f>IFERROR(__xludf.DUMMYFUNCTION("""COMPUTED_VALUE"""),"N")</f>
        <v>N</v>
      </c>
      <c r="F525" s="106" t="str">
        <f>IFERROR(__xludf.DUMMYFUNCTION("""COMPUTED_VALUE"""),"Neha Skin")</f>
        <v>Neha Skin</v>
      </c>
      <c r="G525" s="106" t="str">
        <f>IFERROR(__xludf.DUMMYFUNCTION("""COMPUTED_VALUE"""),"BE079034")</f>
        <v>BE079034</v>
      </c>
      <c r="H525" s="106" t="str">
        <f>IFERROR(__xludf.DUMMYFUNCTION("""COMPUTED_VALUE"""),"Customer Want Return This Package/ Already Informed/Remark Issue")</f>
        <v>Customer Want Return This Package/ Already Informed/Remark Issue</v>
      </c>
      <c r="I525" s="106" t="str">
        <f>IFERROR(__xludf.DUMMYFUNCTION("""COMPUTED_VALUE"""),"Kurunegala")</f>
        <v>Kurunegala</v>
      </c>
      <c r="J525" s="106" t="str">
        <f>IFERROR(__xludf.DUMMYFUNCTION("""COMPUTED_VALUE"""),"Returned To Branch Failed To Deliver")</f>
        <v>Returned To Branch Failed To Deliver</v>
      </c>
      <c r="K525" s="106" t="str">
        <f>IFERROR(__xludf.DUMMYFUNCTION("""COMPUTED_VALUE"""),"Customer Care")</f>
        <v>Customer Care</v>
      </c>
      <c r="L525" s="106" t="str">
        <f>IFERROR(__xludf.DUMMYFUNCTION("""COMPUTED_VALUE"""),"Return Item")</f>
        <v>Return Item</v>
      </c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>
      <c r="A526" s="82"/>
      <c r="B526" s="98" t="str">
        <f>IFERROR(__xludf.DUMMYFUNCTION("""COMPUTED_VALUE"""),"802")</f>
        <v>802</v>
      </c>
      <c r="C526" s="98" t="str">
        <f>IFERROR(__xludf.DUMMYFUNCTION("""COMPUTED_VALUE"""),"Jeni")</f>
        <v>Jeni</v>
      </c>
      <c r="D526" s="98" t="str">
        <f>IFERROR(__xludf.DUMMYFUNCTION("""COMPUTED_VALUE"""),"729394331")</f>
        <v>729394331</v>
      </c>
      <c r="E526" s="98" t="str">
        <f>IFERROR(__xludf.DUMMYFUNCTION("""COMPUTED_VALUE"""),"Y")</f>
        <v>Y</v>
      </c>
      <c r="F526" s="98" t="str">
        <f>IFERROR(__xludf.DUMMYFUNCTION("""COMPUTED_VALUE"""),"Ceylon Ayura")</f>
        <v>Ceylon Ayura</v>
      </c>
      <c r="G526" s="98" t="str">
        <f>IFERROR(__xludf.DUMMYFUNCTION("""COMPUTED_VALUE"""),"BE100080")</f>
        <v>BE100080</v>
      </c>
      <c r="H526" s="98" t="str">
        <f>IFERROR(__xludf.DUMMYFUNCTION("""COMPUTED_VALUE"""),"Some Details /Delivery")</f>
        <v>Some Details /Delivery</v>
      </c>
      <c r="I526" s="98" t="str">
        <f>IFERROR(__xludf.DUMMYFUNCTION("""COMPUTED_VALUE"""),"Ambalangoda")</f>
        <v>Ambalangoda</v>
      </c>
      <c r="J526" s="98" t="str">
        <f>IFERROR(__xludf.DUMMYFUNCTION("""COMPUTED_VALUE"""),"Delivered")</f>
        <v>Delivered</v>
      </c>
      <c r="K526" s="98" t="str">
        <f>IFERROR(__xludf.DUMMYFUNCTION("""COMPUTED_VALUE"""),"Customer Care")</f>
        <v>Customer Care</v>
      </c>
      <c r="L526" s="98" t="str">
        <f>IFERROR(__xludf.DUMMYFUNCTION("""COMPUTED_VALUE"""),"Informed Branch")</f>
        <v>Informed Branch</v>
      </c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>
      <c r="A527" s="82"/>
      <c r="B527" s="106" t="str">
        <f>IFERROR(__xludf.DUMMYFUNCTION("""COMPUTED_VALUE"""),"803")</f>
        <v>803</v>
      </c>
      <c r="C527" s="106" t="str">
        <f>IFERROR(__xludf.DUMMYFUNCTION("""COMPUTED_VALUE"""),"Umesha")</f>
        <v>Umesha</v>
      </c>
      <c r="D527" s="106" t="str">
        <f>IFERROR(__xludf.DUMMYFUNCTION("""COMPUTED_VALUE"""),"710513897")</f>
        <v>710513897</v>
      </c>
      <c r="E527" s="106" t="str">
        <f>IFERROR(__xludf.DUMMYFUNCTION("""COMPUTED_VALUE"""),"N")</f>
        <v>N</v>
      </c>
      <c r="F527" s="107" t="str">
        <f>IFERROR(__xludf.DUMMYFUNCTION("""COMPUTED_VALUE"""),"Helloherb.Lk")</f>
        <v>Helloherb.Lk</v>
      </c>
      <c r="G527" s="106" t="str">
        <f>IFERROR(__xludf.DUMMYFUNCTION("""COMPUTED_VALUE"""),"WD346416")</f>
        <v>WD346416</v>
      </c>
      <c r="H527" s="106" t="str">
        <f>IFERROR(__xludf.DUMMYFUNCTION("""COMPUTED_VALUE"""),"Way Bill Not To The System")</f>
        <v>Way Bill Not To The System</v>
      </c>
      <c r="I527" s="106" t="str">
        <f>IFERROR(__xludf.DUMMYFUNCTION("""COMPUTED_VALUE"""),"Kuliyapitiya")</f>
        <v>Kuliyapitiya</v>
      </c>
      <c r="J527" s="106" t="str">
        <f>IFERROR(__xludf.DUMMYFUNCTION("""COMPUTED_VALUE"""),"Returned To Branch Failed To Deliver")</f>
        <v>Returned To Branch Failed To Deliver</v>
      </c>
      <c r="K527" s="106" t="str">
        <f>IFERROR(__xludf.DUMMYFUNCTION("""COMPUTED_VALUE"""),"Customer Care")</f>
        <v>Customer Care</v>
      </c>
      <c r="L527" s="106" t="str">
        <f>IFERROR(__xludf.DUMMYFUNCTION("""COMPUTED_VALUE"""),"Informed Branch Number Via A Whatsapp")</f>
        <v>Informed Branch Number Via A Whatsapp</v>
      </c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>
      <c r="A528" s="82"/>
      <c r="B528" s="98" t="str">
        <f>IFERROR(__xludf.DUMMYFUNCTION("""COMPUTED_VALUE"""),"804")</f>
        <v>804</v>
      </c>
      <c r="C528" s="98" t="str">
        <f>IFERROR(__xludf.DUMMYFUNCTION("""COMPUTED_VALUE"""),"Jeni")</f>
        <v>Jeni</v>
      </c>
      <c r="D528" s="98" t="str">
        <f>IFERROR(__xludf.DUMMYFUNCTION("""COMPUTED_VALUE"""),"710607191")</f>
        <v>710607191</v>
      </c>
      <c r="E528" s="98" t="str">
        <f>IFERROR(__xludf.DUMMYFUNCTION("""COMPUTED_VALUE"""),"N")</f>
        <v>N</v>
      </c>
      <c r="F528" s="98" t="str">
        <f>IFERROR(__xludf.DUMMYFUNCTION("""COMPUTED_VALUE"""),"Ceylon Store")</f>
        <v>Ceylon Store</v>
      </c>
      <c r="G528" s="98" t="str">
        <f>IFERROR(__xludf.DUMMYFUNCTION("""COMPUTED_VALUE"""),"A4409255")</f>
        <v>A4409255</v>
      </c>
      <c r="H528" s="98" t="str">
        <f>IFERROR(__xludf.DUMMYFUNCTION("""COMPUTED_VALUE"""),"Some Details /Delivery")</f>
        <v>Some Details /Delivery</v>
      </c>
      <c r="I528" s="98" t="str">
        <f>IFERROR(__xludf.DUMMYFUNCTION("""COMPUTED_VALUE"""),"Homagama")</f>
        <v>Homagama</v>
      </c>
      <c r="J528" s="98" t="str">
        <f>IFERROR(__xludf.DUMMYFUNCTION("""COMPUTED_VALUE"""),"Returned To Branch Failed To Deliver")</f>
        <v>Returned To Branch Failed To Deliver</v>
      </c>
      <c r="K528" s="98" t="str">
        <f>IFERROR(__xludf.DUMMYFUNCTION("""COMPUTED_VALUE"""),"Customer Care")</f>
        <v>Customer Care</v>
      </c>
      <c r="L528" s="98" t="str">
        <f>IFERROR(__xludf.DUMMYFUNCTION("""COMPUTED_VALUE"""),"Done")</f>
        <v>Done</v>
      </c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>
      <c r="A529" s="82"/>
      <c r="B529" s="106" t="str">
        <f>IFERROR(__xludf.DUMMYFUNCTION("""COMPUTED_VALUE"""),"805")</f>
        <v>805</v>
      </c>
      <c r="C529" s="106" t="str">
        <f>IFERROR(__xludf.DUMMYFUNCTION("""COMPUTED_VALUE"""),"Jeni")</f>
        <v>Jeni</v>
      </c>
      <c r="D529" s="106" t="str">
        <f>IFERROR(__xludf.DUMMYFUNCTION("""COMPUTED_VALUE"""),"717127550")</f>
        <v>717127550</v>
      </c>
      <c r="E529" s="106" t="str">
        <f>IFERROR(__xludf.DUMMYFUNCTION("""COMPUTED_VALUE"""),"Y")</f>
        <v>Y</v>
      </c>
      <c r="F529" s="106" t="str">
        <f>IFERROR(__xludf.DUMMYFUNCTION("""COMPUTED_VALUE"""),"74 008 3702")</f>
        <v>74 008 3702</v>
      </c>
      <c r="G529" s="106" t="str">
        <f>IFERROR(__xludf.DUMMYFUNCTION("""COMPUTED_VALUE"""),"A4601910")</f>
        <v>A4601910</v>
      </c>
      <c r="H529" s="106" t="str">
        <f>IFERROR(__xludf.DUMMYFUNCTION("""COMPUTED_VALUE"""),"Customer Want Return This Order")</f>
        <v>Customer Want Return This Order</v>
      </c>
      <c r="I529" s="106" t="str">
        <f>IFERROR(__xludf.DUMMYFUNCTION("""COMPUTED_VALUE"""),"Panadura")</f>
        <v>Panadura</v>
      </c>
      <c r="J529" s="106" t="str">
        <f>IFERROR(__xludf.DUMMYFUNCTION("""COMPUTED_VALUE"""),"Returned To Branch Rescheduled")</f>
        <v>Returned To Branch Rescheduled</v>
      </c>
      <c r="K529" s="106" t="str">
        <f>IFERROR(__xludf.DUMMYFUNCTION("""COMPUTED_VALUE"""),"Branch Operations")</f>
        <v>Branch Operations</v>
      </c>
      <c r="L529" s="106" t="str">
        <f>IFERROR(__xludf.DUMMYFUNCTION("""COMPUTED_VALUE"""),"Done")</f>
        <v>Done</v>
      </c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>
      <c r="A530" s="82"/>
      <c r="B530" s="98" t="str">
        <f>IFERROR(__xludf.DUMMYFUNCTION("""COMPUTED_VALUE"""),"806")</f>
        <v>806</v>
      </c>
      <c r="C530" s="98" t="str">
        <f>IFERROR(__xludf.DUMMYFUNCTION("""COMPUTED_VALUE"""),"Lakshani")</f>
        <v>Lakshani</v>
      </c>
      <c r="D530" s="98" t="str">
        <f>IFERROR(__xludf.DUMMYFUNCTION("""COMPUTED_VALUE"""),"754476205")</f>
        <v>754476205</v>
      </c>
      <c r="E530" s="98" t="str">
        <f>IFERROR(__xludf.DUMMYFUNCTION("""COMPUTED_VALUE"""),"N")</f>
        <v>N</v>
      </c>
      <c r="F530" s="98" t="str">
        <f>IFERROR(__xludf.DUMMYFUNCTION("""COMPUTED_VALUE"""),"C&amp;L Markerting")</f>
        <v>C&amp;L Markerting</v>
      </c>
      <c r="G530" s="98" t="str">
        <f>IFERROR(__xludf.DUMMYFUNCTION("""COMPUTED_VALUE"""),"BD902615")</f>
        <v>BD902615</v>
      </c>
      <c r="H530" s="98" t="str">
        <f>IFERROR(__xludf.DUMMYFUNCTION("""COMPUTED_VALUE"""),"New Registration")</f>
        <v>New Registration</v>
      </c>
      <c r="I530" s="98" t="str">
        <f>IFERROR(__xludf.DUMMYFUNCTION("""COMPUTED_VALUE"""),"Embilipitiya")</f>
        <v>Embilipitiya</v>
      </c>
      <c r="J530" s="98" t="str">
        <f>IFERROR(__xludf.DUMMYFUNCTION("""COMPUTED_VALUE"""),"Returned To Branch Rescheduled")</f>
        <v>Returned To Branch Rescheduled</v>
      </c>
      <c r="K530" s="98" t="str">
        <f>IFERROR(__xludf.DUMMYFUNCTION("""COMPUTED_VALUE"""),"Customer Care")</f>
        <v>Customer Care</v>
      </c>
      <c r="L530" s="98" t="str">
        <f>IFERROR(__xludf.DUMMYFUNCTION("""COMPUTED_VALUE"""),"Informed Branch")</f>
        <v>Informed Branch</v>
      </c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>
      <c r="A531" s="82"/>
      <c r="B531" s="106" t="str">
        <f>IFERROR(__xludf.DUMMYFUNCTION("""COMPUTED_VALUE"""),"807")</f>
        <v>807</v>
      </c>
      <c r="C531" s="106" t="str">
        <f>IFERROR(__xludf.DUMMYFUNCTION("""COMPUTED_VALUE"""),"Mandari")</f>
        <v>Mandari</v>
      </c>
      <c r="D531" s="106" t="str">
        <f>IFERROR(__xludf.DUMMYFUNCTION("""COMPUTED_VALUE"""),"759440573")</f>
        <v>759440573</v>
      </c>
      <c r="E531" s="106" t="str">
        <f>IFERROR(__xludf.DUMMYFUNCTION("""COMPUTED_VALUE"""),"Y")</f>
        <v>Y</v>
      </c>
      <c r="F531" s="107" t="str">
        <f>IFERROR(__xludf.DUMMYFUNCTION("""COMPUTED_VALUE"""),"Saleway.Lk")</f>
        <v>Saleway.Lk</v>
      </c>
      <c r="G531" s="106" t="str">
        <f>IFERROR(__xludf.DUMMYFUNCTION("""COMPUTED_VALUE"""),"BE039457")</f>
        <v>BE039457</v>
      </c>
      <c r="H531" s="106" t="str">
        <f>IFERROR(__xludf.DUMMYFUNCTION("""COMPUTED_VALUE"""),"Re Deliver")</f>
        <v>Re Deliver</v>
      </c>
      <c r="I531" s="106" t="str">
        <f>IFERROR(__xludf.DUMMYFUNCTION("""COMPUTED_VALUE"""),"Pilimathlawa")</f>
        <v>Pilimathlawa</v>
      </c>
      <c r="J531" s="106" t="str">
        <f>IFERROR(__xludf.DUMMYFUNCTION("""COMPUTED_VALUE"""),"Processing")</f>
        <v>Processing</v>
      </c>
      <c r="K531" s="106" t="str">
        <f>IFERROR(__xludf.DUMMYFUNCTION("""COMPUTED_VALUE"""),"Recovery")</f>
        <v>Recovery</v>
      </c>
      <c r="L531" s="106" t="str">
        <f>IFERROR(__xludf.DUMMYFUNCTION("""COMPUTED_VALUE"""),"Call Transfer Domestic Department")</f>
        <v>Call Transfer Domestic Department</v>
      </c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>
      <c r="A532" s="82"/>
      <c r="B532" s="98" t="str">
        <f>IFERROR(__xludf.DUMMYFUNCTION("""COMPUTED_VALUE"""),"808")</f>
        <v>808</v>
      </c>
      <c r="C532" s="98" t="str">
        <f>IFERROR(__xludf.DUMMYFUNCTION("""COMPUTED_VALUE"""),"Malik")</f>
        <v>Malik</v>
      </c>
      <c r="D532" s="98" t="str">
        <f>IFERROR(__xludf.DUMMYFUNCTION("""COMPUTED_VALUE"""),"722590507")</f>
        <v>722590507</v>
      </c>
      <c r="E532" s="98" t="str">
        <f>IFERROR(__xludf.DUMMYFUNCTION("""COMPUTED_VALUE"""),"Y")</f>
        <v>Y</v>
      </c>
      <c r="F532" s="98" t="str">
        <f>IFERROR(__xludf.DUMMYFUNCTION("""COMPUTED_VALUE"""),"Faith Store")</f>
        <v>Faith Store</v>
      </c>
      <c r="G532" s="98" t="str">
        <f>IFERROR(__xludf.DUMMYFUNCTION("""COMPUTED_VALUE"""),"A4309144")</f>
        <v>A4309144</v>
      </c>
      <c r="H532" s="98" t="str">
        <f>IFERROR(__xludf.DUMMYFUNCTION("""COMPUTED_VALUE"""),"No Responce Mid Way")</f>
        <v>No Responce Mid Way</v>
      </c>
      <c r="I532" s="98" t="str">
        <f>IFERROR(__xludf.DUMMYFUNCTION("""COMPUTED_VALUE"""),"Batticaloa")</f>
        <v>Batticaloa</v>
      </c>
      <c r="J532" s="98" t="str">
        <f>IFERROR(__xludf.DUMMYFUNCTION("""COMPUTED_VALUE"""),"Out For Delivery")</f>
        <v>Out For Delivery</v>
      </c>
      <c r="K532" s="98" t="str">
        <f>IFERROR(__xludf.DUMMYFUNCTION("""COMPUTED_VALUE"""),"Customer Care")</f>
        <v>Customer Care</v>
      </c>
      <c r="L532" s="98" t="str">
        <f>IFERROR(__xludf.DUMMYFUNCTION("""COMPUTED_VALUE"""),"Tranfer Call")</f>
        <v>Tranfer Call</v>
      </c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>
      <c r="A533" s="82"/>
      <c r="B533" s="106" t="str">
        <f>IFERROR(__xludf.DUMMYFUNCTION("""COMPUTED_VALUE"""),"809")</f>
        <v>809</v>
      </c>
      <c r="C533" s="106" t="str">
        <f>IFERROR(__xludf.DUMMYFUNCTION("""COMPUTED_VALUE"""),"Jeni")</f>
        <v>Jeni</v>
      </c>
      <c r="D533" s="106" t="str">
        <f>IFERROR(__xludf.DUMMYFUNCTION("""COMPUTED_VALUE"""),"784324259")</f>
        <v>784324259</v>
      </c>
      <c r="E533" s="106" t="str">
        <f>IFERROR(__xludf.DUMMYFUNCTION("""COMPUTED_VALUE"""),"N")</f>
        <v>N</v>
      </c>
      <c r="F533" s="106" t="str">
        <f>IFERROR(__xludf.DUMMYFUNCTION("""COMPUTED_VALUE"""),"Faith Store")</f>
        <v>Faith Store</v>
      </c>
      <c r="G533" s="106" t="str">
        <f>IFERROR(__xludf.DUMMYFUNCTION("""COMPUTED_VALUE"""),"BE133979")</f>
        <v>BE133979</v>
      </c>
      <c r="H533" s="106" t="str">
        <f>IFERROR(__xludf.DUMMYFUNCTION("""COMPUTED_VALUE"""),"Horana Branch No")</f>
        <v>Horana Branch No</v>
      </c>
      <c r="I533" s="106" t="str">
        <f>IFERROR(__xludf.DUMMYFUNCTION("""COMPUTED_VALUE"""),"Thalawathugoda")</f>
        <v>Thalawathugoda</v>
      </c>
      <c r="J533" s="106" t="str">
        <f>IFERROR(__xludf.DUMMYFUNCTION("""COMPUTED_VALUE"""),"Out For Delivery")</f>
        <v>Out For Delivery</v>
      </c>
      <c r="K533" s="106" t="str">
        <f>IFERROR(__xludf.DUMMYFUNCTION("""COMPUTED_VALUE"""),"Customer Care")</f>
        <v>Customer Care</v>
      </c>
      <c r="L533" s="106" t="str">
        <f>IFERROR(__xludf.DUMMYFUNCTION("""COMPUTED_VALUE"""),"Done")</f>
        <v>Done</v>
      </c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>
      <c r="A534" s="82"/>
      <c r="B534" s="98" t="str">
        <f>IFERROR(__xludf.DUMMYFUNCTION("""COMPUTED_VALUE"""),"810")</f>
        <v>810</v>
      </c>
      <c r="C534" s="98" t="str">
        <f>IFERROR(__xludf.DUMMYFUNCTION("""COMPUTED_VALUE"""),"Jeni")</f>
        <v>Jeni</v>
      </c>
      <c r="D534" s="98" t="str">
        <f>IFERROR(__xludf.DUMMYFUNCTION("""COMPUTED_VALUE"""),"712311134")</f>
        <v>712311134</v>
      </c>
      <c r="E534" s="98" t="str">
        <f>IFERROR(__xludf.DUMMYFUNCTION("""COMPUTED_VALUE"""),"N")</f>
        <v>N</v>
      </c>
      <c r="F534" s="108" t="str">
        <f>IFERROR(__xludf.DUMMYFUNCTION("""COMPUTED_VALUE"""),"Primex.Lk")</f>
        <v>Primex.Lk</v>
      </c>
      <c r="G534" s="98" t="str">
        <f>IFERROR(__xludf.DUMMYFUNCTION("""COMPUTED_VALUE"""),"BD993595")</f>
        <v>BD993595</v>
      </c>
      <c r="H534" s="98" t="str">
        <f>IFERROR(__xludf.DUMMYFUNCTION("""COMPUTED_VALUE"""),"Urgent Package")</f>
        <v>Urgent Package</v>
      </c>
      <c r="I534" s="98" t="str">
        <f>IFERROR(__xludf.DUMMYFUNCTION("""COMPUTED_VALUE"""),"Pilimathlawa")</f>
        <v>Pilimathlawa</v>
      </c>
      <c r="J534" s="98" t="str">
        <f>IFERROR(__xludf.DUMMYFUNCTION("""COMPUTED_VALUE"""),"Received At Destination")</f>
        <v>Received At Destination</v>
      </c>
      <c r="K534" s="98" t="str">
        <f>IFERROR(__xludf.DUMMYFUNCTION("""COMPUTED_VALUE"""),"Customer Care")</f>
        <v>Customer Care</v>
      </c>
      <c r="L534" s="98" t="str">
        <f>IFERROR(__xludf.DUMMYFUNCTION("""COMPUTED_VALUE"""),"Informed Domestic Sayni")</f>
        <v>Informed Domestic Sayni</v>
      </c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>
      <c r="A535" s="82"/>
      <c r="B535" s="106" t="str">
        <f>IFERROR(__xludf.DUMMYFUNCTION("""COMPUTED_VALUE"""),"811")</f>
        <v>811</v>
      </c>
      <c r="C535" s="106" t="str">
        <f>IFERROR(__xludf.DUMMYFUNCTION("""COMPUTED_VALUE"""),"Mandari")</f>
        <v>Mandari</v>
      </c>
      <c r="D535" s="106" t="str">
        <f>IFERROR(__xludf.DUMMYFUNCTION("""COMPUTED_VALUE"""),"769061669")</f>
        <v>769061669</v>
      </c>
      <c r="E535" s="106" t="str">
        <f>IFERROR(__xludf.DUMMYFUNCTION("""COMPUTED_VALUE"""),"Y")</f>
        <v>Y</v>
      </c>
      <c r="F535" s="106" t="str">
        <f>IFERROR(__xludf.DUMMYFUNCTION("""COMPUTED_VALUE"""),"Sippi Clothing")</f>
        <v>Sippi Clothing</v>
      </c>
      <c r="G535" s="106" t="str">
        <f>IFERROR(__xludf.DUMMYFUNCTION("""COMPUTED_VALUE"""),"A3149166")</f>
        <v>A3149166</v>
      </c>
      <c r="H535" s="106" t="str">
        <f>IFERROR(__xludf.DUMMYFUNCTION("""COMPUTED_VALUE"""),"Some Details /Delivery")</f>
        <v>Some Details /Delivery</v>
      </c>
      <c r="I535" s="106" t="str">
        <f>IFERROR(__xludf.DUMMYFUNCTION("""COMPUTED_VALUE"""),"Colombo Metro")</f>
        <v>Colombo Metro</v>
      </c>
      <c r="J535" s="106" t="str">
        <f>IFERROR(__xludf.DUMMYFUNCTION("""COMPUTED_VALUE"""),"Out For Delivery")</f>
        <v>Out For Delivery</v>
      </c>
      <c r="K535" s="106" t="str">
        <f>IFERROR(__xludf.DUMMYFUNCTION("""COMPUTED_VALUE"""),"Customer Care")</f>
        <v>Customer Care</v>
      </c>
      <c r="L535" s="106" t="str">
        <f>IFERROR(__xludf.DUMMYFUNCTION("""COMPUTED_VALUE"""),"Informed Genzo Team")</f>
        <v>Informed Genzo Team</v>
      </c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>
      <c r="A536" s="82"/>
      <c r="B536" s="98" t="str">
        <f>IFERROR(__xludf.DUMMYFUNCTION("""COMPUTED_VALUE"""),"812")</f>
        <v>812</v>
      </c>
      <c r="C536" s="98" t="str">
        <f>IFERROR(__xludf.DUMMYFUNCTION("""COMPUTED_VALUE"""),"Malik")</f>
        <v>Malik</v>
      </c>
      <c r="D536" s="98" t="str">
        <f>IFERROR(__xludf.DUMMYFUNCTION("""COMPUTED_VALUE"""),"719551229")</f>
        <v>719551229</v>
      </c>
      <c r="E536" s="98" t="str">
        <f>IFERROR(__xludf.DUMMYFUNCTION("""COMPUTED_VALUE"""),"N")</f>
        <v>N</v>
      </c>
      <c r="F536" s="98" t="str">
        <f>IFERROR(__xludf.DUMMYFUNCTION("""COMPUTED_VALUE"""),"Swasthi")</f>
        <v>Swasthi</v>
      </c>
      <c r="G536" s="98" t="str">
        <f>IFERROR(__xludf.DUMMYFUNCTION("""COMPUTED_VALUE"""),"BA778333")</f>
        <v>BA778333</v>
      </c>
      <c r="H536" s="98" t="str">
        <f>IFERROR(__xludf.DUMMYFUNCTION("""COMPUTED_VALUE"""),"Re Deliver")</f>
        <v>Re Deliver</v>
      </c>
      <c r="I536" s="98" t="str">
        <f>IFERROR(__xludf.DUMMYFUNCTION("""COMPUTED_VALUE"""),"Kurunegala")</f>
        <v>Kurunegala</v>
      </c>
      <c r="J536" s="98" t="str">
        <f>IFERROR(__xludf.DUMMYFUNCTION("""COMPUTED_VALUE"""),"Returned To Branch Rescheduled")</f>
        <v>Returned To Branch Rescheduled</v>
      </c>
      <c r="K536" s="98" t="str">
        <f>IFERROR(__xludf.DUMMYFUNCTION("""COMPUTED_VALUE"""),"Customer Care")</f>
        <v>Customer Care</v>
      </c>
      <c r="L536" s="98" t="str">
        <f>IFERROR(__xludf.DUMMYFUNCTION("""COMPUTED_VALUE"""),"Informed Branch")</f>
        <v>Informed Branch</v>
      </c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>
      <c r="A537" s="82"/>
      <c r="B537" s="106" t="str">
        <f>IFERROR(__xludf.DUMMYFUNCTION("""COMPUTED_VALUE"""),"813")</f>
        <v>813</v>
      </c>
      <c r="C537" s="106" t="str">
        <f>IFERROR(__xludf.DUMMYFUNCTION("""COMPUTED_VALUE"""),"Jeni")</f>
        <v>Jeni</v>
      </c>
      <c r="D537" s="106" t="str">
        <f>IFERROR(__xludf.DUMMYFUNCTION("""COMPUTED_VALUE"""),"765462824")</f>
        <v>765462824</v>
      </c>
      <c r="E537" s="106" t="str">
        <f>IFERROR(__xludf.DUMMYFUNCTION("""COMPUTED_VALUE"""),"N")</f>
        <v>N</v>
      </c>
      <c r="F537" s="106" t="str">
        <f>IFERROR(__xludf.DUMMYFUNCTION("""COMPUTED_VALUE"""),"Ceylon Ayura")</f>
        <v>Ceylon Ayura</v>
      </c>
      <c r="G537" s="106" t="str">
        <f>IFERROR(__xludf.DUMMYFUNCTION("""COMPUTED_VALUE"""),"A3821395")</f>
        <v>A3821395</v>
      </c>
      <c r="H537" s="106" t="str">
        <f>IFERROR(__xludf.DUMMYFUNCTION("""COMPUTED_VALUE"""),"Arrange To Deliver Today")</f>
        <v>Arrange To Deliver Today</v>
      </c>
      <c r="I537" s="106" t="str">
        <f>IFERROR(__xludf.DUMMYFUNCTION("""COMPUTED_VALUE"""),"Pilimathlawa")</f>
        <v>Pilimathlawa</v>
      </c>
      <c r="J537" s="106" t="str">
        <f>IFERROR(__xludf.DUMMYFUNCTION("""COMPUTED_VALUE"""),"Received At Destination")</f>
        <v>Received At Destination</v>
      </c>
      <c r="K537" s="106" t="str">
        <f>IFERROR(__xludf.DUMMYFUNCTION("""COMPUTED_VALUE"""),"Branch Operations")</f>
        <v>Branch Operations</v>
      </c>
      <c r="L537" s="106" t="str">
        <f>IFERROR(__xludf.DUMMYFUNCTION("""COMPUTED_VALUE"""),"Still Hol,D Warehouse")</f>
        <v>Still Hol,D Warehouse</v>
      </c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>
      <c r="A538" s="82"/>
      <c r="B538" s="98" t="str">
        <f>IFERROR(__xludf.DUMMYFUNCTION("""COMPUTED_VALUE"""),"814")</f>
        <v>814</v>
      </c>
      <c r="C538" s="98" t="str">
        <f>IFERROR(__xludf.DUMMYFUNCTION("""COMPUTED_VALUE"""),"Mandari")</f>
        <v>Mandari</v>
      </c>
      <c r="D538" s="98" t="str">
        <f>IFERROR(__xludf.DUMMYFUNCTION("""COMPUTED_VALUE"""),"764664631")</f>
        <v>764664631</v>
      </c>
      <c r="E538" s="98" t="str">
        <f>IFERROR(__xludf.DUMMYFUNCTION("""COMPUTED_VALUE"""),"N")</f>
        <v>N</v>
      </c>
      <c r="F538" s="98" t="str">
        <f>IFERROR(__xludf.DUMMYFUNCTION("""COMPUTED_VALUE"""),"Wasana Nishpadana")</f>
        <v>Wasana Nishpadana</v>
      </c>
      <c r="G538" s="98" t="str">
        <f>IFERROR(__xludf.DUMMYFUNCTION("""COMPUTED_VALUE"""),"A4376180")</f>
        <v>A4376180</v>
      </c>
      <c r="H538" s="98" t="str">
        <f>IFERROR(__xludf.DUMMYFUNCTION("""COMPUTED_VALUE"""),"Order Status")</f>
        <v>Order Status</v>
      </c>
      <c r="I538" s="98" t="str">
        <f>IFERROR(__xludf.DUMMYFUNCTION("""COMPUTED_VALUE"""),"Trincomalee")</f>
        <v>Trincomalee</v>
      </c>
      <c r="J538" s="98" t="str">
        <f>IFERROR(__xludf.DUMMYFUNCTION("""COMPUTED_VALUE"""),"Returned To Client")</f>
        <v>Returned To Client</v>
      </c>
      <c r="K538" s="98" t="str">
        <f>IFERROR(__xludf.DUMMYFUNCTION("""COMPUTED_VALUE"""),"Branch Operations")</f>
        <v>Branch Operations</v>
      </c>
      <c r="L538" s="98" t="str">
        <f>IFERROR(__xludf.DUMMYFUNCTION("""COMPUTED_VALUE"""),"Details Given")</f>
        <v>Details Given</v>
      </c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>
      <c r="A539" s="82"/>
      <c r="B539" s="106" t="str">
        <f>IFERROR(__xludf.DUMMYFUNCTION("""COMPUTED_VALUE"""),"815")</f>
        <v>815</v>
      </c>
      <c r="C539" s="106" t="str">
        <f>IFERROR(__xludf.DUMMYFUNCTION("""COMPUTED_VALUE"""),"Malik")</f>
        <v>Malik</v>
      </c>
      <c r="D539" s="106" t="str">
        <f>IFERROR(__xludf.DUMMYFUNCTION("""COMPUTED_VALUE"""),"700956364")</f>
        <v>700956364</v>
      </c>
      <c r="E539" s="106" t="str">
        <f>IFERROR(__xludf.DUMMYFUNCTION("""COMPUTED_VALUE"""),"N")</f>
        <v>N</v>
      </c>
      <c r="F539" s="106" t="str">
        <f>IFERROR(__xludf.DUMMYFUNCTION("""COMPUTED_VALUE"""),"P &amp; S Help Investment Pvt(Ltd)")</f>
        <v>P &amp; S Help Investment Pvt(Ltd)</v>
      </c>
      <c r="G539" s="106" t="str">
        <f>IFERROR(__xludf.DUMMYFUNCTION("""COMPUTED_VALUE"""),"A4470093")</f>
        <v>A4470093</v>
      </c>
      <c r="H539" s="106" t="str">
        <f>IFERROR(__xludf.DUMMYFUNCTION("""COMPUTED_VALUE"""),"Customer Refused")</f>
        <v>Customer Refused</v>
      </c>
      <c r="I539" s="106" t="str">
        <f>IFERROR(__xludf.DUMMYFUNCTION("""COMPUTED_VALUE"""),"Jaffna")</f>
        <v>Jaffna</v>
      </c>
      <c r="J539" s="106" t="str">
        <f>IFERROR(__xludf.DUMMYFUNCTION("""COMPUTED_VALUE"""),"Out For Delivery")</f>
        <v>Out For Delivery</v>
      </c>
      <c r="K539" s="106" t="str">
        <f>IFERROR(__xludf.DUMMYFUNCTION("""COMPUTED_VALUE"""),"Customer Care")</f>
        <v>Customer Care</v>
      </c>
      <c r="L539" s="106" t="str">
        <f>IFERROR(__xludf.DUMMYFUNCTION("""COMPUTED_VALUE"""),"Informed Deepika Genzo")</f>
        <v>Informed Deepika Genzo</v>
      </c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>
      <c r="A540" s="82"/>
      <c r="B540" s="98" t="str">
        <f>IFERROR(__xludf.DUMMYFUNCTION("""COMPUTED_VALUE"""),"816")</f>
        <v>816</v>
      </c>
      <c r="C540" s="98" t="str">
        <f>IFERROR(__xludf.DUMMYFUNCTION("""COMPUTED_VALUE"""),"Umesha")</f>
        <v>Umesha</v>
      </c>
      <c r="D540" s="98" t="str">
        <f>IFERROR(__xludf.DUMMYFUNCTION("""COMPUTED_VALUE"""),"729394331")</f>
        <v>729394331</v>
      </c>
      <c r="E540" s="98" t="str">
        <f>IFERROR(__xludf.DUMMYFUNCTION("""COMPUTED_VALUE"""),"Y")</f>
        <v>Y</v>
      </c>
      <c r="F540" s="98" t="str">
        <f>IFERROR(__xludf.DUMMYFUNCTION("""COMPUTED_VALUE"""),"Golden House")</f>
        <v>Golden House</v>
      </c>
      <c r="G540" s="98" t="str">
        <f>IFERROR(__xludf.DUMMYFUNCTION("""COMPUTED_VALUE"""),"A3029315")</f>
        <v>A3029315</v>
      </c>
      <c r="H540" s="98" t="str">
        <f>IFERROR(__xludf.DUMMYFUNCTION("""COMPUTED_VALUE"""),"Customer Want Return The Package")</f>
        <v>Customer Want Return The Package</v>
      </c>
      <c r="I540" s="98" t="str">
        <f>IFERROR(__xludf.DUMMYFUNCTION("""COMPUTED_VALUE"""),"Negombo")</f>
        <v>Negombo</v>
      </c>
      <c r="J540" s="98" t="str">
        <f>IFERROR(__xludf.DUMMYFUNCTION("""COMPUTED_VALUE"""),"Delivered")</f>
        <v>Delivered</v>
      </c>
      <c r="K540" s="98" t="str">
        <f>IFERROR(__xludf.DUMMYFUNCTION("""COMPUTED_VALUE"""),"Customer Care")</f>
        <v>Customer Care</v>
      </c>
      <c r="L540" s="98" t="str">
        <f>IFERROR(__xludf.DUMMYFUNCTION("""COMPUTED_VALUE"""),"Informed Client About That")</f>
        <v>Informed Client About That</v>
      </c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>
      <c r="A541" s="82"/>
      <c r="B541" s="106" t="str">
        <f>IFERROR(__xludf.DUMMYFUNCTION("""COMPUTED_VALUE"""),"817")</f>
        <v>817</v>
      </c>
      <c r="C541" s="106" t="str">
        <f>IFERROR(__xludf.DUMMYFUNCTION("""COMPUTED_VALUE"""),"Mandari")</f>
        <v>Mandari</v>
      </c>
      <c r="D541" s="106" t="str">
        <f>IFERROR(__xludf.DUMMYFUNCTION("""COMPUTED_VALUE"""),"352265997")</f>
        <v>352265997</v>
      </c>
      <c r="E541" s="106" t="str">
        <f>IFERROR(__xludf.DUMMYFUNCTION("""COMPUTED_VALUE"""),"N")</f>
        <v>N</v>
      </c>
      <c r="F541" s="106" t="str">
        <f>IFERROR(__xludf.DUMMYFUNCTION("""COMPUTED_VALUE"""),"P &amp; S Help Investment Pvt(Ltd)")</f>
        <v>P &amp; S Help Investment Pvt(Ltd)</v>
      </c>
      <c r="G541" s="106" t="str">
        <f>IFERROR(__xludf.DUMMYFUNCTION("""COMPUTED_VALUE"""),"BE109206")</f>
        <v>BE109206</v>
      </c>
      <c r="H541" s="106" t="str">
        <f>IFERROR(__xludf.DUMMYFUNCTION("""COMPUTED_VALUE"""),"Re Deliver")</f>
        <v>Re Deliver</v>
      </c>
      <c r="I541" s="106" t="str">
        <f>IFERROR(__xludf.DUMMYFUNCTION("""COMPUTED_VALUE"""),"Pilimathlawa")</f>
        <v>Pilimathlawa</v>
      </c>
      <c r="J541" s="106" t="str">
        <f>IFERROR(__xludf.DUMMYFUNCTION("""COMPUTED_VALUE"""),"Returned To Branch Rescheduled")</f>
        <v>Returned To Branch Rescheduled</v>
      </c>
      <c r="K541" s="106" t="str">
        <f>IFERROR(__xludf.DUMMYFUNCTION("""COMPUTED_VALUE"""),"Key Accounts")</f>
        <v>Key Accounts</v>
      </c>
      <c r="L541" s="106" t="str">
        <f>IFERROR(__xludf.DUMMYFUNCTION("""COMPUTED_VALUE"""),"Informed Client About That")</f>
        <v>Informed Client About That</v>
      </c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>
      <c r="A542" s="82"/>
      <c r="B542" s="98" t="str">
        <f>IFERROR(__xludf.DUMMYFUNCTION("""COMPUTED_VALUE"""),"818")</f>
        <v>818</v>
      </c>
      <c r="C542" s="98" t="str">
        <f>IFERROR(__xludf.DUMMYFUNCTION("""COMPUTED_VALUE"""),"Jeni")</f>
        <v>Jeni</v>
      </c>
      <c r="D542" s="98" t="str">
        <f>IFERROR(__xludf.DUMMYFUNCTION("""COMPUTED_VALUE"""),"706837581")</f>
        <v>706837581</v>
      </c>
      <c r="E542" s="98" t="str">
        <f>IFERROR(__xludf.DUMMYFUNCTION("""COMPUTED_VALUE"""),"N")</f>
        <v>N</v>
      </c>
      <c r="F542" s="98" t="str">
        <f>IFERROR(__xludf.DUMMYFUNCTION("""COMPUTED_VALUE"""),"Neha Skin")</f>
        <v>Neha Skin</v>
      </c>
      <c r="G542" s="98" t="str">
        <f>IFERROR(__xludf.DUMMYFUNCTION("""COMPUTED_VALUE"""),"BA766431")</f>
        <v>BA766431</v>
      </c>
      <c r="H542" s="98" t="str">
        <f>IFERROR(__xludf.DUMMYFUNCTION("""COMPUTED_VALUE"""),"Call Wrapped")</f>
        <v>Call Wrapped</v>
      </c>
      <c r="I542" s="98" t="str">
        <f>IFERROR(__xludf.DUMMYFUNCTION("""COMPUTED_VALUE"""),"Rikillagaskada")</f>
        <v>Rikillagaskada</v>
      </c>
      <c r="J542" s="98" t="str">
        <f>IFERROR(__xludf.DUMMYFUNCTION("""COMPUTED_VALUE"""),"Returned To Branch Failed To Deliver")</f>
        <v>Returned To Branch Failed To Deliver</v>
      </c>
      <c r="K542" s="98" t="str">
        <f>IFERROR(__xludf.DUMMYFUNCTION("""COMPUTED_VALUE"""),"Customer Care")</f>
        <v>Customer Care</v>
      </c>
      <c r="L542" s="98" t="str">
        <f>IFERROR(__xludf.DUMMYFUNCTION("""COMPUTED_VALUE"""),"Call Transfer Sales Department")</f>
        <v>Call Transfer Sales Department</v>
      </c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>
      <c r="A543" s="82"/>
      <c r="B543" s="106" t="str">
        <f>IFERROR(__xludf.DUMMYFUNCTION("""COMPUTED_VALUE"""),"819")</f>
        <v>819</v>
      </c>
      <c r="C543" s="106" t="str">
        <f>IFERROR(__xludf.DUMMYFUNCTION("""COMPUTED_VALUE"""),"Jeni")</f>
        <v>Jeni</v>
      </c>
      <c r="D543" s="106" t="str">
        <f>IFERROR(__xludf.DUMMYFUNCTION("""COMPUTED_VALUE"""),"771372365")</f>
        <v>771372365</v>
      </c>
      <c r="E543" s="106" t="str">
        <f>IFERROR(__xludf.DUMMYFUNCTION("""COMPUTED_VALUE"""),"Y")</f>
        <v>Y</v>
      </c>
      <c r="F543" s="106" t="str">
        <f>IFERROR(__xludf.DUMMYFUNCTION("""COMPUTED_VALUE"""),"Florenza Blooms")</f>
        <v>Florenza Blooms</v>
      </c>
      <c r="G543" s="106" t="str">
        <f>IFERROR(__xludf.DUMMYFUNCTION("""COMPUTED_VALUE"""),"BA778333")</f>
        <v>BA778333</v>
      </c>
      <c r="H543" s="106" t="str">
        <f>IFERROR(__xludf.DUMMYFUNCTION("""COMPUTED_VALUE"""),"Re Deliver")</f>
        <v>Re Deliver</v>
      </c>
      <c r="I543" s="106" t="str">
        <f>IFERROR(__xludf.DUMMYFUNCTION("""COMPUTED_VALUE"""),"Pilimathlawa")</f>
        <v>Pilimathlawa</v>
      </c>
      <c r="J543" s="106" t="str">
        <f>IFERROR(__xludf.DUMMYFUNCTION("""COMPUTED_VALUE"""),"Received At Destination")</f>
        <v>Received At Destination</v>
      </c>
      <c r="K543" s="106" t="str">
        <f>IFERROR(__xludf.DUMMYFUNCTION("""COMPUTED_VALUE"""),"Customer Care")</f>
        <v>Customer Care</v>
      </c>
      <c r="L543" s="106" t="str">
        <f>IFERROR(__xludf.DUMMYFUNCTION("""COMPUTED_VALUE"""),"Informed Branch")</f>
        <v>Informed Branch</v>
      </c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>
      <c r="A544" s="82"/>
      <c r="B544" s="98" t="str">
        <f>IFERROR(__xludf.DUMMYFUNCTION("""COMPUTED_VALUE"""),"820")</f>
        <v>820</v>
      </c>
      <c r="C544" s="98" t="str">
        <f>IFERROR(__xludf.DUMMYFUNCTION("""COMPUTED_VALUE"""),"Lakshani")</f>
        <v>Lakshani</v>
      </c>
      <c r="D544" s="98" t="str">
        <f>IFERROR(__xludf.DUMMYFUNCTION("""COMPUTED_VALUE"""),"738127890")</f>
        <v>738127890</v>
      </c>
      <c r="E544" s="98" t="str">
        <f>IFERROR(__xludf.DUMMYFUNCTION("""COMPUTED_VALUE"""),"Y")</f>
        <v>Y</v>
      </c>
      <c r="F544" s="98" t="str">
        <f>IFERROR(__xludf.DUMMYFUNCTION("""COMPUTED_VALUE"""),"Aurex Core")</f>
        <v>Aurex Core</v>
      </c>
      <c r="G544" s="98" t="str">
        <f>IFERROR(__xludf.DUMMYFUNCTION("""COMPUTED_VALUE"""),"BE007011 ")</f>
        <v>BE007011 </v>
      </c>
      <c r="H544" s="98" t="str">
        <f>IFERROR(__xludf.DUMMYFUNCTION("""COMPUTED_VALUE"""),"0756388317 - Re Delivery - 7/1")</f>
        <v>0756388317 - Re Delivery - 7/1</v>
      </c>
      <c r="I544" s="98" t="str">
        <f>IFERROR(__xludf.DUMMYFUNCTION("""COMPUTED_VALUE"""),"Ratmalana")</f>
        <v>Ratmalana</v>
      </c>
      <c r="J544" s="98" t="str">
        <f>IFERROR(__xludf.DUMMYFUNCTION("""COMPUTED_VALUE"""),"Out For Delivery")</f>
        <v>Out For Delivery</v>
      </c>
      <c r="K544" s="98" t="str">
        <f>IFERROR(__xludf.DUMMYFUNCTION("""COMPUTED_VALUE"""),"Branch Operations")</f>
        <v>Branch Operations</v>
      </c>
      <c r="L544" s="98" t="str">
        <f>IFERROR(__xludf.DUMMYFUNCTION("""COMPUTED_VALUE"""),"Informed Branch")</f>
        <v>Informed Branch</v>
      </c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>
      <c r="A545" s="82"/>
      <c r="B545" s="106" t="str">
        <f>IFERROR(__xludf.DUMMYFUNCTION("""COMPUTED_VALUE"""),"821")</f>
        <v>821</v>
      </c>
      <c r="C545" s="106" t="str">
        <f>IFERROR(__xludf.DUMMYFUNCTION("""COMPUTED_VALUE"""),"Malik")</f>
        <v>Malik</v>
      </c>
      <c r="D545" s="106" t="str">
        <f>IFERROR(__xludf.DUMMYFUNCTION("""COMPUTED_VALUE"""),"705248186")</f>
        <v>705248186</v>
      </c>
      <c r="E545" s="106" t="str">
        <f>IFERROR(__xludf.DUMMYFUNCTION("""COMPUTED_VALUE"""),"N")</f>
        <v>N</v>
      </c>
      <c r="F545" s="107" t="str">
        <f>IFERROR(__xludf.DUMMYFUNCTION("""COMPUTED_VALUE"""),"Basues.Lk")</f>
        <v>Basues.Lk</v>
      </c>
      <c r="G545" s="106" t="str">
        <f>IFERROR(__xludf.DUMMYFUNCTION("""COMPUTED_VALUE"""),"BE091724")</f>
        <v>BE091724</v>
      </c>
      <c r="H545" s="106" t="str">
        <f>IFERROR(__xludf.DUMMYFUNCTION("""COMPUTED_VALUE"""),"Arrange To Deliver Today /Top Urgent")</f>
        <v>Arrange To Deliver Today /Top Urgent</v>
      </c>
      <c r="I545" s="106" t="str">
        <f>IFERROR(__xludf.DUMMYFUNCTION("""COMPUTED_VALUE"""),"Wennappuwa")</f>
        <v>Wennappuwa</v>
      </c>
      <c r="J545" s="106" t="str">
        <f>IFERROR(__xludf.DUMMYFUNCTION("""COMPUTED_VALUE"""),"Returned To Branch Rescheduled")</f>
        <v>Returned To Branch Rescheduled</v>
      </c>
      <c r="K545" s="106" t="str">
        <f>IFERROR(__xludf.DUMMYFUNCTION("""COMPUTED_VALUE"""),"Customer Care")</f>
        <v>Customer Care</v>
      </c>
      <c r="L545" s="106" t="str">
        <f>IFERROR(__xludf.DUMMYFUNCTION("""COMPUTED_VALUE"""),"Still Not Received Branch")</f>
        <v>Still Not Received Branch</v>
      </c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>
      <c r="A546" s="82"/>
      <c r="B546" s="98" t="str">
        <f>IFERROR(__xludf.DUMMYFUNCTION("""COMPUTED_VALUE"""),"822")</f>
        <v>822</v>
      </c>
      <c r="C546" s="98" t="str">
        <f>IFERROR(__xludf.DUMMYFUNCTION("""COMPUTED_VALUE"""),"Malik")</f>
        <v>Malik</v>
      </c>
      <c r="D546" s="98" t="str">
        <f>IFERROR(__xludf.DUMMYFUNCTION("""COMPUTED_VALUE"""),"762184570")</f>
        <v>762184570</v>
      </c>
      <c r="E546" s="98" t="str">
        <f>IFERROR(__xludf.DUMMYFUNCTION("""COMPUTED_VALUE"""),"N")</f>
        <v>N</v>
      </c>
      <c r="F546" s="98" t="str">
        <f>IFERROR(__xludf.DUMMYFUNCTION("""COMPUTED_VALUE"""),"Angel Attic")</f>
        <v>Angel Attic</v>
      </c>
      <c r="G546" s="98" t="str">
        <f>IFERROR(__xludf.DUMMYFUNCTION("""COMPUTED_VALUE"""),"WD301133")</f>
        <v>WD301133</v>
      </c>
      <c r="H546" s="98" t="str">
        <f>IFERROR(__xludf.DUMMYFUNCTION("""COMPUTED_VALUE"""),"Arrange To Deliver Tomorrow / Top Urgant")</f>
        <v>Arrange To Deliver Tomorrow / Top Urgant</v>
      </c>
      <c r="I546" s="98" t="str">
        <f>IFERROR(__xludf.DUMMYFUNCTION("""COMPUTED_VALUE"""),"Ambalangoda")</f>
        <v>Ambalangoda</v>
      </c>
      <c r="J546" s="98" t="str">
        <f>IFERROR(__xludf.DUMMYFUNCTION("""COMPUTED_VALUE"""),"Processing")</f>
        <v>Processing</v>
      </c>
      <c r="K546" s="98" t="str">
        <f>IFERROR(__xludf.DUMMYFUNCTION("""COMPUTED_VALUE"""),"Customer Care")</f>
        <v>Customer Care</v>
      </c>
      <c r="L546" s="98" t="str">
        <f>IFERROR(__xludf.DUMMYFUNCTION("""COMPUTED_VALUE"""),"Location Send")</f>
        <v>Location Send</v>
      </c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>
      <c r="A547" s="82"/>
      <c r="B547" s="106" t="str">
        <f>IFERROR(__xludf.DUMMYFUNCTION("""COMPUTED_VALUE"""),"823")</f>
        <v>823</v>
      </c>
      <c r="C547" s="106" t="str">
        <f>IFERROR(__xludf.DUMMYFUNCTION("""COMPUTED_VALUE"""),"Jeni")</f>
        <v>Jeni</v>
      </c>
      <c r="D547" s="106" t="str">
        <f>IFERROR(__xludf.DUMMYFUNCTION("""COMPUTED_VALUE"""),"758331753")</f>
        <v>758331753</v>
      </c>
      <c r="E547" s="106" t="str">
        <f>IFERROR(__xludf.DUMMYFUNCTION("""COMPUTED_VALUE"""),"N")</f>
        <v>N</v>
      </c>
      <c r="F547" s="106" t="str">
        <f>IFERROR(__xludf.DUMMYFUNCTION("""COMPUTED_VALUE"""),"Vethu Fashion")</f>
        <v>Vethu Fashion</v>
      </c>
      <c r="G547" s="106" t="str">
        <f>IFERROR(__xludf.DUMMYFUNCTION("""COMPUTED_VALUE"""),"BA767712")</f>
        <v>BA767712</v>
      </c>
      <c r="H547" s="106" t="str">
        <f>IFERROR(__xludf.DUMMYFUNCTION("""COMPUTED_VALUE"""),"Re Delivery")</f>
        <v>Re Delivery</v>
      </c>
      <c r="I547" s="106" t="str">
        <f>IFERROR(__xludf.DUMMYFUNCTION("""COMPUTED_VALUE"""),"Ja-Ela")</f>
        <v>Ja-Ela</v>
      </c>
      <c r="J547" s="106" t="str">
        <f>IFERROR(__xludf.DUMMYFUNCTION("""COMPUTED_VALUE"""),"Out For Delivery")</f>
        <v>Out For Delivery</v>
      </c>
      <c r="K547" s="106" t="str">
        <f>IFERROR(__xludf.DUMMYFUNCTION("""COMPUTED_VALUE"""),"Branch Operations")</f>
        <v>Branch Operations</v>
      </c>
      <c r="L547" s="106" t="str">
        <f>IFERROR(__xludf.DUMMYFUNCTION("""COMPUTED_VALUE"""),"Informed Client")</f>
        <v>Informed Client</v>
      </c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>
      <c r="A548" s="82"/>
      <c r="B548" s="98" t="str">
        <f>IFERROR(__xludf.DUMMYFUNCTION("""COMPUTED_VALUE"""),"824")</f>
        <v>824</v>
      </c>
      <c r="C548" s="98" t="str">
        <f>IFERROR(__xludf.DUMMYFUNCTION("""COMPUTED_VALUE"""),"Jeni")</f>
        <v>Jeni</v>
      </c>
      <c r="D548" s="98" t="str">
        <f>IFERROR(__xludf.DUMMYFUNCTION("""COMPUTED_VALUE"""),"742968007")</f>
        <v>742968007</v>
      </c>
      <c r="E548" s="98" t="str">
        <f>IFERROR(__xludf.DUMMYFUNCTION("""COMPUTED_VALUE"""),"Y")</f>
        <v>Y</v>
      </c>
      <c r="F548" s="98" t="str">
        <f>IFERROR(__xludf.DUMMYFUNCTION("""COMPUTED_VALUE"""),"Coco Leaf")</f>
        <v>Coco Leaf</v>
      </c>
      <c r="G548" s="98" t="str">
        <f>IFERROR(__xludf.DUMMYFUNCTION("""COMPUTED_VALUE"""),"BE062157")</f>
        <v>BE062157</v>
      </c>
      <c r="H548" s="98" t="str">
        <f>IFERROR(__xludf.DUMMYFUNCTION("""COMPUTED_VALUE"""),"Order Status")</f>
        <v>Order Status</v>
      </c>
      <c r="I548" s="98" t="str">
        <f>IFERROR(__xludf.DUMMYFUNCTION("""COMPUTED_VALUE"""),"Ja-Ela")</f>
        <v>Ja-Ela</v>
      </c>
      <c r="J548" s="98" t="str">
        <f>IFERROR(__xludf.DUMMYFUNCTION("""COMPUTED_VALUE"""),"Delivered")</f>
        <v>Delivered</v>
      </c>
      <c r="K548" s="98" t="str">
        <f>IFERROR(__xludf.DUMMYFUNCTION("""COMPUTED_VALUE"""),"Customer Care")</f>
        <v>Customer Care</v>
      </c>
      <c r="L548" s="98" t="str">
        <f>IFERROR(__xludf.DUMMYFUNCTION("""COMPUTED_VALUE"""),"Disconnected")</f>
        <v>Disconnected</v>
      </c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>
      <c r="A549" s="82"/>
      <c r="B549" s="106" t="str">
        <f>IFERROR(__xludf.DUMMYFUNCTION("""COMPUTED_VALUE"""),"825")</f>
        <v>825</v>
      </c>
      <c r="C549" s="106" t="str">
        <f>IFERROR(__xludf.DUMMYFUNCTION("""COMPUTED_VALUE"""),"Lakshani")</f>
        <v>Lakshani</v>
      </c>
      <c r="D549" s="106" t="str">
        <f>IFERROR(__xludf.DUMMYFUNCTION("""COMPUTED_VALUE"""),"705815614")</f>
        <v>705815614</v>
      </c>
      <c r="E549" s="106" t="str">
        <f>IFERROR(__xludf.DUMMYFUNCTION("""COMPUTED_VALUE"""),"N")</f>
        <v>N</v>
      </c>
      <c r="F549" s="106" t="str">
        <f>IFERROR(__xludf.DUMMYFUNCTION("""COMPUTED_VALUE"""),"Dark Grace.Lk")</f>
        <v>Dark Grace.Lk</v>
      </c>
      <c r="G549" s="106" t="str">
        <f>IFERROR(__xludf.DUMMYFUNCTION("""COMPUTED_VALUE"""),"A4293204")</f>
        <v>A4293204</v>
      </c>
      <c r="H549" s="106" t="str">
        <f>IFERROR(__xludf.DUMMYFUNCTION("""COMPUTED_VALUE"""),"Re Deliver")</f>
        <v>Re Deliver</v>
      </c>
      <c r="I549" s="106" t="str">
        <f>IFERROR(__xludf.DUMMYFUNCTION("""COMPUTED_VALUE"""),"Karawanella")</f>
        <v>Karawanella</v>
      </c>
      <c r="J549" s="106" t="str">
        <f>IFERROR(__xludf.DUMMYFUNCTION("""COMPUTED_VALUE"""),"Returned To Branch Failed To Deliver")</f>
        <v>Returned To Branch Failed To Deliver</v>
      </c>
      <c r="K549" s="106" t="str">
        <f>IFERROR(__xludf.DUMMYFUNCTION("""COMPUTED_VALUE"""),"Branch Operations")</f>
        <v>Branch Operations</v>
      </c>
      <c r="L549" s="106" t="str">
        <f>IFERROR(__xludf.DUMMYFUNCTION("""COMPUTED_VALUE"""),"Transfer Call")</f>
        <v>Transfer Call</v>
      </c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>
      <c r="A550" s="82"/>
      <c r="B550" s="98" t="str">
        <f>IFERROR(__xludf.DUMMYFUNCTION("""COMPUTED_VALUE"""),"826")</f>
        <v>826</v>
      </c>
      <c r="C550" s="98" t="str">
        <f>IFERROR(__xludf.DUMMYFUNCTION("""COMPUTED_VALUE"""),"Mandari")</f>
        <v>Mandari</v>
      </c>
      <c r="D550" s="98" t="str">
        <f>IFERROR(__xludf.DUMMYFUNCTION("""COMPUTED_VALUE"""),"719991233")</f>
        <v>719991233</v>
      </c>
      <c r="E550" s="98" t="str">
        <f>IFERROR(__xludf.DUMMYFUNCTION("""COMPUTED_VALUE"""),"Y")</f>
        <v>Y</v>
      </c>
      <c r="F550" s="98" t="str">
        <f>IFERROR(__xludf.DUMMYFUNCTION("""COMPUTED_VALUE"""),"Sd Marketing")</f>
        <v>Sd Marketing</v>
      </c>
      <c r="G550" s="98" t="str">
        <f>IFERROR(__xludf.DUMMYFUNCTION("""COMPUTED_VALUE"""),"BE090458")</f>
        <v>BE090458</v>
      </c>
      <c r="H550" s="98" t="str">
        <f>IFERROR(__xludf.DUMMYFUNCTION("""COMPUTED_VALUE"""),"Asked Some Details")</f>
        <v>Asked Some Details</v>
      </c>
      <c r="I550" s="98" t="str">
        <f>IFERROR(__xludf.DUMMYFUNCTION("""COMPUTED_VALUE"""),"Batticaloa")</f>
        <v>Batticaloa</v>
      </c>
      <c r="J550" s="98" t="str">
        <f>IFERROR(__xludf.DUMMYFUNCTION("""COMPUTED_VALUE"""),"Out For Delivery")</f>
        <v>Out For Delivery</v>
      </c>
      <c r="K550" s="98" t="str">
        <f>IFERROR(__xludf.DUMMYFUNCTION("""COMPUTED_VALUE"""),"Branch Operations")</f>
        <v>Branch Operations</v>
      </c>
      <c r="L550" s="98" t="str">
        <f>IFERROR(__xludf.DUMMYFUNCTION("""COMPUTED_VALUE"""),"Informed Genzo Amanthi")</f>
        <v>Informed Genzo Amanthi</v>
      </c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>
      <c r="A551" s="82"/>
      <c r="B551" s="106" t="str">
        <f>IFERROR(__xludf.DUMMYFUNCTION("""COMPUTED_VALUE"""),"827")</f>
        <v>827</v>
      </c>
      <c r="C551" s="106" t="str">
        <f>IFERROR(__xludf.DUMMYFUNCTION("""COMPUTED_VALUE"""),"Jeni")</f>
        <v>Jeni</v>
      </c>
      <c r="D551" s="106" t="str">
        <f>IFERROR(__xludf.DUMMYFUNCTION("""COMPUTED_VALUE"""),"712448925")</f>
        <v>712448925</v>
      </c>
      <c r="E551" s="106" t="str">
        <f>IFERROR(__xludf.DUMMYFUNCTION("""COMPUTED_VALUE"""),"Y")</f>
        <v>Y</v>
      </c>
      <c r="F551" s="107" t="str">
        <f>IFERROR(__xludf.DUMMYFUNCTION("""COMPUTED_VALUE"""),"Primex.Lk")</f>
        <v>Primex.Lk</v>
      </c>
      <c r="G551" s="106" t="str">
        <f>IFERROR(__xludf.DUMMYFUNCTION("""COMPUTED_VALUE"""),"BA780702")</f>
        <v>BA780702</v>
      </c>
      <c r="H551" s="106" t="str">
        <f>IFERROR(__xludf.DUMMYFUNCTION("""COMPUTED_VALUE"""),"The Package Was Delivered To The Customer, But The Payment Was Not Collected From The Customer.")</f>
        <v>The Package Was Delivered To The Customer, But The Payment Was Not Collected From The Customer.</v>
      </c>
      <c r="I551" s="106" t="str">
        <f>IFERROR(__xludf.DUMMYFUNCTION("""COMPUTED_VALUE"""),"Kurunegala")</f>
        <v>Kurunegala</v>
      </c>
      <c r="J551" s="106" t="str">
        <f>IFERROR(__xludf.DUMMYFUNCTION("""COMPUTED_VALUE"""),"Returned To Branch Rescheduled")</f>
        <v>Returned To Branch Rescheduled</v>
      </c>
      <c r="K551" s="106" t="str">
        <f>IFERROR(__xludf.DUMMYFUNCTION("""COMPUTED_VALUE"""),"Branch Operations")</f>
        <v>Branch Operations</v>
      </c>
      <c r="L551" s="106" t="str">
        <f>IFERROR(__xludf.DUMMYFUNCTION("""COMPUTED_VALUE"""),"Done")</f>
        <v>Done</v>
      </c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>
      <c r="A552" s="82"/>
      <c r="B552" s="98" t="str">
        <f>IFERROR(__xludf.DUMMYFUNCTION("""COMPUTED_VALUE"""),"828")</f>
        <v>828</v>
      </c>
      <c r="C552" s="98" t="str">
        <f>IFERROR(__xludf.DUMMYFUNCTION("""COMPUTED_VALUE"""),"Jeni")</f>
        <v>Jeni</v>
      </c>
      <c r="D552" s="98" t="str">
        <f>IFERROR(__xludf.DUMMYFUNCTION("""COMPUTED_VALUE"""),"797311597")</f>
        <v>797311597</v>
      </c>
      <c r="E552" s="98" t="str">
        <f>IFERROR(__xludf.DUMMYFUNCTION("""COMPUTED_VALUE"""),"Y")</f>
        <v>Y</v>
      </c>
      <c r="F552" s="98" t="str">
        <f>IFERROR(__xludf.DUMMYFUNCTION("""COMPUTED_VALUE"""),"Dona Shireen")</f>
        <v>Dona Shireen</v>
      </c>
      <c r="G552" s="98" t="str">
        <f>IFERROR(__xludf.DUMMYFUNCTION("""COMPUTED_VALUE"""),"BD902615")</f>
        <v>BD902615</v>
      </c>
      <c r="H552" s="98" t="str">
        <f>IFERROR(__xludf.DUMMYFUNCTION("""COMPUTED_VALUE"""),"Not Responded")</f>
        <v>Not Responded</v>
      </c>
      <c r="I552" s="98" t="str">
        <f>IFERROR(__xludf.DUMMYFUNCTION("""COMPUTED_VALUE"""),"Ratmalana")</f>
        <v>Ratmalana</v>
      </c>
      <c r="J552" s="98" t="str">
        <f>IFERROR(__xludf.DUMMYFUNCTION("""COMPUTED_VALUE"""),"Out For Delivery")</f>
        <v>Out For Delivery</v>
      </c>
      <c r="K552" s="98" t="str">
        <f>IFERROR(__xludf.DUMMYFUNCTION("""COMPUTED_VALUE"""),"Branch Operations")</f>
        <v>Branch Operations</v>
      </c>
      <c r="L552" s="98" t="str">
        <f>IFERROR(__xludf.DUMMYFUNCTION("""COMPUTED_VALUE"""),"Location Send")</f>
        <v>Location Send</v>
      </c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>
      <c r="A553" s="82"/>
      <c r="B553" s="106" t="str">
        <f>IFERROR(__xludf.DUMMYFUNCTION("""COMPUTED_VALUE"""),"829")</f>
        <v>829</v>
      </c>
      <c r="C553" s="106" t="str">
        <f>IFERROR(__xludf.DUMMYFUNCTION("""COMPUTED_VALUE"""),"Mandari")</f>
        <v>Mandari</v>
      </c>
      <c r="D553" s="106" t="str">
        <f>IFERROR(__xludf.DUMMYFUNCTION("""COMPUTED_VALUE"""),"725617403")</f>
        <v>725617403</v>
      </c>
      <c r="E553" s="106" t="str">
        <f>IFERROR(__xludf.DUMMYFUNCTION("""COMPUTED_VALUE"""),"N")</f>
        <v>N</v>
      </c>
      <c r="F553" s="106" t="str">
        <f>IFERROR(__xludf.DUMMYFUNCTION("""COMPUTED_VALUE"""),"Elenorabyro")</f>
        <v>Elenorabyro</v>
      </c>
      <c r="G553" s="106" t="str">
        <f>IFERROR(__xludf.DUMMYFUNCTION("""COMPUTED_VALUE"""),"A4389924")</f>
        <v>A4389924</v>
      </c>
      <c r="H553" s="106" t="str">
        <f>IFERROR(__xludf.DUMMYFUNCTION("""COMPUTED_VALUE"""),"Asked Some Details")</f>
        <v>Asked Some Details</v>
      </c>
      <c r="I553" s="106" t="str">
        <f>IFERROR(__xludf.DUMMYFUNCTION("""COMPUTED_VALUE"""),"Kandy")</f>
        <v>Kandy</v>
      </c>
      <c r="J553" s="106" t="str">
        <f>IFERROR(__xludf.DUMMYFUNCTION("""COMPUTED_VALUE"""),"Returned To Branch Rescheduled")</f>
        <v>Returned To Branch Rescheduled</v>
      </c>
      <c r="K553" s="106" t="str">
        <f>IFERROR(__xludf.DUMMYFUNCTION("""COMPUTED_VALUE"""),"Customer Care")</f>
        <v>Customer Care</v>
      </c>
      <c r="L553" s="106" t="str">
        <f>IFERROR(__xludf.DUMMYFUNCTION("""COMPUTED_VALUE"""),"Call Wrapped And Call Back Number Is Nusy")</f>
        <v>Call Wrapped And Call Back Number Is Nusy</v>
      </c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>
      <c r="A554" s="82"/>
      <c r="B554" s="98" t="str">
        <f>IFERROR(__xludf.DUMMYFUNCTION("""COMPUTED_VALUE"""),"830")</f>
        <v>830</v>
      </c>
      <c r="C554" s="98" t="str">
        <f>IFERROR(__xludf.DUMMYFUNCTION("""COMPUTED_VALUE"""),"Umesha")</f>
        <v>Umesha</v>
      </c>
      <c r="D554" s="98" t="str">
        <f>IFERROR(__xludf.DUMMYFUNCTION("""COMPUTED_VALUE"""),"768129677")</f>
        <v>768129677</v>
      </c>
      <c r="E554" s="98" t="str">
        <f>IFERROR(__xludf.DUMMYFUNCTION("""COMPUTED_VALUE"""),"N")</f>
        <v>N</v>
      </c>
      <c r="F554" s="98" t="str">
        <f>IFERROR(__xludf.DUMMYFUNCTION("""COMPUTED_VALUE"""),"Futurefind Marketing")</f>
        <v>Futurefind Marketing</v>
      </c>
      <c r="G554" s="98" t="str">
        <f>IFERROR(__xludf.DUMMYFUNCTION("""COMPUTED_VALUE"""),"BE067050")</f>
        <v>BE067050</v>
      </c>
      <c r="H554" s="98" t="str">
        <f>IFERROR(__xludf.DUMMYFUNCTION("""COMPUTED_VALUE"""),"Customer Want Return The Package")</f>
        <v>Customer Want Return The Package</v>
      </c>
      <c r="I554" s="98" t="str">
        <f>IFERROR(__xludf.DUMMYFUNCTION("""COMPUTED_VALUE"""),"Dambulla")</f>
        <v>Dambulla</v>
      </c>
      <c r="J554" s="98" t="str">
        <f>IFERROR(__xludf.DUMMYFUNCTION("""COMPUTED_VALUE"""),"Received At Destination")</f>
        <v>Received At Destination</v>
      </c>
      <c r="K554" s="98" t="str">
        <f>IFERROR(__xludf.DUMMYFUNCTION("""COMPUTED_VALUE"""),"Customer Care")</f>
        <v>Customer Care</v>
      </c>
      <c r="L554" s="98" t="str">
        <f>IFERROR(__xludf.DUMMYFUNCTION("""COMPUTED_VALUE"""),"Done")</f>
        <v>Done</v>
      </c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>
      <c r="A555" s="82"/>
      <c r="B555" s="106" t="str">
        <f>IFERROR(__xludf.DUMMYFUNCTION("""COMPUTED_VALUE"""),"831")</f>
        <v>831</v>
      </c>
      <c r="C555" s="106" t="str">
        <f>IFERROR(__xludf.DUMMYFUNCTION("""COMPUTED_VALUE"""),"Jeni")</f>
        <v>Jeni</v>
      </c>
      <c r="D555" s="106" t="str">
        <f>IFERROR(__xludf.DUMMYFUNCTION("""COMPUTED_VALUE"""),"740541293")</f>
        <v>740541293</v>
      </c>
      <c r="E555" s="106" t="str">
        <f>IFERROR(__xludf.DUMMYFUNCTION("""COMPUTED_VALUE"""),"N")</f>
        <v>N</v>
      </c>
      <c r="F555" s="106" t="str">
        <f>IFERROR(__xludf.DUMMYFUNCTION("""COMPUTED_VALUE"""),"Flexi Store")</f>
        <v>Flexi Store</v>
      </c>
      <c r="G555" s="106" t="str">
        <f>IFERROR(__xludf.DUMMYFUNCTION("""COMPUTED_VALUE"""),"BE112942")</f>
        <v>BE112942</v>
      </c>
      <c r="H555" s="106" t="str">
        <f>IFERROR(__xludf.DUMMYFUNCTION("""COMPUTED_VALUE"""),"Re Deliver")</f>
        <v>Re Deliver</v>
      </c>
      <c r="I555" s="106" t="str">
        <f>IFERROR(__xludf.DUMMYFUNCTION("""COMPUTED_VALUE"""),"Kahawatta")</f>
        <v>Kahawatta</v>
      </c>
      <c r="J555" s="106" t="str">
        <f>IFERROR(__xludf.DUMMYFUNCTION("""COMPUTED_VALUE"""),"Returned To Branch Failed To Deliver")</f>
        <v>Returned To Branch Failed To Deliver</v>
      </c>
      <c r="K555" s="106" t="str">
        <f>IFERROR(__xludf.DUMMYFUNCTION("""COMPUTED_VALUE"""),"Customer Care")</f>
        <v>Customer Care</v>
      </c>
      <c r="L555" s="106" t="str">
        <f>IFERROR(__xludf.DUMMYFUNCTION("""COMPUTED_VALUE"""),"Done")</f>
        <v>Done</v>
      </c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>
      <c r="A556" s="82"/>
      <c r="B556" s="98" t="str">
        <f>IFERROR(__xludf.DUMMYFUNCTION("""COMPUTED_VALUE"""),"832")</f>
        <v>832</v>
      </c>
      <c r="C556" s="98" t="str">
        <f>IFERROR(__xludf.DUMMYFUNCTION("""COMPUTED_VALUE"""),"Jeni")</f>
        <v>Jeni</v>
      </c>
      <c r="D556" s="98" t="str">
        <f>IFERROR(__xludf.DUMMYFUNCTION("""COMPUTED_VALUE"""),"112622082")</f>
        <v>112622082</v>
      </c>
      <c r="E556" s="98" t="str">
        <f>IFERROR(__xludf.DUMMYFUNCTION("""COMPUTED_VALUE"""),"Y")</f>
        <v>Y</v>
      </c>
      <c r="F556" s="98" t="str">
        <f>IFERROR(__xludf.DUMMYFUNCTION("""COMPUTED_VALUE"""),"Lansa Express")</f>
        <v>Lansa Express</v>
      </c>
      <c r="G556" s="98" t="str">
        <f>IFERROR(__xludf.DUMMYFUNCTION("""COMPUTED_VALUE"""),"BA770261")</f>
        <v>BA770261</v>
      </c>
      <c r="H556" s="98" t="str">
        <f>IFERROR(__xludf.DUMMYFUNCTION("""COMPUTED_VALUE"""),"Kadawatha Branch Location")</f>
        <v>Kadawatha Branch Location</v>
      </c>
      <c r="I556" s="98" t="str">
        <f>IFERROR(__xludf.DUMMYFUNCTION("""COMPUTED_VALUE"""),"Panadura")</f>
        <v>Panadura</v>
      </c>
      <c r="J556" s="98" t="str">
        <f>IFERROR(__xludf.DUMMYFUNCTION("""COMPUTED_VALUE"""),"Received At Destination")</f>
        <v>Received At Destination</v>
      </c>
      <c r="K556" s="98" t="str">
        <f>IFERROR(__xludf.DUMMYFUNCTION("""COMPUTED_VALUE"""),"Customer Care")</f>
        <v>Customer Care</v>
      </c>
      <c r="L556" s="98" t="str">
        <f>IFERROR(__xludf.DUMMYFUNCTION("""COMPUTED_VALUE"""),"Customer Said Check Andcall Back")</f>
        <v>Customer Said Check Andcall Back</v>
      </c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>
      <c r="A557" s="82"/>
      <c r="B557" s="106" t="str">
        <f>IFERROR(__xludf.DUMMYFUNCTION("""COMPUTED_VALUE"""),"833")</f>
        <v>833</v>
      </c>
      <c r="C557" s="106" t="str">
        <f>IFERROR(__xludf.DUMMYFUNCTION("""COMPUTED_VALUE"""),"Jeni")</f>
        <v>Jeni</v>
      </c>
      <c r="D557" s="106" t="str">
        <f>IFERROR(__xludf.DUMMYFUNCTION("""COMPUTED_VALUE"""),"741852301")</f>
        <v>741852301</v>
      </c>
      <c r="E557" s="106" t="str">
        <f>IFERROR(__xludf.DUMMYFUNCTION("""COMPUTED_VALUE"""),"N")</f>
        <v>N</v>
      </c>
      <c r="F557" s="107" t="str">
        <f>IFERROR(__xludf.DUMMYFUNCTION("""COMPUTED_VALUE"""),"Dominion.Lk")</f>
        <v>Dominion.Lk</v>
      </c>
      <c r="G557" s="106" t="str">
        <f>IFERROR(__xludf.DUMMYFUNCTION("""COMPUTED_VALUE"""),"BE133979")</f>
        <v>BE133979</v>
      </c>
      <c r="H557" s="106" t="str">
        <f>IFERROR(__xludf.DUMMYFUNCTION("""COMPUTED_VALUE"""),"Some Details /Delivery")</f>
        <v>Some Details /Delivery</v>
      </c>
      <c r="I557" s="106" t="str">
        <f>IFERROR(__xludf.DUMMYFUNCTION("""COMPUTED_VALUE"""),"Wennappuwa")</f>
        <v>Wennappuwa</v>
      </c>
      <c r="J557" s="106" t="str">
        <f>IFERROR(__xludf.DUMMYFUNCTION("""COMPUTED_VALUE"""),"Returned To Branch Failed To Deliver")</f>
        <v>Returned To Branch Failed To Deliver</v>
      </c>
      <c r="K557" s="106" t="str">
        <f>IFERROR(__xludf.DUMMYFUNCTION("""COMPUTED_VALUE"""),"Customer Care")</f>
        <v>Customer Care</v>
      </c>
      <c r="L557" s="106" t="str">
        <f>IFERROR(__xludf.DUMMYFUNCTION("""COMPUTED_VALUE"""),"Done")</f>
        <v>Done</v>
      </c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>
      <c r="A558" s="82"/>
      <c r="B558" s="98" t="str">
        <f>IFERROR(__xludf.DUMMYFUNCTION("""COMPUTED_VALUE"""),"834")</f>
        <v>834</v>
      </c>
      <c r="C558" s="98" t="str">
        <f>IFERROR(__xludf.DUMMYFUNCTION("""COMPUTED_VALUE"""),"Jeni")</f>
        <v>Jeni</v>
      </c>
      <c r="D558" s="98" t="str">
        <f>IFERROR(__xludf.DUMMYFUNCTION("""COMPUTED_VALUE"""),"703320004")</f>
        <v>703320004</v>
      </c>
      <c r="E558" s="98" t="str">
        <f>IFERROR(__xludf.DUMMYFUNCTION("""COMPUTED_VALUE"""),"Y")</f>
        <v>Y</v>
      </c>
      <c r="F558" s="98" t="str">
        <f>IFERROR(__xludf.DUMMYFUNCTION("""COMPUTED_VALUE"""),"Thara Clothing")</f>
        <v>Thara Clothing</v>
      </c>
      <c r="G558" s="98" t="str">
        <f>IFERROR(__xludf.DUMMYFUNCTION("""COMPUTED_VALUE"""),"A4157598")</f>
        <v>A4157598</v>
      </c>
      <c r="H558" s="98" t="str">
        <f>IFERROR(__xludf.DUMMYFUNCTION("""COMPUTED_VALUE"""),"Arrange Delivery Today / Top Urgent")</f>
        <v>Arrange Delivery Today / Top Urgent</v>
      </c>
      <c r="I558" s="98" t="str">
        <f>IFERROR(__xludf.DUMMYFUNCTION("""COMPUTED_VALUE"""),"Galle")</f>
        <v>Galle</v>
      </c>
      <c r="J558" s="98" t="str">
        <f>IFERROR(__xludf.DUMMYFUNCTION("""COMPUTED_VALUE"""),"Delivered")</f>
        <v>Delivered</v>
      </c>
      <c r="K558" s="98" t="str">
        <f>IFERROR(__xludf.DUMMYFUNCTION("""COMPUTED_VALUE"""),"Customer Care")</f>
        <v>Customer Care</v>
      </c>
      <c r="L558" s="98" t="str">
        <f>IFERROR(__xludf.DUMMYFUNCTION("""COMPUTED_VALUE"""),"Informed Branch")</f>
        <v>Informed Branch</v>
      </c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>
      <c r="A559" s="82"/>
      <c r="B559" s="106" t="str">
        <f>IFERROR(__xludf.DUMMYFUNCTION("""COMPUTED_VALUE"""),"835")</f>
        <v>835</v>
      </c>
      <c r="C559" s="106" t="str">
        <f>IFERROR(__xludf.DUMMYFUNCTION("""COMPUTED_VALUE"""),"Mandari")</f>
        <v>Mandari</v>
      </c>
      <c r="D559" s="106" t="str">
        <f>IFERROR(__xludf.DUMMYFUNCTION("""COMPUTED_VALUE"""),"765660973")</f>
        <v>765660973</v>
      </c>
      <c r="E559" s="106" t="str">
        <f>IFERROR(__xludf.DUMMYFUNCTION("""COMPUTED_VALUE"""),"N")</f>
        <v>N</v>
      </c>
      <c r="F559" s="106" t="str">
        <f>IFERROR(__xludf.DUMMYFUNCTION("""COMPUTED_VALUE"""),"Neha Skin")</f>
        <v>Neha Skin</v>
      </c>
      <c r="G559" s="106" t="str">
        <f>IFERROR(__xludf.DUMMYFUNCTION("""COMPUTED_VALUE"""),"A4366984")</f>
        <v>A4366984</v>
      </c>
      <c r="H559" s="106" t="str">
        <f>IFERROR(__xludf.DUMMYFUNCTION("""COMPUTED_VALUE"""),"Arrange Delivery Tomorrow / Urgent")</f>
        <v>Arrange Delivery Tomorrow / Urgent</v>
      </c>
      <c r="I559" s="106" t="str">
        <f>IFERROR(__xludf.DUMMYFUNCTION("""COMPUTED_VALUE"""),"Horana")</f>
        <v>Horana</v>
      </c>
      <c r="J559" s="106" t="str">
        <f>IFERROR(__xludf.DUMMYFUNCTION("""COMPUTED_VALUE"""),"Returned To Client")</f>
        <v>Returned To Client</v>
      </c>
      <c r="K559" s="106" t="str">
        <f>IFERROR(__xludf.DUMMYFUNCTION("""COMPUTED_VALUE"""),"Customer Care")</f>
        <v>Customer Care</v>
      </c>
      <c r="L559" s="106" t="str">
        <f>IFERROR(__xludf.DUMMYFUNCTION("""COMPUTED_VALUE"""),"Informed Genzo Amanthi")</f>
        <v>Informed Genzo Amanthi</v>
      </c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>
      <c r="A560" s="82"/>
      <c r="B560" s="98" t="str">
        <f>IFERROR(__xludf.DUMMYFUNCTION("""COMPUTED_VALUE"""),"836")</f>
        <v>836</v>
      </c>
      <c r="C560" s="98" t="str">
        <f>IFERROR(__xludf.DUMMYFUNCTION("""COMPUTED_VALUE"""),"Umesha")</f>
        <v>Umesha</v>
      </c>
      <c r="D560" s="98" t="str">
        <f>IFERROR(__xludf.DUMMYFUNCTION("""COMPUTED_VALUE"""),"764470818")</f>
        <v>764470818</v>
      </c>
      <c r="E560" s="98" t="str">
        <f>IFERROR(__xludf.DUMMYFUNCTION("""COMPUTED_VALUE"""),"N")</f>
        <v>N</v>
      </c>
      <c r="F560" s="98" t="str">
        <f>IFERROR(__xludf.DUMMYFUNCTION("""COMPUTED_VALUE"""),"Super Ayurvedic")</f>
        <v>Super Ayurvedic</v>
      </c>
      <c r="G560" s="98" t="str">
        <f>IFERROR(__xludf.DUMMYFUNCTION("""COMPUTED_VALUE"""),"BE085788")</f>
        <v>BE085788</v>
      </c>
      <c r="H560" s="98" t="str">
        <f>IFERROR(__xludf.DUMMYFUNCTION("""COMPUTED_VALUE"""),"Call Wrapped")</f>
        <v>Call Wrapped</v>
      </c>
      <c r="I560" s="98" t="str">
        <f>IFERROR(__xludf.DUMMYFUNCTION("""COMPUTED_VALUE"""),"Colombo Metro")</f>
        <v>Colombo Metro</v>
      </c>
      <c r="J560" s="98" t="str">
        <f>IFERROR(__xludf.DUMMYFUNCTION("""COMPUTED_VALUE"""),"Received At Destination")</f>
        <v>Received At Destination</v>
      </c>
      <c r="K560" s="98" t="str">
        <f>IFERROR(__xludf.DUMMYFUNCTION("""COMPUTED_VALUE"""),"Branch Operations")</f>
        <v>Branch Operations</v>
      </c>
      <c r="L560" s="98" t="str">
        <f>IFERROR(__xludf.DUMMYFUNCTION("""COMPUTED_VALUE"""),"Informed The Client Via A Whatsapp")</f>
        <v>Informed The Client Via A Whatsapp</v>
      </c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>
      <c r="A561" s="82"/>
      <c r="B561" s="106" t="str">
        <f>IFERROR(__xludf.DUMMYFUNCTION("""COMPUTED_VALUE"""),"837")</f>
        <v>837</v>
      </c>
      <c r="C561" s="106" t="str">
        <f>IFERROR(__xludf.DUMMYFUNCTION("""COMPUTED_VALUE"""),"Umesha")</f>
        <v>Umesha</v>
      </c>
      <c r="D561" s="106" t="str">
        <f>IFERROR(__xludf.DUMMYFUNCTION("""COMPUTED_VALUE"""),"778839082")</f>
        <v>778839082</v>
      </c>
      <c r="E561" s="106" t="str">
        <f>IFERROR(__xludf.DUMMYFUNCTION("""COMPUTED_VALUE"""),"N")</f>
        <v>N</v>
      </c>
      <c r="F561" s="106" t="str">
        <f>IFERROR(__xludf.DUMMYFUNCTION("""COMPUTED_VALUE"""),"Dd Holding")</f>
        <v>Dd Holding</v>
      </c>
      <c r="G561" s="106" t="str">
        <f>IFERROR(__xludf.DUMMYFUNCTION("""COMPUTED_VALUE"""),"A4470093")</f>
        <v>A4470093</v>
      </c>
      <c r="H561" s="106" t="str">
        <f>IFERROR(__xludf.DUMMYFUNCTION("""COMPUTED_VALUE"""),"Arrange Delivery Today / Top Urgent")</f>
        <v>Arrange Delivery Today / Top Urgent</v>
      </c>
      <c r="I561" s="106" t="str">
        <f>IFERROR(__xludf.DUMMYFUNCTION("""COMPUTED_VALUE"""),"Ratmalana")</f>
        <v>Ratmalana</v>
      </c>
      <c r="J561" s="106" t="str">
        <f>IFERROR(__xludf.DUMMYFUNCTION("""COMPUTED_VALUE"""),"Returned To Client")</f>
        <v>Returned To Client</v>
      </c>
      <c r="K561" s="106" t="str">
        <f>IFERROR(__xludf.DUMMYFUNCTION("""COMPUTED_VALUE"""),"Customer Care")</f>
        <v>Customer Care</v>
      </c>
      <c r="L561" s="106" t="str">
        <f>IFERROR(__xludf.DUMMYFUNCTION("""COMPUTED_VALUE"""),"Informed Genzo Nethmi")</f>
        <v>Informed Genzo Nethmi</v>
      </c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>
      <c r="A562" s="82"/>
      <c r="B562" s="98" t="str">
        <f>IFERROR(__xludf.DUMMYFUNCTION("""COMPUTED_VALUE"""),"838")</f>
        <v>838</v>
      </c>
      <c r="C562" s="98" t="str">
        <f>IFERROR(__xludf.DUMMYFUNCTION("""COMPUTED_VALUE"""),"Malik")</f>
        <v>Malik</v>
      </c>
      <c r="D562" s="98" t="str">
        <f>IFERROR(__xludf.DUMMYFUNCTION("""COMPUTED_VALUE"""),"743530160")</f>
        <v>743530160</v>
      </c>
      <c r="E562" s="98" t="str">
        <f>IFERROR(__xludf.DUMMYFUNCTION("""COMPUTED_VALUE"""),"Y")</f>
        <v>Y</v>
      </c>
      <c r="F562" s="108" t="str">
        <f>IFERROR(__xludf.DUMMYFUNCTION("""COMPUTED_VALUE"""),"Crown.Lk")</f>
        <v>Crown.Lk</v>
      </c>
      <c r="G562" s="98" t="str">
        <f>IFERROR(__xludf.DUMMYFUNCTION("""COMPUTED_VALUE"""),"A4431681")</f>
        <v>A4431681</v>
      </c>
      <c r="H562" s="98" t="str">
        <f>IFERROR(__xludf.DUMMYFUNCTION("""COMPUTED_VALUE"""),"Call Wrapped")</f>
        <v>Call Wrapped</v>
      </c>
      <c r="I562" s="98" t="str">
        <f>IFERROR(__xludf.DUMMYFUNCTION("""COMPUTED_VALUE"""),"Wattala")</f>
        <v>Wattala</v>
      </c>
      <c r="J562" s="98" t="str">
        <f>IFERROR(__xludf.DUMMYFUNCTION("""COMPUTED_VALUE"""),"Returned To Client")</f>
        <v>Returned To Client</v>
      </c>
      <c r="K562" s="98" t="str">
        <f>IFERROR(__xludf.DUMMYFUNCTION("""COMPUTED_VALUE"""),"Customer Care")</f>
        <v>Customer Care</v>
      </c>
      <c r="L562" s="98" t="str">
        <f>IFERROR(__xludf.DUMMYFUNCTION("""COMPUTED_VALUE"""),"Done")</f>
        <v>Done</v>
      </c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>
      <c r="A563" s="82"/>
      <c r="B563" s="106" t="str">
        <f>IFERROR(__xludf.DUMMYFUNCTION("""COMPUTED_VALUE"""),"839")</f>
        <v>839</v>
      </c>
      <c r="C563" s="106" t="str">
        <f>IFERROR(__xludf.DUMMYFUNCTION("""COMPUTED_VALUE"""),"Jeni")</f>
        <v>Jeni</v>
      </c>
      <c r="D563" s="106" t="str">
        <f>IFERROR(__xludf.DUMMYFUNCTION("""COMPUTED_VALUE"""),"770096508")</f>
        <v>770096508</v>
      </c>
      <c r="E563" s="106" t="str">
        <f>IFERROR(__xludf.DUMMYFUNCTION("""COMPUTED_VALUE"""),"N")</f>
        <v>N</v>
      </c>
      <c r="F563" s="106" t="str">
        <f>IFERROR(__xludf.DUMMYFUNCTION("""COMPUTED_VALUE"""),"D&amp;N Fashion")</f>
        <v>D&amp;N Fashion</v>
      </c>
      <c r="G563" s="106" t="str">
        <f>IFERROR(__xludf.DUMMYFUNCTION("""COMPUTED_VALUE"""),"BA733879")</f>
        <v>BA733879</v>
      </c>
      <c r="H563" s="106" t="str">
        <f>IFERROR(__xludf.DUMMYFUNCTION("""COMPUTED_VALUE"""),"Some Details")</f>
        <v>Some Details</v>
      </c>
      <c r="I563" s="106" t="str">
        <f>IFERROR(__xludf.DUMMYFUNCTION("""COMPUTED_VALUE"""),"Negombo")</f>
        <v>Negombo</v>
      </c>
      <c r="J563" s="106" t="str">
        <f>IFERROR(__xludf.DUMMYFUNCTION("""COMPUTED_VALUE"""),"Received At Destination")</f>
        <v>Received At Destination</v>
      </c>
      <c r="K563" s="106" t="str">
        <f>IFERROR(__xludf.DUMMYFUNCTION("""COMPUTED_VALUE"""),"Branch Operations")</f>
        <v>Branch Operations</v>
      </c>
      <c r="L563" s="106" t="str">
        <f>IFERROR(__xludf.DUMMYFUNCTION("""COMPUTED_VALUE"""),"Informed Branch")</f>
        <v>Informed Branch</v>
      </c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>
      <c r="A564" s="82"/>
      <c r="B564" s="98" t="str">
        <f>IFERROR(__xludf.DUMMYFUNCTION("""COMPUTED_VALUE"""),"840")</f>
        <v>840</v>
      </c>
      <c r="C564" s="98" t="str">
        <f>IFERROR(__xludf.DUMMYFUNCTION("""COMPUTED_VALUE"""),"Jeni")</f>
        <v>Jeni</v>
      </c>
      <c r="D564" s="98" t="str">
        <f>IFERROR(__xludf.DUMMYFUNCTION("""COMPUTED_VALUE"""),"746120528")</f>
        <v>746120528</v>
      </c>
      <c r="E564" s="98" t="str">
        <f>IFERROR(__xludf.DUMMYFUNCTION("""COMPUTED_VALUE"""),"Y")</f>
        <v>Y</v>
      </c>
      <c r="F564" s="98" t="str">
        <f>IFERROR(__xludf.DUMMYFUNCTION("""COMPUTED_VALUE"""),"Baloreena")</f>
        <v>Baloreena</v>
      </c>
      <c r="G564" s="98" t="str">
        <f>IFERROR(__xludf.DUMMYFUNCTION("""COMPUTED_VALUE"""),"A3029315")</f>
        <v>A3029315</v>
      </c>
      <c r="H564" s="98" t="str">
        <f>IFERROR(__xludf.DUMMYFUNCTION("""COMPUTED_VALUE"""),"Top Urgent -Call Request Management")</f>
        <v>Top Urgent -Call Request Management</v>
      </c>
      <c r="I564" s="98" t="str">
        <f>IFERROR(__xludf.DUMMYFUNCTION("""COMPUTED_VALUE"""),"Ambalangoda")</f>
        <v>Ambalangoda</v>
      </c>
      <c r="J564" s="98" t="str">
        <f>IFERROR(__xludf.DUMMYFUNCTION("""COMPUTED_VALUE"""),"Returned To Branch Rescheduled")</f>
        <v>Returned To Branch Rescheduled</v>
      </c>
      <c r="K564" s="98" t="str">
        <f>IFERROR(__xludf.DUMMYFUNCTION("""COMPUTED_VALUE"""),"Customer Care")</f>
        <v>Customer Care</v>
      </c>
      <c r="L564" s="98" t="str">
        <f>IFERROR(__xludf.DUMMYFUNCTION("""COMPUTED_VALUE"""),"Done")</f>
        <v>Done</v>
      </c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>
      <c r="A565" s="82"/>
      <c r="B565" s="106" t="str">
        <f>IFERROR(__xludf.DUMMYFUNCTION("""COMPUTED_VALUE"""),"841")</f>
        <v>841</v>
      </c>
      <c r="C565" s="106" t="str">
        <f>IFERROR(__xludf.DUMMYFUNCTION("""COMPUTED_VALUE"""),"Malik")</f>
        <v>Malik</v>
      </c>
      <c r="D565" s="106" t="str">
        <f>IFERROR(__xludf.DUMMYFUNCTION("""COMPUTED_VALUE"""),"710607191")</f>
        <v>710607191</v>
      </c>
      <c r="E565" s="106" t="str">
        <f>IFERROR(__xludf.DUMMYFUNCTION("""COMPUTED_VALUE"""),"N")</f>
        <v>N</v>
      </c>
      <c r="F565" s="107" t="str">
        <f>IFERROR(__xludf.DUMMYFUNCTION("""COMPUTED_VALUE"""),"Helloherb.Lk")</f>
        <v>Helloherb.Lk</v>
      </c>
      <c r="G565" s="106" t="str">
        <f>IFERROR(__xludf.DUMMYFUNCTION("""COMPUTED_VALUE"""),"A4322051")</f>
        <v>A4322051</v>
      </c>
      <c r="H565" s="106" t="str">
        <f>IFERROR(__xludf.DUMMYFUNCTION("""COMPUTED_VALUE"""),"763770209 -Customer Requested Re-Delivery. Please Arrange It For Tomorrow.")</f>
        <v>763770209 -Customer Requested Re-Delivery. Please Arrange It For Tomorrow.</v>
      </c>
      <c r="I565" s="106" t="str">
        <f>IFERROR(__xludf.DUMMYFUNCTION("""COMPUTED_VALUE"""),"Negombo")</f>
        <v>Negombo</v>
      </c>
      <c r="J565" s="106" t="str">
        <f>IFERROR(__xludf.DUMMYFUNCTION("""COMPUTED_VALUE"""),"Delivered")</f>
        <v>Delivered</v>
      </c>
      <c r="K565" s="106" t="str">
        <f>IFERROR(__xludf.DUMMYFUNCTION("""COMPUTED_VALUE"""),"Branch Operations")</f>
        <v>Branch Operations</v>
      </c>
      <c r="L565" s="106" t="str">
        <f>IFERROR(__xludf.DUMMYFUNCTION("""COMPUTED_VALUE"""),"Done")</f>
        <v>Done</v>
      </c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>
      <c r="A566" s="82"/>
      <c r="B566" s="98" t="str">
        <f>IFERROR(__xludf.DUMMYFUNCTION("""COMPUTED_VALUE"""),"842")</f>
        <v>842</v>
      </c>
      <c r="C566" s="98" t="str">
        <f>IFERROR(__xludf.DUMMYFUNCTION("""COMPUTED_VALUE"""),"Mandari")</f>
        <v>Mandari</v>
      </c>
      <c r="D566" s="98" t="str">
        <f>IFERROR(__xludf.DUMMYFUNCTION("""COMPUTED_VALUE"""),"751681330")</f>
        <v>751681330</v>
      </c>
      <c r="E566" s="98" t="str">
        <f>IFERROR(__xludf.DUMMYFUNCTION("""COMPUTED_VALUE"""),"Y")</f>
        <v>Y</v>
      </c>
      <c r="F566" s="98" t="str">
        <f>IFERROR(__xludf.DUMMYFUNCTION("""COMPUTED_VALUE"""),"77 956 2259")</f>
        <v>77 956 2259</v>
      </c>
      <c r="G566" s="98" t="str">
        <f>IFERROR(__xludf.DUMMYFUNCTION("""COMPUTED_VALUE"""),"BE110591 ")</f>
        <v>BE110591 </v>
      </c>
      <c r="H566" s="98" t="str">
        <f>IFERROR(__xludf.DUMMYFUNCTION("""COMPUTED_VALUE"""),"Arrange To Deliver Today")</f>
        <v>Arrange To Deliver Today</v>
      </c>
      <c r="I566" s="98" t="str">
        <f>IFERROR(__xludf.DUMMYFUNCTION("""COMPUTED_VALUE"""),"Kaduwela")</f>
        <v>Kaduwela</v>
      </c>
      <c r="J566" s="98" t="str">
        <f>IFERROR(__xludf.DUMMYFUNCTION("""COMPUTED_VALUE"""),"Delivered")</f>
        <v>Delivered</v>
      </c>
      <c r="K566" s="98" t="str">
        <f>IFERROR(__xludf.DUMMYFUNCTION("""COMPUTED_VALUE"""),"Branch Operations")</f>
        <v>Branch Operations</v>
      </c>
      <c r="L566" s="98" t="str">
        <f>IFERROR(__xludf.DUMMYFUNCTION("""COMPUTED_VALUE"""),"Informed Branch")</f>
        <v>Informed Branch</v>
      </c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>
      <c r="A567" s="82"/>
      <c r="B567" s="106" t="str">
        <f>IFERROR(__xludf.DUMMYFUNCTION("""COMPUTED_VALUE"""),"843")</f>
        <v>843</v>
      </c>
      <c r="C567" s="106" t="str">
        <f>IFERROR(__xludf.DUMMYFUNCTION("""COMPUTED_VALUE"""),"Jeni")</f>
        <v>Jeni</v>
      </c>
      <c r="D567" s="106" t="str">
        <f>IFERROR(__xludf.DUMMYFUNCTION("""COMPUTED_VALUE"""),"720674739")</f>
        <v>720674739</v>
      </c>
      <c r="E567" s="106" t="str">
        <f>IFERROR(__xludf.DUMMYFUNCTION("""COMPUTED_VALUE"""),"Y")</f>
        <v>Y</v>
      </c>
      <c r="F567" s="106" t="str">
        <f>IFERROR(__xludf.DUMMYFUNCTION("""COMPUTED_VALUE"""),"Dorado")</f>
        <v>Dorado</v>
      </c>
      <c r="G567" s="106" t="str">
        <f>IFERROR(__xludf.DUMMYFUNCTION("""COMPUTED_VALUE"""),"BA766368")</f>
        <v>BA766368</v>
      </c>
      <c r="H567" s="106" t="str">
        <f>IFERROR(__xludf.DUMMYFUNCTION("""COMPUTED_VALUE"""),"Req Tamil Agent")</f>
        <v>Req Tamil Agent</v>
      </c>
      <c r="I567" s="106" t="str">
        <f>IFERROR(__xludf.DUMMYFUNCTION("""COMPUTED_VALUE"""),"Kegalle")</f>
        <v>Kegalle</v>
      </c>
      <c r="J567" s="106" t="str">
        <f>IFERROR(__xludf.DUMMYFUNCTION("""COMPUTED_VALUE"""),"Returned To Client")</f>
        <v>Returned To Client</v>
      </c>
      <c r="K567" s="106" t="str">
        <f>IFERROR(__xludf.DUMMYFUNCTION("""COMPUTED_VALUE"""),"Customer Care")</f>
        <v>Customer Care</v>
      </c>
      <c r="L567" s="106" t="str">
        <f>IFERROR(__xludf.DUMMYFUNCTION("""COMPUTED_VALUE"""),"Check And Call Back")</f>
        <v>Check And Call Back</v>
      </c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>
      <c r="A568" s="82"/>
      <c r="B568" s="98" t="str">
        <f>IFERROR(__xludf.DUMMYFUNCTION("""COMPUTED_VALUE"""),"844")</f>
        <v>844</v>
      </c>
      <c r="C568" s="98" t="str">
        <f>IFERROR(__xludf.DUMMYFUNCTION("""COMPUTED_VALUE"""),"Malik")</f>
        <v>Malik</v>
      </c>
      <c r="D568" s="98" t="str">
        <f>IFERROR(__xludf.DUMMYFUNCTION("""COMPUTED_VALUE"""),"741005782")</f>
        <v>741005782</v>
      </c>
      <c r="E568" s="98" t="str">
        <f>IFERROR(__xludf.DUMMYFUNCTION("""COMPUTED_VALUE"""),"Y")</f>
        <v>Y</v>
      </c>
      <c r="F568" s="98" t="str">
        <f>IFERROR(__xludf.DUMMYFUNCTION("""COMPUTED_VALUE"""),"Shani Co.")</f>
        <v>Shani Co.</v>
      </c>
      <c r="G568" s="98" t="str">
        <f>IFERROR(__xludf.DUMMYFUNCTION("""COMPUTED_VALUE"""),"BA752662")</f>
        <v>BA752662</v>
      </c>
      <c r="H568" s="98" t="str">
        <f>IFERROR(__xludf.DUMMYFUNCTION("""COMPUTED_VALUE"""),"Re Deliver On Today")</f>
        <v>Re Deliver On Today</v>
      </c>
      <c r="I568" s="98" t="str">
        <f>IFERROR(__xludf.DUMMYFUNCTION("""COMPUTED_VALUE"""),"Kahatagasdigiliya")</f>
        <v>Kahatagasdigiliya</v>
      </c>
      <c r="J568" s="98" t="str">
        <f>IFERROR(__xludf.DUMMYFUNCTION("""COMPUTED_VALUE"""),"Re-Delivery")</f>
        <v>Re-Delivery</v>
      </c>
      <c r="K568" s="98" t="str">
        <f>IFERROR(__xludf.DUMMYFUNCTION("""COMPUTED_VALUE"""),"Branch Operations")</f>
        <v>Branch Operations</v>
      </c>
      <c r="L568" s="98" t="str">
        <f>IFERROR(__xludf.DUMMYFUNCTION("""COMPUTED_VALUE"""),"Done")</f>
        <v>Done</v>
      </c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>
      <c r="A569" s="82"/>
      <c r="B569" s="106" t="str">
        <f>IFERROR(__xludf.DUMMYFUNCTION("""COMPUTED_VALUE"""),"845")</f>
        <v>845</v>
      </c>
      <c r="C569" s="106" t="str">
        <f>IFERROR(__xludf.DUMMYFUNCTION("""COMPUTED_VALUE"""),"Mandari")</f>
        <v>Mandari</v>
      </c>
      <c r="D569" s="106" t="str">
        <f>IFERROR(__xludf.DUMMYFUNCTION("""COMPUTED_VALUE"""),"765451355")</f>
        <v>765451355</v>
      </c>
      <c r="E569" s="106" t="str">
        <f>IFERROR(__xludf.DUMMYFUNCTION("""COMPUTED_VALUE"""),"N")</f>
        <v>N</v>
      </c>
      <c r="F569" s="106" t="str">
        <f>IFERROR(__xludf.DUMMYFUNCTION("""COMPUTED_VALUE"""),"2202 Active")</f>
        <v>2202 Active</v>
      </c>
      <c r="G569" s="106" t="str">
        <f>IFERROR(__xludf.DUMMYFUNCTION("""COMPUTED_VALUE"""),"BD568906")</f>
        <v>BD568906</v>
      </c>
      <c r="H569" s="106" t="str">
        <f>IFERROR(__xludf.DUMMYFUNCTION("""COMPUTED_VALUE"""),"Call Wrapped")</f>
        <v>Call Wrapped</v>
      </c>
      <c r="I569" s="106" t="str">
        <f>IFERROR(__xludf.DUMMYFUNCTION("""COMPUTED_VALUE"""),"Pilimathlawa")</f>
        <v>Pilimathlawa</v>
      </c>
      <c r="J569" s="106" t="str">
        <f>IFERROR(__xludf.DUMMYFUNCTION("""COMPUTED_VALUE"""),"Received At Destination")</f>
        <v>Received At Destination</v>
      </c>
      <c r="K569" s="106" t="str">
        <f>IFERROR(__xludf.DUMMYFUNCTION("""COMPUTED_VALUE"""),"Key Accounts")</f>
        <v>Key Accounts</v>
      </c>
      <c r="L569" s="106" t="str">
        <f>IFERROR(__xludf.DUMMYFUNCTION("""COMPUTED_VALUE"""),"Info Client")</f>
        <v>Info Client</v>
      </c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>
      <c r="A570" s="82"/>
      <c r="B570" s="98" t="str">
        <f>IFERROR(__xludf.DUMMYFUNCTION("""COMPUTED_VALUE"""),"846")</f>
        <v>846</v>
      </c>
      <c r="C570" s="98" t="str">
        <f>IFERROR(__xludf.DUMMYFUNCTION("""COMPUTED_VALUE"""),"Mandari")</f>
        <v>Mandari</v>
      </c>
      <c r="D570" s="98" t="str">
        <f>IFERROR(__xludf.DUMMYFUNCTION("""COMPUTED_VALUE"""),"764300731")</f>
        <v>764300731</v>
      </c>
      <c r="E570" s="98" t="str">
        <f>IFERROR(__xludf.DUMMYFUNCTION("""COMPUTED_VALUE"""),"N")</f>
        <v>N</v>
      </c>
      <c r="F570" s="98" t="str">
        <f>IFERROR(__xludf.DUMMYFUNCTION("""COMPUTED_VALUE"""),"Dream Skin")</f>
        <v>Dream Skin</v>
      </c>
      <c r="G570" s="98" t="str">
        <f>IFERROR(__xludf.DUMMYFUNCTION("""COMPUTED_VALUE"""),"90954741")</f>
        <v>90954741</v>
      </c>
      <c r="H570" s="98" t="str">
        <f>IFERROR(__xludf.DUMMYFUNCTION("""COMPUTED_VALUE"""),"Not In System")</f>
        <v>Not In System</v>
      </c>
      <c r="I570" s="98" t="str">
        <f>IFERROR(__xludf.DUMMYFUNCTION("""COMPUTED_VALUE"""),"Ratmalana")</f>
        <v>Ratmalana</v>
      </c>
      <c r="J570" s="98" t="str">
        <f>IFERROR(__xludf.DUMMYFUNCTION("""COMPUTED_VALUE"""),"Returned To Branch Rescheduled")</f>
        <v>Returned To Branch Rescheduled</v>
      </c>
      <c r="K570" s="98" t="str">
        <f>IFERROR(__xludf.DUMMYFUNCTION("""COMPUTED_VALUE"""),"Branch Operations")</f>
        <v>Branch Operations</v>
      </c>
      <c r="L570" s="98" t="str">
        <f>IFERROR(__xludf.DUMMYFUNCTION("""COMPUTED_VALUE"""),"Details Given/ Info Branch")</f>
        <v>Details Given/ Info Branch</v>
      </c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>
      <c r="A571" s="82"/>
      <c r="B571" s="106" t="str">
        <f>IFERROR(__xludf.DUMMYFUNCTION("""COMPUTED_VALUE"""),"847")</f>
        <v>847</v>
      </c>
      <c r="C571" s="106" t="str">
        <f>IFERROR(__xludf.DUMMYFUNCTION("""COMPUTED_VALUE"""),"Jeni")</f>
        <v>Jeni</v>
      </c>
      <c r="D571" s="106" t="str">
        <f>IFERROR(__xludf.DUMMYFUNCTION("""COMPUTED_VALUE"""),"712545530")</f>
        <v>712545530</v>
      </c>
      <c r="E571" s="106" t="str">
        <f>IFERROR(__xludf.DUMMYFUNCTION("""COMPUTED_VALUE"""),"Y")</f>
        <v>Y</v>
      </c>
      <c r="F571" s="106" t="str">
        <f>IFERROR(__xludf.DUMMYFUNCTION("""COMPUTED_VALUE"""),"Faith Store")</f>
        <v>Faith Store</v>
      </c>
      <c r="G571" s="106" t="str">
        <f>IFERROR(__xludf.DUMMYFUNCTION("""COMPUTED_VALUE"""),"A4431757")</f>
        <v>A4431757</v>
      </c>
      <c r="H571" s="106" t="str">
        <f>IFERROR(__xludf.DUMMYFUNCTION("""COMPUTED_VALUE"""),"Urgent Return Package")</f>
        <v>Urgent Return Package</v>
      </c>
      <c r="I571" s="106" t="str">
        <f>IFERROR(__xludf.DUMMYFUNCTION("""COMPUTED_VALUE"""),"Ja-Ela")</f>
        <v>Ja-Ela</v>
      </c>
      <c r="J571" s="106" t="str">
        <f>IFERROR(__xludf.DUMMYFUNCTION("""COMPUTED_VALUE"""),"Returned To Branch Failed To Deliver")</f>
        <v>Returned To Branch Failed To Deliver</v>
      </c>
      <c r="K571" s="106" t="str">
        <f>IFERROR(__xludf.DUMMYFUNCTION("""COMPUTED_VALUE"""),"Return")</f>
        <v>Return</v>
      </c>
      <c r="L571" s="106" t="str">
        <f>IFERROR(__xludf.DUMMYFUNCTION("""COMPUTED_VALUE"""),"Info Branch")</f>
        <v>Info Branch</v>
      </c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>
      <c r="A572" s="82"/>
      <c r="B572" s="98" t="str">
        <f>IFERROR(__xludf.DUMMYFUNCTION("""COMPUTED_VALUE"""),"848")</f>
        <v>848</v>
      </c>
      <c r="C572" s="98" t="str">
        <f>IFERROR(__xludf.DUMMYFUNCTION("""COMPUTED_VALUE"""),"Jeni")</f>
        <v>Jeni</v>
      </c>
      <c r="D572" s="98" t="str">
        <f>IFERROR(__xludf.DUMMYFUNCTION("""COMPUTED_VALUE"""),"779806123")</f>
        <v>779806123</v>
      </c>
      <c r="E572" s="98" t="str">
        <f>IFERROR(__xludf.DUMMYFUNCTION("""COMPUTED_VALUE"""),"N")</f>
        <v>N</v>
      </c>
      <c r="F572" s="98" t="str">
        <f>IFERROR(__xludf.DUMMYFUNCTION("""COMPUTED_VALUE"""),"Nd Clothing")</f>
        <v>Nd Clothing</v>
      </c>
      <c r="G572" s="98" t="str">
        <f>IFERROR(__xludf.DUMMYFUNCTION("""COMPUTED_VALUE"""),"BA773376")</f>
        <v>BA773376</v>
      </c>
      <c r="H572" s="98" t="str">
        <f>IFERROR(__xludf.DUMMYFUNCTION("""COMPUTED_VALUE"""),"Some Details / Return To Client")</f>
        <v>Some Details / Return To Client</v>
      </c>
      <c r="I572" s="98" t="str">
        <f>IFERROR(__xludf.DUMMYFUNCTION("""COMPUTED_VALUE"""),"Colombo Metro")</f>
        <v>Colombo Metro</v>
      </c>
      <c r="J572" s="98" t="str">
        <f>IFERROR(__xludf.DUMMYFUNCTION("""COMPUTED_VALUE"""),"Returned To Branch Rescheduled")</f>
        <v>Returned To Branch Rescheduled</v>
      </c>
      <c r="K572" s="98" t="str">
        <f>IFERROR(__xludf.DUMMYFUNCTION("""COMPUTED_VALUE"""),"Branch Operations")</f>
        <v>Branch Operations</v>
      </c>
      <c r="L572" s="98" t="str">
        <f>IFERROR(__xludf.DUMMYFUNCTION("""COMPUTED_VALUE"""),"Given Details")</f>
        <v>Given Details</v>
      </c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>
      <c r="A573" s="82"/>
      <c r="B573" s="106" t="str">
        <f>IFERROR(__xludf.DUMMYFUNCTION("""COMPUTED_VALUE"""),"849")</f>
        <v>849</v>
      </c>
      <c r="C573" s="106" t="str">
        <f>IFERROR(__xludf.DUMMYFUNCTION("""COMPUTED_VALUE"""),"Umesha")</f>
        <v>Umesha</v>
      </c>
      <c r="D573" s="106" t="str">
        <f>IFERROR(__xludf.DUMMYFUNCTION("""COMPUTED_VALUE"""),"710607191")</f>
        <v>710607191</v>
      </c>
      <c r="E573" s="106" t="str">
        <f>IFERROR(__xludf.DUMMYFUNCTION("""COMPUTED_VALUE"""),"Y")</f>
        <v>Y</v>
      </c>
      <c r="F573" s="106" t="str">
        <f>IFERROR(__xludf.DUMMYFUNCTION("""COMPUTED_VALUE"""),"Hk Fashion Mirigama")</f>
        <v>Hk Fashion Mirigama</v>
      </c>
      <c r="G573" s="106" t="str">
        <f>IFERROR(__xludf.DUMMYFUNCTION("""COMPUTED_VALUE"""),"A4432282")</f>
        <v>A4432282</v>
      </c>
      <c r="H573" s="106" t="str">
        <f>IFERROR(__xludf.DUMMYFUNCTION("""COMPUTED_VALUE"""),"Call Wrapped")</f>
        <v>Call Wrapped</v>
      </c>
      <c r="I573" s="106" t="str">
        <f>IFERROR(__xludf.DUMMYFUNCTION("""COMPUTED_VALUE"""),"Panadura")</f>
        <v>Panadura</v>
      </c>
      <c r="J573" s="106" t="str">
        <f>IFERROR(__xludf.DUMMYFUNCTION("""COMPUTED_VALUE"""),"Returned To Branch Rescheduled")</f>
        <v>Returned To Branch Rescheduled</v>
      </c>
      <c r="K573" s="106" t="str">
        <f>IFERROR(__xludf.DUMMYFUNCTION("""COMPUTED_VALUE"""),"Customer Care")</f>
        <v>Customer Care</v>
      </c>
      <c r="L573" s="106" t="str">
        <f>IFERROR(__xludf.DUMMYFUNCTION("""COMPUTED_VALUE"""),"Tranfer Call")</f>
        <v>Tranfer Call</v>
      </c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>
      <c r="A574" s="82"/>
      <c r="B574" s="98" t="str">
        <f>IFERROR(__xludf.DUMMYFUNCTION("""COMPUTED_VALUE"""),"850")</f>
        <v>850</v>
      </c>
      <c r="C574" s="98" t="str">
        <f>IFERROR(__xludf.DUMMYFUNCTION("""COMPUTED_VALUE"""),"Jeni")</f>
        <v>Jeni</v>
      </c>
      <c r="D574" s="98" t="str">
        <f>IFERROR(__xludf.DUMMYFUNCTION("""COMPUTED_VALUE"""),"712236162")</f>
        <v>712236162</v>
      </c>
      <c r="E574" s="98" t="str">
        <f>IFERROR(__xludf.DUMMYFUNCTION("""COMPUTED_VALUE"""),"N")</f>
        <v>N</v>
      </c>
      <c r="F574" s="98" t="str">
        <f>IFERROR(__xludf.DUMMYFUNCTION("""COMPUTED_VALUE"""),"Sahasra Products")</f>
        <v>Sahasra Products</v>
      </c>
      <c r="G574" s="98" t="str">
        <f>IFERROR(__xludf.DUMMYFUNCTION("""COMPUTED_VALUE"""),"15127120")</f>
        <v>15127120</v>
      </c>
      <c r="H574" s="98" t="str">
        <f>IFERROR(__xludf.DUMMYFUNCTION("""COMPUTED_VALUE"""),"Domestic Rate")</f>
        <v>Domestic Rate</v>
      </c>
      <c r="I574" s="98" t="str">
        <f>IFERROR(__xludf.DUMMYFUNCTION("""COMPUTED_VALUE"""),"Colombo Metro")</f>
        <v>Colombo Metro</v>
      </c>
      <c r="J574" s="98" t="str">
        <f>IFERROR(__xludf.DUMMYFUNCTION("""COMPUTED_VALUE"""),"Returned To Branch Failed To Deliver")</f>
        <v>Returned To Branch Failed To Deliver</v>
      </c>
      <c r="K574" s="98" t="str">
        <f>IFERROR(__xludf.DUMMYFUNCTION("""COMPUTED_VALUE"""),"Branch Operations")</f>
        <v>Branch Operations</v>
      </c>
      <c r="L574" s="98" t="str">
        <f>IFERROR(__xludf.DUMMYFUNCTION("""COMPUTED_VALUE"""),"Informed Branch Number Via A Whatsapp")</f>
        <v>Informed Branch Number Via A Whatsapp</v>
      </c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>
      <c r="A575" s="82"/>
      <c r="B575" s="106" t="str">
        <f>IFERROR(__xludf.DUMMYFUNCTION("""COMPUTED_VALUE"""),"851")</f>
        <v>851</v>
      </c>
      <c r="C575" s="106" t="str">
        <f>IFERROR(__xludf.DUMMYFUNCTION("""COMPUTED_VALUE"""),"Lakshani")</f>
        <v>Lakshani</v>
      </c>
      <c r="D575" s="106" t="str">
        <f>IFERROR(__xludf.DUMMYFUNCTION("""COMPUTED_VALUE"""),"752821998")</f>
        <v>752821998</v>
      </c>
      <c r="E575" s="106" t="str">
        <f>IFERROR(__xludf.DUMMYFUNCTION("""COMPUTED_VALUE"""),"N")</f>
        <v>N</v>
      </c>
      <c r="F575" s="106" t="str">
        <f>IFERROR(__xludf.DUMMYFUNCTION("""COMPUTED_VALUE"""),"Stylefix")</f>
        <v>Stylefix</v>
      </c>
      <c r="G575" s="106" t="str">
        <f>IFERROR(__xludf.DUMMYFUNCTION("""COMPUTED_VALUE"""),"BE070737")</f>
        <v>BE070737</v>
      </c>
      <c r="H575" s="106" t="str">
        <f>IFERROR(__xludf.DUMMYFUNCTION("""COMPUTED_VALUE"""),"Way Bill Not To The System")</f>
        <v>Way Bill Not To The System</v>
      </c>
      <c r="I575" s="106" t="str">
        <f>IFERROR(__xludf.DUMMYFUNCTION("""COMPUTED_VALUE"""),"Ambalangoda")</f>
        <v>Ambalangoda</v>
      </c>
      <c r="J575" s="106" t="str">
        <f>IFERROR(__xludf.DUMMYFUNCTION("""COMPUTED_VALUE"""),"Out For Delivery")</f>
        <v>Out For Delivery</v>
      </c>
      <c r="K575" s="106" t="str">
        <f>IFERROR(__xludf.DUMMYFUNCTION("""COMPUTED_VALUE"""),"Branch Operations")</f>
        <v>Branch Operations</v>
      </c>
      <c r="L575" s="106" t="str">
        <f>IFERROR(__xludf.DUMMYFUNCTION("""COMPUTED_VALUE"""),"Its Delivered /Cant Back Return This Order")</f>
        <v>Its Delivered /Cant Back Return This Order</v>
      </c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>
      <c r="A576" s="82"/>
      <c r="B576" s="98" t="str">
        <f>IFERROR(__xludf.DUMMYFUNCTION("""COMPUTED_VALUE"""),"852")</f>
        <v>852</v>
      </c>
      <c r="C576" s="98" t="str">
        <f>IFERROR(__xludf.DUMMYFUNCTION("""COMPUTED_VALUE"""),"Umesha")</f>
        <v>Umesha</v>
      </c>
      <c r="D576" s="98" t="str">
        <f>IFERROR(__xludf.DUMMYFUNCTION("""COMPUTED_VALUE"""),"707753839")</f>
        <v>707753839</v>
      </c>
      <c r="E576" s="98" t="str">
        <f>IFERROR(__xludf.DUMMYFUNCTION("""COMPUTED_VALUE"""),"Y")</f>
        <v>Y</v>
      </c>
      <c r="F576" s="98" t="str">
        <f>IFERROR(__xludf.DUMMYFUNCTION("""COMPUTED_VALUE"""),"Bella Natural Wellness (Pvt) Ltd")</f>
        <v>Bella Natural Wellness (Pvt) Ltd</v>
      </c>
      <c r="G576" s="98" t="str">
        <f>IFERROR(__xludf.DUMMYFUNCTION("""COMPUTED_VALUE"""),"BA779806")</f>
        <v>BA779806</v>
      </c>
      <c r="H576" s="98" t="str">
        <f>IFERROR(__xludf.DUMMYFUNCTION("""COMPUTED_VALUE"""),"How Arrange Refudn For Damage Item ?")</f>
        <v>How Arrange Refudn For Damage Item ?</v>
      </c>
      <c r="I576" s="98" t="str">
        <f>IFERROR(__xludf.DUMMYFUNCTION("""COMPUTED_VALUE"""),"Kadawatha")</f>
        <v>Kadawatha</v>
      </c>
      <c r="J576" s="98" t="str">
        <f>IFERROR(__xludf.DUMMYFUNCTION("""COMPUTED_VALUE"""),"Received At Destination")</f>
        <v>Received At Destination</v>
      </c>
      <c r="K576" s="98" t="str">
        <f>IFERROR(__xludf.DUMMYFUNCTION("""COMPUTED_VALUE"""),"Branch Operations")</f>
        <v>Branch Operations</v>
      </c>
      <c r="L576" s="98" t="str">
        <f>IFERROR(__xludf.DUMMYFUNCTION("""COMPUTED_VALUE"""),"On Route")</f>
        <v>On Route</v>
      </c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>
      <c r="A577" s="82"/>
      <c r="B577" s="106" t="str">
        <f>IFERROR(__xludf.DUMMYFUNCTION("""COMPUTED_VALUE"""),"853")</f>
        <v>853</v>
      </c>
      <c r="C577" s="106" t="str">
        <f>IFERROR(__xludf.DUMMYFUNCTION("""COMPUTED_VALUE"""),"Malik")</f>
        <v>Malik</v>
      </c>
      <c r="D577" s="106" t="str">
        <f>IFERROR(__xludf.DUMMYFUNCTION("""COMPUTED_VALUE"""),"760486453")</f>
        <v>760486453</v>
      </c>
      <c r="E577" s="106" t="str">
        <f>IFERROR(__xludf.DUMMYFUNCTION("""COMPUTED_VALUE"""),"Y")</f>
        <v>Y</v>
      </c>
      <c r="F577" s="106" t="str">
        <f>IFERROR(__xludf.DUMMYFUNCTION("""COMPUTED_VALUE"""),"Aurex Core")</f>
        <v>Aurex Core</v>
      </c>
      <c r="G577" s="106" t="str">
        <f>IFERROR(__xludf.DUMMYFUNCTION("""COMPUTED_VALUE"""),"BE103029")</f>
        <v>BE103029</v>
      </c>
      <c r="H577" s="106" t="str">
        <f>IFERROR(__xludf.DUMMYFUNCTION("""COMPUTED_VALUE"""),"Arrange To Deliver Today / Top Urgant")</f>
        <v>Arrange To Deliver Today / Top Urgant</v>
      </c>
      <c r="I577" s="106" t="str">
        <f>IFERROR(__xludf.DUMMYFUNCTION("""COMPUTED_VALUE"""),"Negombo")</f>
        <v>Negombo</v>
      </c>
      <c r="J577" s="106" t="str">
        <f>IFERROR(__xludf.DUMMYFUNCTION("""COMPUTED_VALUE"""),"Returned To Branch Failed To Deliver")</f>
        <v>Returned To Branch Failed To Deliver</v>
      </c>
      <c r="K577" s="106" t="str">
        <f>IFERROR(__xludf.DUMMYFUNCTION("""COMPUTED_VALUE"""),"Return")</f>
        <v>Return</v>
      </c>
      <c r="L577" s="106" t="str">
        <f>IFERROR(__xludf.DUMMYFUNCTION("""COMPUTED_VALUE"""),"Customer Said Want To Change Addess -We Said Contact The Customer")</f>
        <v>Customer Said Want To Change Addess -We Said Contact The Customer</v>
      </c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>
      <c r="A578" s="82"/>
      <c r="B578" s="98" t="str">
        <f>IFERROR(__xludf.DUMMYFUNCTION("""COMPUTED_VALUE"""),"854")</f>
        <v>854</v>
      </c>
      <c r="C578" s="98" t="str">
        <f>IFERROR(__xludf.DUMMYFUNCTION("""COMPUTED_VALUE"""),"Jeni")</f>
        <v>Jeni</v>
      </c>
      <c r="D578" s="98" t="str">
        <f>IFERROR(__xludf.DUMMYFUNCTION("""COMPUTED_VALUE"""),"778839082")</f>
        <v>778839082</v>
      </c>
      <c r="E578" s="98" t="str">
        <f>IFERROR(__xludf.DUMMYFUNCTION("""COMPUTED_VALUE"""),"Y")</f>
        <v>Y</v>
      </c>
      <c r="F578" s="98" t="str">
        <f>IFERROR(__xludf.DUMMYFUNCTION("""COMPUTED_VALUE"""),"Sahasra Team")</f>
        <v>Sahasra Team</v>
      </c>
      <c r="G578" s="98" t="str">
        <f>IFERROR(__xludf.DUMMYFUNCTION("""COMPUTED_VALUE"""),"BE090458")</f>
        <v>BE090458</v>
      </c>
      <c r="H578" s="98" t="str">
        <f>IFERROR(__xludf.DUMMYFUNCTION("""COMPUTED_VALUE"""),"Arrange To Deliver Today / Top Urgant")</f>
        <v>Arrange To Deliver Today / Top Urgant</v>
      </c>
      <c r="I578" s="98" t="str">
        <f>IFERROR(__xludf.DUMMYFUNCTION("""COMPUTED_VALUE"""),"Wennappuwa")</f>
        <v>Wennappuwa</v>
      </c>
      <c r="J578" s="98" t="str">
        <f>IFERROR(__xludf.DUMMYFUNCTION("""COMPUTED_VALUE"""),"Returned To Branch Failed To Deliver")</f>
        <v>Returned To Branch Failed To Deliver</v>
      </c>
      <c r="K578" s="98" t="str">
        <f>IFERROR(__xludf.DUMMYFUNCTION("""COMPUTED_VALUE"""),"Customer Care")</f>
        <v>Customer Care</v>
      </c>
      <c r="L578" s="98" t="str">
        <f>IFERROR(__xludf.DUMMYFUNCTION("""COMPUTED_VALUE"""),"Ask To Call Back With Proper Details")</f>
        <v>Ask To Call Back With Proper Details</v>
      </c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>
      <c r="A579" s="82"/>
      <c r="B579" s="106" t="str">
        <f>IFERROR(__xludf.DUMMYFUNCTION("""COMPUTED_VALUE"""),"855")</f>
        <v>855</v>
      </c>
      <c r="C579" s="106" t="str">
        <f>IFERROR(__xludf.DUMMYFUNCTION("""COMPUTED_VALUE"""),"Lakshani")</f>
        <v>Lakshani</v>
      </c>
      <c r="D579" s="106" t="str">
        <f>IFERROR(__xludf.DUMMYFUNCTION("""COMPUTED_VALUE"""),"714939204")</f>
        <v>714939204</v>
      </c>
      <c r="E579" s="106" t="str">
        <f>IFERROR(__xludf.DUMMYFUNCTION("""COMPUTED_VALUE"""),"N")</f>
        <v>N</v>
      </c>
      <c r="F579" s="106" t="str">
        <f>IFERROR(__xludf.DUMMYFUNCTION("""COMPUTED_VALUE"""),"Mona'S Closet")</f>
        <v>Mona'S Closet</v>
      </c>
      <c r="G579" s="106" t="str">
        <f>IFERROR(__xludf.DUMMYFUNCTION("""COMPUTED_VALUE"""),"BE119595")</f>
        <v>BE119595</v>
      </c>
      <c r="H579" s="106" t="str">
        <f>IFERROR(__xludf.DUMMYFUNCTION("""COMPUTED_VALUE"""),"Tamil Call")</f>
        <v>Tamil Call</v>
      </c>
      <c r="I579" s="106" t="str">
        <f>IFERROR(__xludf.DUMMYFUNCTION("""COMPUTED_VALUE"""),"Thalawathugoda")</f>
        <v>Thalawathugoda</v>
      </c>
      <c r="J579" s="106" t="str">
        <f>IFERROR(__xludf.DUMMYFUNCTION("""COMPUTED_VALUE"""),"Received At Destination")</f>
        <v>Received At Destination</v>
      </c>
      <c r="K579" s="106" t="str">
        <f>IFERROR(__xludf.DUMMYFUNCTION("""COMPUTED_VALUE"""),"Return")</f>
        <v>Return</v>
      </c>
      <c r="L579" s="106" t="str">
        <f>IFERROR(__xludf.DUMMYFUNCTION("""COMPUTED_VALUE"""),"Informed Branch")</f>
        <v>Informed Branch</v>
      </c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>
      <c r="A580" s="82"/>
      <c r="B580" s="98" t="str">
        <f>IFERROR(__xludf.DUMMYFUNCTION("""COMPUTED_VALUE"""),"856")</f>
        <v>856</v>
      </c>
      <c r="C580" s="98" t="str">
        <f>IFERROR(__xludf.DUMMYFUNCTION("""COMPUTED_VALUE"""),"Umesha")</f>
        <v>Umesha</v>
      </c>
      <c r="D580" s="98" t="str">
        <f>IFERROR(__xludf.DUMMYFUNCTION("""COMPUTED_VALUE"""),"714541798")</f>
        <v>714541798</v>
      </c>
      <c r="E580" s="98" t="str">
        <f>IFERROR(__xludf.DUMMYFUNCTION("""COMPUTED_VALUE"""),"N")</f>
        <v>N</v>
      </c>
      <c r="F580" s="98" t="str">
        <f>IFERROR(__xludf.DUMMYFUNCTION("""COMPUTED_VALUE"""),"Mr. Vitamin Online Store")</f>
        <v>Mr. Vitamin Online Store</v>
      </c>
      <c r="G580" s="98" t="str">
        <f>IFERROR(__xludf.DUMMYFUNCTION("""COMPUTED_VALUE"""),"BA760477")</f>
        <v>BA760477</v>
      </c>
      <c r="H580" s="98" t="str">
        <f>IFERROR(__xludf.DUMMYFUNCTION("""COMPUTED_VALUE"""),"Client Want Return This Order")</f>
        <v>Client Want Return This Order</v>
      </c>
      <c r="I580" s="98" t="str">
        <f>IFERROR(__xludf.DUMMYFUNCTION("""COMPUTED_VALUE"""),"Thalawathugoda")</f>
        <v>Thalawathugoda</v>
      </c>
      <c r="J580" s="98" t="str">
        <f>IFERROR(__xludf.DUMMYFUNCTION("""COMPUTED_VALUE"""),"Delivered")</f>
        <v>Delivered</v>
      </c>
      <c r="K580" s="98" t="str">
        <f>IFERROR(__xludf.DUMMYFUNCTION("""COMPUTED_VALUE"""),"Branch Operations")</f>
        <v>Branch Operations</v>
      </c>
      <c r="L580" s="98" t="str">
        <f>IFERROR(__xludf.DUMMYFUNCTION("""COMPUTED_VALUE"""),"On Route")</f>
        <v>On Route</v>
      </c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>
      <c r="A581" s="82"/>
      <c r="B581" s="106" t="str">
        <f>IFERROR(__xludf.DUMMYFUNCTION("""COMPUTED_VALUE"""),"857")</f>
        <v>857</v>
      </c>
      <c r="C581" s="106" t="str">
        <f>IFERROR(__xludf.DUMMYFUNCTION("""COMPUTED_VALUE"""),"Umesha")</f>
        <v>Umesha</v>
      </c>
      <c r="D581" s="106" t="str">
        <f>IFERROR(__xludf.DUMMYFUNCTION("""COMPUTED_VALUE"""),"760053626")</f>
        <v>760053626</v>
      </c>
      <c r="E581" s="106" t="str">
        <f>IFERROR(__xludf.DUMMYFUNCTION("""COMPUTED_VALUE"""),"N")</f>
        <v>N</v>
      </c>
      <c r="F581" s="107" t="str">
        <f>IFERROR(__xludf.DUMMYFUNCTION("""COMPUTED_VALUE"""),"Netwave.Lk")</f>
        <v>Netwave.Lk</v>
      </c>
      <c r="G581" s="106" t="str">
        <f>IFERROR(__xludf.DUMMYFUNCTION("""COMPUTED_VALUE"""),"WD058645")</f>
        <v>WD058645</v>
      </c>
      <c r="H581" s="106" t="str">
        <f>IFERROR(__xludf.DUMMYFUNCTION("""COMPUTED_VALUE"""),"Customer Toldhe Will Pick Thje Parcel At Branch")</f>
        <v>Customer Toldhe Will Pick Thje Parcel At Branch</v>
      </c>
      <c r="I581" s="106" t="str">
        <f>IFERROR(__xludf.DUMMYFUNCTION("""COMPUTED_VALUE"""),"Ratmalana")</f>
        <v>Ratmalana</v>
      </c>
      <c r="J581" s="106" t="str">
        <f>IFERROR(__xludf.DUMMYFUNCTION("""COMPUTED_VALUE"""),"Delivered")</f>
        <v>Delivered</v>
      </c>
      <c r="K581" s="106" t="str">
        <f>IFERROR(__xludf.DUMMYFUNCTION("""COMPUTED_VALUE"""),"Customer Care")</f>
        <v>Customer Care</v>
      </c>
      <c r="L581" s="106" t="str">
        <f>IFERROR(__xludf.DUMMYFUNCTION("""COMPUTED_VALUE"""),"Call Transfer Domestic Department")</f>
        <v>Call Transfer Domestic Department</v>
      </c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>
      <c r="A582" s="82"/>
      <c r="B582" s="98" t="str">
        <f>IFERROR(__xludf.DUMMYFUNCTION("""COMPUTED_VALUE"""),"858")</f>
        <v>858</v>
      </c>
      <c r="C582" s="98" t="str">
        <f>IFERROR(__xludf.DUMMYFUNCTION("""COMPUTED_VALUE"""),"Mandari")</f>
        <v>Mandari</v>
      </c>
      <c r="D582" s="98" t="str">
        <f>IFERROR(__xludf.DUMMYFUNCTION("""COMPUTED_VALUE"""),"778749643")</f>
        <v>778749643</v>
      </c>
      <c r="E582" s="98" t="str">
        <f>IFERROR(__xludf.DUMMYFUNCTION("""COMPUTED_VALUE"""),"N")</f>
        <v>N</v>
      </c>
      <c r="F582" s="98" t="str">
        <f>IFERROR(__xludf.DUMMYFUNCTION("""COMPUTED_VALUE"""),"Infinity Woodstore")</f>
        <v>Infinity Woodstore</v>
      </c>
      <c r="G582" s="98" t="str">
        <f>IFERROR(__xludf.DUMMYFUNCTION("""COMPUTED_VALUE"""),"A3029315")</f>
        <v>A3029315</v>
      </c>
      <c r="H582" s="98" t="str">
        <f>IFERROR(__xludf.DUMMYFUNCTION("""COMPUTED_VALUE"""),"Urgent Today")</f>
        <v>Urgent Today</v>
      </c>
      <c r="I582" s="98" t="str">
        <f>IFERROR(__xludf.DUMMYFUNCTION("""COMPUTED_VALUE"""),"Kahatagasdigiliya")</f>
        <v>Kahatagasdigiliya</v>
      </c>
      <c r="J582" s="98" t="str">
        <f>IFERROR(__xludf.DUMMYFUNCTION("""COMPUTED_VALUE"""),"Out For Delivery")</f>
        <v>Out For Delivery</v>
      </c>
      <c r="K582" s="98" t="str">
        <f>IFERROR(__xludf.DUMMYFUNCTION("""COMPUTED_VALUE"""),"Customer Care")</f>
        <v>Customer Care</v>
      </c>
      <c r="L582" s="98" t="str">
        <f>IFERROR(__xludf.DUMMYFUNCTION("""COMPUTED_VALUE"""),"Check And Call Back")</f>
        <v>Check And Call Back</v>
      </c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>
      <c r="A583" s="82"/>
      <c r="B583" s="106" t="str">
        <f>IFERROR(__xludf.DUMMYFUNCTION("""COMPUTED_VALUE"""),"859")</f>
        <v>859</v>
      </c>
      <c r="C583" s="106" t="str">
        <f>IFERROR(__xludf.DUMMYFUNCTION("""COMPUTED_VALUE"""),"Lakshani")</f>
        <v>Lakshani</v>
      </c>
      <c r="D583" s="106" t="str">
        <f>IFERROR(__xludf.DUMMYFUNCTION("""COMPUTED_VALUE"""),"734539376")</f>
        <v>734539376</v>
      </c>
      <c r="E583" s="106" t="str">
        <f>IFERROR(__xludf.DUMMYFUNCTION("""COMPUTED_VALUE"""),"Y")</f>
        <v>Y</v>
      </c>
      <c r="F583" s="106" t="str">
        <f>IFERROR(__xludf.DUMMYFUNCTION("""COMPUTED_VALUE"""),"P &amp; S Help Investment Pvt(Ltd)")</f>
        <v>P &amp; S Help Investment Pvt(Ltd)</v>
      </c>
      <c r="G583" s="106" t="str">
        <f>IFERROR(__xludf.DUMMYFUNCTION("""COMPUTED_VALUE"""),"WD301133")</f>
        <v>WD301133</v>
      </c>
      <c r="H583" s="106" t="str">
        <f>IFERROR(__xludf.DUMMYFUNCTION("""COMPUTED_VALUE"""),"Asked Some Details")</f>
        <v>Asked Some Details</v>
      </c>
      <c r="I583" s="106" t="str">
        <f>IFERROR(__xludf.DUMMYFUNCTION("""COMPUTED_VALUE"""),"Mirigama")</f>
        <v>Mirigama</v>
      </c>
      <c r="J583" s="106" t="str">
        <f>IFERROR(__xludf.DUMMYFUNCTION("""COMPUTED_VALUE"""),"Returned To Branch Rescheduled")</f>
        <v>Returned To Branch Rescheduled</v>
      </c>
      <c r="K583" s="106" t="str">
        <f>IFERROR(__xludf.DUMMYFUNCTION("""COMPUTED_VALUE"""),"Customer Care")</f>
        <v>Customer Care</v>
      </c>
      <c r="L583" s="106" t="str">
        <f>IFERROR(__xludf.DUMMYFUNCTION("""COMPUTED_VALUE"""),"Call Transfer Domestic Department")</f>
        <v>Call Transfer Domestic Department</v>
      </c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>
      <c r="A584" s="82"/>
      <c r="B584" s="98" t="str">
        <f>IFERROR(__xludf.DUMMYFUNCTION("""COMPUTED_VALUE"""),"860")</f>
        <v>860</v>
      </c>
      <c r="C584" s="98" t="str">
        <f>IFERROR(__xludf.DUMMYFUNCTION("""COMPUTED_VALUE"""),"Malik")</f>
        <v>Malik</v>
      </c>
      <c r="D584" s="98" t="str">
        <f>IFERROR(__xludf.DUMMYFUNCTION("""COMPUTED_VALUE"""),"764260766")</f>
        <v>764260766</v>
      </c>
      <c r="E584" s="98" t="str">
        <f>IFERROR(__xludf.DUMMYFUNCTION("""COMPUTED_VALUE"""),"N")</f>
        <v>N</v>
      </c>
      <c r="F584" s="98" t="str">
        <f>IFERROR(__xludf.DUMMYFUNCTION("""COMPUTED_VALUE"""),"Royal Angels Online Business Pvt.Com")</f>
        <v>Royal Angels Online Business Pvt.Com</v>
      </c>
      <c r="G584" s="98" t="str">
        <f>IFERROR(__xludf.DUMMYFUNCTION("""COMPUTED_VALUE"""),"A4395705")</f>
        <v>A4395705</v>
      </c>
      <c r="H584" s="98" t="str">
        <f>IFERROR(__xludf.DUMMYFUNCTION("""COMPUTED_VALUE"""),"Customer Want Return This Package")</f>
        <v>Customer Want Return This Package</v>
      </c>
      <c r="I584" s="98" t="str">
        <f>IFERROR(__xludf.DUMMYFUNCTION("""COMPUTED_VALUE"""),"Embilipitiya")</f>
        <v>Embilipitiya</v>
      </c>
      <c r="J584" s="98" t="str">
        <f>IFERROR(__xludf.DUMMYFUNCTION("""COMPUTED_VALUE"""),"Processing")</f>
        <v>Processing</v>
      </c>
      <c r="K584" s="98" t="str">
        <f>IFERROR(__xludf.DUMMYFUNCTION("""COMPUTED_VALUE"""),"Branch Operations")</f>
        <v>Branch Operations</v>
      </c>
      <c r="L584" s="98" t="str">
        <f>IFERROR(__xludf.DUMMYFUNCTION("""COMPUTED_VALUE"""),"Info Branch")</f>
        <v>Info Branch</v>
      </c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>
      <c r="A585" s="82"/>
      <c r="B585" s="106" t="str">
        <f>IFERROR(__xludf.DUMMYFUNCTION("""COMPUTED_VALUE"""),"861")</f>
        <v>861</v>
      </c>
      <c r="C585" s="106" t="str">
        <f>IFERROR(__xludf.DUMMYFUNCTION("""COMPUTED_VALUE"""),"Jeni")</f>
        <v>Jeni</v>
      </c>
      <c r="D585" s="106" t="str">
        <f>IFERROR(__xludf.DUMMYFUNCTION("""COMPUTED_VALUE"""),"736185899")</f>
        <v>736185899</v>
      </c>
      <c r="E585" s="106" t="str">
        <f>IFERROR(__xludf.DUMMYFUNCTION("""COMPUTED_VALUE"""),"N")</f>
        <v>N</v>
      </c>
      <c r="F585" s="106" t="str">
        <f>IFERROR(__xludf.DUMMYFUNCTION("""COMPUTED_VALUE"""),"Win Lanka")</f>
        <v>Win Lanka</v>
      </c>
      <c r="G585" s="106" t="str">
        <f>IFERROR(__xludf.DUMMYFUNCTION("""COMPUTED_VALUE"""),"BE054464")</f>
        <v>BE054464</v>
      </c>
      <c r="H585" s="106" t="str">
        <f>IFERROR(__xludf.DUMMYFUNCTION("""COMPUTED_VALUE"""),"Re Delivery - 7/1")</f>
        <v>Re Delivery - 7/1</v>
      </c>
      <c r="I585" s="106" t="str">
        <f>IFERROR(__xludf.DUMMYFUNCTION("""COMPUTED_VALUE"""),"Kahawatta")</f>
        <v>Kahawatta</v>
      </c>
      <c r="J585" s="106" t="str">
        <f>IFERROR(__xludf.DUMMYFUNCTION("""COMPUTED_VALUE"""),"Received At Destination")</f>
        <v>Received At Destination</v>
      </c>
      <c r="K585" s="106" t="str">
        <f>IFERROR(__xludf.DUMMYFUNCTION("""COMPUTED_VALUE"""),"Branch Operations")</f>
        <v>Branch Operations</v>
      </c>
      <c r="L585" s="106" t="str">
        <f>IFERROR(__xludf.DUMMYFUNCTION("""COMPUTED_VALUE"""),"Informed Branch")</f>
        <v>Informed Branch</v>
      </c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>
      <c r="A586" s="82"/>
      <c r="B586" s="98" t="str">
        <f>IFERROR(__xludf.DUMMYFUNCTION("""COMPUTED_VALUE"""),"862")</f>
        <v>862</v>
      </c>
      <c r="C586" s="98" t="str">
        <f>IFERROR(__xludf.DUMMYFUNCTION("""COMPUTED_VALUE"""),"Jeni")</f>
        <v>Jeni</v>
      </c>
      <c r="D586" s="98" t="str">
        <f>IFERROR(__xludf.DUMMYFUNCTION("""COMPUTED_VALUE"""),"764470818")</f>
        <v>764470818</v>
      </c>
      <c r="E586" s="98" t="str">
        <f>IFERROR(__xludf.DUMMYFUNCTION("""COMPUTED_VALUE"""),"N")</f>
        <v>N</v>
      </c>
      <c r="F586" s="108" t="str">
        <f>IFERROR(__xludf.DUMMYFUNCTION("""COMPUTED_VALUE"""),"Plusmart.Lk")</f>
        <v>Plusmart.Lk</v>
      </c>
      <c r="G586" s="98" t="str">
        <f>IFERROR(__xludf.DUMMYFUNCTION("""COMPUTED_VALUE"""),"A4601910")</f>
        <v>A4601910</v>
      </c>
      <c r="H586" s="98" t="str">
        <f>IFERROR(__xludf.DUMMYFUNCTION("""COMPUTED_VALUE"""),"0756388317 - Re Delivery - 7/1")</f>
        <v>0756388317 - Re Delivery - 7/1</v>
      </c>
      <c r="I586" s="98" t="str">
        <f>IFERROR(__xludf.DUMMYFUNCTION("""COMPUTED_VALUE"""),"Ratmalana")</f>
        <v>Ratmalana</v>
      </c>
      <c r="J586" s="98" t="str">
        <f>IFERROR(__xludf.DUMMYFUNCTION("""COMPUTED_VALUE"""),"Returned To Branch Failed To Deliver")</f>
        <v>Returned To Branch Failed To Deliver</v>
      </c>
      <c r="K586" s="98" t="str">
        <f>IFERROR(__xludf.DUMMYFUNCTION("""COMPUTED_VALUE"""),"Branch Operations")</f>
        <v>Branch Operations</v>
      </c>
      <c r="L586" s="98" t="str">
        <f>IFERROR(__xludf.DUMMYFUNCTION("""COMPUTED_VALUE"""),"Done")</f>
        <v>Done</v>
      </c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>
      <c r="A587" s="82"/>
      <c r="B587" s="106" t="str">
        <f>IFERROR(__xludf.DUMMYFUNCTION("""COMPUTED_VALUE"""),"863")</f>
        <v>863</v>
      </c>
      <c r="C587" s="106" t="str">
        <f>IFERROR(__xludf.DUMMYFUNCTION("""COMPUTED_VALUE"""),"Jeni")</f>
        <v>Jeni</v>
      </c>
      <c r="D587" s="106" t="str">
        <f>IFERROR(__xludf.DUMMYFUNCTION("""COMPUTED_VALUE"""),"779449477")</f>
        <v>779449477</v>
      </c>
      <c r="E587" s="106" t="str">
        <f>IFERROR(__xludf.DUMMYFUNCTION("""COMPUTED_VALUE"""),"Y")</f>
        <v>Y</v>
      </c>
      <c r="F587" s="106" t="str">
        <f>IFERROR(__xludf.DUMMYFUNCTION("""COMPUTED_VALUE"""),"Faith Store")</f>
        <v>Faith Store</v>
      </c>
      <c r="G587" s="106" t="str">
        <f>IFERROR(__xludf.DUMMYFUNCTION("""COMPUTED_VALUE"""),"A4432025")</f>
        <v>A4432025</v>
      </c>
      <c r="H587" s="106" t="str">
        <f>IFERROR(__xludf.DUMMYFUNCTION("""COMPUTED_VALUE"""),"Tamil Call")</f>
        <v>Tamil Call</v>
      </c>
      <c r="I587" s="106" t="str">
        <f>IFERROR(__xludf.DUMMYFUNCTION("""COMPUTED_VALUE"""),"Ambalangoda")</f>
        <v>Ambalangoda</v>
      </c>
      <c r="J587" s="106" t="str">
        <f>IFERROR(__xludf.DUMMYFUNCTION("""COMPUTED_VALUE"""),"Received At Destination")</f>
        <v>Received At Destination</v>
      </c>
      <c r="K587" s="106" t="str">
        <f>IFERROR(__xludf.DUMMYFUNCTION("""COMPUTED_VALUE"""),"Customer Care")</f>
        <v>Customer Care</v>
      </c>
      <c r="L587" s="106" t="str">
        <f>IFERROR(__xludf.DUMMYFUNCTION("""COMPUTED_VALUE"""),"Line Disconnected")</f>
        <v>Line Disconnected</v>
      </c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>
      <c r="A588" s="82"/>
      <c r="B588" s="98" t="str">
        <f>IFERROR(__xludf.DUMMYFUNCTION("""COMPUTED_VALUE"""),"864")</f>
        <v>864</v>
      </c>
      <c r="C588" s="98" t="str">
        <f>IFERROR(__xludf.DUMMYFUNCTION("""COMPUTED_VALUE"""),"Umesha")</f>
        <v>Umesha</v>
      </c>
      <c r="D588" s="98" t="str">
        <f>IFERROR(__xludf.DUMMYFUNCTION("""COMPUTED_VALUE"""),"778839082")</f>
        <v>778839082</v>
      </c>
      <c r="E588" s="98" t="str">
        <f>IFERROR(__xludf.DUMMYFUNCTION("""COMPUTED_VALUE"""),"Y")</f>
        <v>Y</v>
      </c>
      <c r="F588" s="98" t="str">
        <f>IFERROR(__xludf.DUMMYFUNCTION("""COMPUTED_VALUE"""),"Cool Stuff")</f>
        <v>Cool Stuff</v>
      </c>
      <c r="G588" s="98" t="str">
        <f>IFERROR(__xludf.DUMMYFUNCTION("""COMPUTED_VALUE"""),"BA778333")</f>
        <v>BA778333</v>
      </c>
      <c r="H588" s="98" t="str">
        <f>IFERROR(__xludf.DUMMYFUNCTION("""COMPUTED_VALUE"""),"Re Deliver")</f>
        <v>Re Deliver</v>
      </c>
      <c r="I588" s="98" t="str">
        <f>IFERROR(__xludf.DUMMYFUNCTION("""COMPUTED_VALUE"""),"Negombo")</f>
        <v>Negombo</v>
      </c>
      <c r="J588" s="98" t="str">
        <f>IFERROR(__xludf.DUMMYFUNCTION("""COMPUTED_VALUE"""),"Out For Delivery")</f>
        <v>Out For Delivery</v>
      </c>
      <c r="K588" s="98" t="str">
        <f>IFERROR(__xludf.DUMMYFUNCTION("""COMPUTED_VALUE"""),"Customer Care")</f>
        <v>Customer Care</v>
      </c>
      <c r="L588" s="98" t="str">
        <f>IFERROR(__xludf.DUMMYFUNCTION("""COMPUTED_VALUE"""),"Given Number")</f>
        <v>Given Number</v>
      </c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>
      <c r="A589" s="82"/>
      <c r="B589" s="106" t="str">
        <f>IFERROR(__xludf.DUMMYFUNCTION("""COMPUTED_VALUE"""),"865")</f>
        <v>865</v>
      </c>
      <c r="C589" s="106" t="str">
        <f>IFERROR(__xludf.DUMMYFUNCTION("""COMPUTED_VALUE"""),"Lakshani")</f>
        <v>Lakshani</v>
      </c>
      <c r="D589" s="106" t="str">
        <f>IFERROR(__xludf.DUMMYFUNCTION("""COMPUTED_VALUE"""),"768804852")</f>
        <v>768804852</v>
      </c>
      <c r="E589" s="106" t="str">
        <f>IFERROR(__xludf.DUMMYFUNCTION("""COMPUTED_VALUE"""),"N")</f>
        <v>N</v>
      </c>
      <c r="F589" s="106" t="str">
        <f>IFERROR(__xludf.DUMMYFUNCTION("""COMPUTED_VALUE"""),"Aishwarya Cosmetics")</f>
        <v>Aishwarya Cosmetics</v>
      </c>
      <c r="G589" s="106" t="str">
        <f>IFERROR(__xludf.DUMMYFUNCTION("""COMPUTED_VALUE"""),"A3929133")</f>
        <v>A3929133</v>
      </c>
      <c r="H589" s="106" t="str">
        <f>IFERROR(__xludf.DUMMYFUNCTION("""COMPUTED_VALUE"""),"Re Deliver")</f>
        <v>Re Deliver</v>
      </c>
      <c r="I589" s="106" t="str">
        <f>IFERROR(__xludf.DUMMYFUNCTION("""COMPUTED_VALUE"""),"Homagama")</f>
        <v>Homagama</v>
      </c>
      <c r="J589" s="106" t="str">
        <f>IFERROR(__xludf.DUMMYFUNCTION("""COMPUTED_VALUE"""),"Returned To Branch Rescheduled")</f>
        <v>Returned To Branch Rescheduled</v>
      </c>
      <c r="K589" s="106" t="str">
        <f>IFERROR(__xludf.DUMMYFUNCTION("""COMPUTED_VALUE"""),"Branch Operations")</f>
        <v>Branch Operations</v>
      </c>
      <c r="L589" s="106" t="str">
        <f>IFERROR(__xludf.DUMMYFUNCTION("""COMPUTED_VALUE"""),"Done")</f>
        <v>Done</v>
      </c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>
      <c r="A590" s="82"/>
      <c r="B590" s="98" t="str">
        <f>IFERROR(__xludf.DUMMYFUNCTION("""COMPUTED_VALUE"""),"866")</f>
        <v>866</v>
      </c>
      <c r="C590" s="98" t="str">
        <f>IFERROR(__xludf.DUMMYFUNCTION("""COMPUTED_VALUE"""),"Jeni")</f>
        <v>Jeni</v>
      </c>
      <c r="D590" s="98" t="str">
        <f>IFERROR(__xludf.DUMMYFUNCTION("""COMPUTED_VALUE"""),"707777289")</f>
        <v>707777289</v>
      </c>
      <c r="E590" s="98" t="str">
        <f>IFERROR(__xludf.DUMMYFUNCTION("""COMPUTED_VALUE"""),"Y")</f>
        <v>Y</v>
      </c>
      <c r="F590" s="98" t="str">
        <f>IFERROR(__xludf.DUMMYFUNCTION("""COMPUTED_VALUE"""),"Neth Fashion Clothing")</f>
        <v>Neth Fashion Clothing</v>
      </c>
      <c r="G590" s="98" t="str">
        <f>IFERROR(__xludf.DUMMYFUNCTION("""COMPUTED_VALUE"""),"BE083066")</f>
        <v>BE083066</v>
      </c>
      <c r="H590" s="98" t="str">
        <f>IFERROR(__xludf.DUMMYFUNCTION("""COMPUTED_VALUE"""),"Re Delivery 4/7/2026 - Customer Confirmed")</f>
        <v>Re Delivery 4/7/2026 - Customer Confirmed</v>
      </c>
      <c r="I590" s="98" t="str">
        <f>IFERROR(__xludf.DUMMYFUNCTION("""COMPUTED_VALUE"""),"Pilimathlawa")</f>
        <v>Pilimathlawa</v>
      </c>
      <c r="J590" s="98" t="str">
        <f>IFERROR(__xludf.DUMMYFUNCTION("""COMPUTED_VALUE"""),"Delivered")</f>
        <v>Delivered</v>
      </c>
      <c r="K590" s="98" t="str">
        <f>IFERROR(__xludf.DUMMYFUNCTION("""COMPUTED_VALUE"""),"Branch Operations")</f>
        <v>Branch Operations</v>
      </c>
      <c r="L590" s="98" t="str">
        <f>IFERROR(__xludf.DUMMYFUNCTION("""COMPUTED_VALUE"""),"Damage Item")</f>
        <v>Damage Item</v>
      </c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>
      <c r="A591" s="82"/>
      <c r="B591" s="106" t="str">
        <f>IFERROR(__xludf.DUMMYFUNCTION("""COMPUTED_VALUE"""),"867")</f>
        <v>867</v>
      </c>
      <c r="C591" s="106" t="str">
        <f>IFERROR(__xludf.DUMMYFUNCTION("""COMPUTED_VALUE"""),"Lakshani")</f>
        <v>Lakshani</v>
      </c>
      <c r="D591" s="106" t="str">
        <f>IFERROR(__xludf.DUMMYFUNCTION("""COMPUTED_VALUE"""),"772090963")</f>
        <v>772090963</v>
      </c>
      <c r="E591" s="106" t="str">
        <f>IFERROR(__xludf.DUMMYFUNCTION("""COMPUTED_VALUE"""),"Y")</f>
        <v>Y</v>
      </c>
      <c r="F591" s="106" t="str">
        <f>IFERROR(__xludf.DUMMYFUNCTION("""COMPUTED_VALUE"""),"Win Lanka")</f>
        <v>Win Lanka</v>
      </c>
      <c r="G591" s="106" t="str">
        <f>IFERROR(__xludf.DUMMYFUNCTION("""COMPUTED_VALUE"""),"A4470093")</f>
        <v>A4470093</v>
      </c>
      <c r="H591" s="106" t="str">
        <f>IFERROR(__xludf.DUMMYFUNCTION("""COMPUTED_VALUE"""),"Tamil")</f>
        <v>Tamil</v>
      </c>
      <c r="I591" s="106" t="str">
        <f>IFERROR(__xludf.DUMMYFUNCTION("""COMPUTED_VALUE"""),"Nittambuwa")</f>
        <v>Nittambuwa</v>
      </c>
      <c r="J591" s="106" t="str">
        <f>IFERROR(__xludf.DUMMYFUNCTION("""COMPUTED_VALUE"""),"Received At Destination")</f>
        <v>Received At Destination</v>
      </c>
      <c r="K591" s="106" t="str">
        <f>IFERROR(__xludf.DUMMYFUNCTION("""COMPUTED_VALUE"""),"Customer Care")</f>
        <v>Customer Care</v>
      </c>
      <c r="L591" s="106" t="str">
        <f>IFERROR(__xludf.DUMMYFUNCTION("""COMPUTED_VALUE"""),"Informed Branch")</f>
        <v>Informed Branch</v>
      </c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>
      <c r="A592" s="82"/>
      <c r="B592" s="98" t="str">
        <f>IFERROR(__xludf.DUMMYFUNCTION("""COMPUTED_VALUE"""),"868")</f>
        <v>868</v>
      </c>
      <c r="C592" s="98" t="str">
        <f>IFERROR(__xludf.DUMMYFUNCTION("""COMPUTED_VALUE"""),"Jeni")</f>
        <v>Jeni</v>
      </c>
      <c r="D592" s="98" t="str">
        <f>IFERROR(__xludf.DUMMYFUNCTION("""COMPUTED_VALUE"""),"776059873")</f>
        <v>776059873</v>
      </c>
      <c r="E592" s="98" t="str">
        <f>IFERROR(__xludf.DUMMYFUNCTION("""COMPUTED_VALUE"""),"Y")</f>
        <v>Y</v>
      </c>
      <c r="F592" s="98" t="str">
        <f>IFERROR(__xludf.DUMMYFUNCTION("""COMPUTED_VALUE"""),"Hemadema Aduwata.Lk")</f>
        <v>Hemadema Aduwata.Lk</v>
      </c>
      <c r="G592" s="98" t="str">
        <f>IFERROR(__xludf.DUMMYFUNCTION("""COMPUTED_VALUE"""),"BA771156")</f>
        <v>BA771156</v>
      </c>
      <c r="H592" s="98" t="str">
        <f>IFERROR(__xludf.DUMMYFUNCTION("""COMPUTED_VALUE"""),"Customer Want Return This Package")</f>
        <v>Customer Want Return This Package</v>
      </c>
      <c r="I592" s="98" t="str">
        <f>IFERROR(__xludf.DUMMYFUNCTION("""COMPUTED_VALUE"""),"Kahatagasdigiliya")</f>
        <v>Kahatagasdigiliya</v>
      </c>
      <c r="J592" s="98" t="str">
        <f>IFERROR(__xludf.DUMMYFUNCTION("""COMPUTED_VALUE"""),"Returned To Branch Failed To Deliver")</f>
        <v>Returned To Branch Failed To Deliver</v>
      </c>
      <c r="K592" s="98" t="str">
        <f>IFERROR(__xludf.DUMMYFUNCTION("""COMPUTED_VALUE"""),"Branch Operations")</f>
        <v>Branch Operations</v>
      </c>
      <c r="L592" s="98" t="str">
        <f>IFERROR(__xludf.DUMMYFUNCTION("""COMPUTED_VALUE"""),"Still Not Received Branch")</f>
        <v>Still Not Received Branch</v>
      </c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>
      <c r="A593" s="82"/>
      <c r="B593" s="106" t="str">
        <f>IFERROR(__xludf.DUMMYFUNCTION("""COMPUTED_VALUE"""),"869")</f>
        <v>869</v>
      </c>
      <c r="C593" s="106" t="str">
        <f>IFERROR(__xludf.DUMMYFUNCTION("""COMPUTED_VALUE"""),"Lakshani")</f>
        <v>Lakshani</v>
      </c>
      <c r="D593" s="106" t="str">
        <f>IFERROR(__xludf.DUMMYFUNCTION("""COMPUTED_VALUE"""),"705130700")</f>
        <v>705130700</v>
      </c>
      <c r="E593" s="106" t="str">
        <f>IFERROR(__xludf.DUMMYFUNCTION("""COMPUTED_VALUE"""),"N")</f>
        <v>N</v>
      </c>
      <c r="F593" s="106" t="str">
        <f>IFERROR(__xludf.DUMMYFUNCTION("""COMPUTED_VALUE"""),"Neth Fashion Clothing")</f>
        <v>Neth Fashion Clothing</v>
      </c>
      <c r="G593" s="106" t="str">
        <f>IFERROR(__xludf.DUMMYFUNCTION("""COMPUTED_VALUE"""),"BE112942")</f>
        <v>BE112942</v>
      </c>
      <c r="H593" s="106" t="str">
        <f>IFERROR(__xludf.DUMMYFUNCTION("""COMPUTED_VALUE"""),"Re Deliver")</f>
        <v>Re Deliver</v>
      </c>
      <c r="I593" s="106" t="str">
        <f>IFERROR(__xludf.DUMMYFUNCTION("""COMPUTED_VALUE"""),"Embilipitiya")</f>
        <v>Embilipitiya</v>
      </c>
      <c r="J593" s="106" t="str">
        <f>IFERROR(__xludf.DUMMYFUNCTION("""COMPUTED_VALUE"""),"Returned To Branch Rescheduled")</f>
        <v>Returned To Branch Rescheduled</v>
      </c>
      <c r="K593" s="106" t="str">
        <f>IFERROR(__xludf.DUMMYFUNCTION("""COMPUTED_VALUE"""),"Customer Care")</f>
        <v>Customer Care</v>
      </c>
      <c r="L593" s="106" t="str">
        <f>IFERROR(__xludf.DUMMYFUNCTION("""COMPUTED_VALUE"""),"Informed Branch")</f>
        <v>Informed Branch</v>
      </c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>
      <c r="A594" s="82"/>
      <c r="B594" s="98" t="str">
        <f>IFERROR(__xludf.DUMMYFUNCTION("""COMPUTED_VALUE"""),"870")</f>
        <v>870</v>
      </c>
      <c r="C594" s="98" t="str">
        <f>IFERROR(__xludf.DUMMYFUNCTION("""COMPUTED_VALUE"""),"Malik")</f>
        <v>Malik</v>
      </c>
      <c r="D594" s="98" t="str">
        <f>IFERROR(__xludf.DUMMYFUNCTION("""COMPUTED_VALUE"""),"743530160")</f>
        <v>743530160</v>
      </c>
      <c r="E594" s="98" t="str">
        <f>IFERROR(__xludf.DUMMYFUNCTION("""COMPUTED_VALUE"""),"N")</f>
        <v>N</v>
      </c>
      <c r="F594" s="108" t="str">
        <f>IFERROR(__xludf.DUMMYFUNCTION("""COMPUTED_VALUE"""),"Plusmart.Lk")</f>
        <v>Plusmart.Lk</v>
      </c>
      <c r="G594" s="98" t="str">
        <f>IFERROR(__xludf.DUMMYFUNCTION("""COMPUTED_VALUE"""),"90060089")</f>
        <v>90060089</v>
      </c>
      <c r="H594" s="98" t="str">
        <f>IFERROR(__xludf.DUMMYFUNCTION("""COMPUTED_VALUE"""),"Still Processing")</f>
        <v>Still Processing</v>
      </c>
      <c r="I594" s="98" t="str">
        <f>IFERROR(__xludf.DUMMYFUNCTION("""COMPUTED_VALUE"""),"Ratnapura")</f>
        <v>Ratnapura</v>
      </c>
      <c r="J594" s="98" t="str">
        <f>IFERROR(__xludf.DUMMYFUNCTION("""COMPUTED_VALUE"""),"Out For Delivery")</f>
        <v>Out For Delivery</v>
      </c>
      <c r="K594" s="98" t="str">
        <f>IFERROR(__xludf.DUMMYFUNCTION("""COMPUTED_VALUE"""),"Return")</f>
        <v>Return</v>
      </c>
      <c r="L594" s="98" t="str">
        <f>IFERROR(__xludf.DUMMYFUNCTION("""COMPUTED_VALUE"""),"Informed Branch")</f>
        <v>Informed Branch</v>
      </c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>
      <c r="A595" s="82"/>
      <c r="B595" s="106" t="str">
        <f>IFERROR(__xludf.DUMMYFUNCTION("""COMPUTED_VALUE"""),"871")</f>
        <v>871</v>
      </c>
      <c r="C595" s="106" t="str">
        <f>IFERROR(__xludf.DUMMYFUNCTION("""COMPUTED_VALUE"""),"Mandari")</f>
        <v>Mandari</v>
      </c>
      <c r="D595" s="106" t="str">
        <f>IFERROR(__xludf.DUMMYFUNCTION("""COMPUTED_VALUE"""),"770444584")</f>
        <v>770444584</v>
      </c>
      <c r="E595" s="106" t="str">
        <f>IFERROR(__xludf.DUMMYFUNCTION("""COMPUTED_VALUE"""),"N")</f>
        <v>N</v>
      </c>
      <c r="F595" s="106" t="str">
        <f>IFERROR(__xludf.DUMMYFUNCTION("""COMPUTED_VALUE"""),"Sahasra Team")</f>
        <v>Sahasra Team</v>
      </c>
      <c r="G595" s="106" t="str">
        <f>IFERROR(__xludf.DUMMYFUNCTION("""COMPUTED_VALUE"""),"BD902615")</f>
        <v>BD902615</v>
      </c>
      <c r="H595" s="106" t="str">
        <f>IFERROR(__xludf.DUMMYFUNCTION("""COMPUTED_VALUE"""),"Re Deliver")</f>
        <v>Re Deliver</v>
      </c>
      <c r="I595" s="106" t="str">
        <f>IFERROR(__xludf.DUMMYFUNCTION("""COMPUTED_VALUE"""),"Ratmalana")</f>
        <v>Ratmalana</v>
      </c>
      <c r="J595" s="106" t="str">
        <f>IFERROR(__xludf.DUMMYFUNCTION("""COMPUTED_VALUE"""),"Returned To Branch Rescheduled")</f>
        <v>Returned To Branch Rescheduled</v>
      </c>
      <c r="K595" s="106" t="str">
        <f>IFERROR(__xludf.DUMMYFUNCTION("""COMPUTED_VALUE"""),"Branch Operations")</f>
        <v>Branch Operations</v>
      </c>
      <c r="L595" s="106" t="str">
        <f>IFERROR(__xludf.DUMMYFUNCTION("""COMPUTED_VALUE"""),"Transfer Call")</f>
        <v>Transfer Call</v>
      </c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>
      <c r="A596" s="82"/>
      <c r="B596" s="98" t="str">
        <f>IFERROR(__xludf.DUMMYFUNCTION("""COMPUTED_VALUE"""),"872")</f>
        <v>872</v>
      </c>
      <c r="C596" s="98" t="str">
        <f>IFERROR(__xludf.DUMMYFUNCTION("""COMPUTED_VALUE"""),"Lakshani")</f>
        <v>Lakshani</v>
      </c>
      <c r="D596" s="98" t="str">
        <f>IFERROR(__xludf.DUMMYFUNCTION("""COMPUTED_VALUE"""),"787147221")</f>
        <v>787147221</v>
      </c>
      <c r="E596" s="98" t="str">
        <f>IFERROR(__xludf.DUMMYFUNCTION("""COMPUTED_VALUE"""),"N")</f>
        <v>N</v>
      </c>
      <c r="F596" s="98" t="str">
        <f>IFERROR(__xludf.DUMMYFUNCTION("""COMPUTED_VALUE"""),"Sippi Clothing")</f>
        <v>Sippi Clothing</v>
      </c>
      <c r="G596" s="98" t="str">
        <f>IFERROR(__xludf.DUMMYFUNCTION("""COMPUTED_VALUE"""),"BA772017")</f>
        <v>BA772017</v>
      </c>
      <c r="H596" s="98" t="str">
        <f>IFERROR(__xludf.DUMMYFUNCTION("""COMPUTED_VALUE"""),"Re Deliver")</f>
        <v>Re Deliver</v>
      </c>
      <c r="I596" s="98" t="str">
        <f>IFERROR(__xludf.DUMMYFUNCTION("""COMPUTED_VALUE"""),"Ja-Ela")</f>
        <v>Ja-Ela</v>
      </c>
      <c r="J596" s="98" t="str">
        <f>IFERROR(__xludf.DUMMYFUNCTION("""COMPUTED_VALUE"""),"Out For Delivery")</f>
        <v>Out For Delivery</v>
      </c>
      <c r="K596" s="98" t="str">
        <f>IFERROR(__xludf.DUMMYFUNCTION("""COMPUTED_VALUE"""),"Customer Care")</f>
        <v>Customer Care</v>
      </c>
      <c r="L596" s="98" t="str">
        <f>IFERROR(__xludf.DUMMYFUNCTION("""COMPUTED_VALUE"""),"Informed Genzo Nethmi")</f>
        <v>Informed Genzo Nethmi</v>
      </c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>
      <c r="A597" s="82"/>
      <c r="B597" s="106" t="str">
        <f>IFERROR(__xludf.DUMMYFUNCTION("""COMPUTED_VALUE"""),"873")</f>
        <v>873</v>
      </c>
      <c r="C597" s="106" t="str">
        <f>IFERROR(__xludf.DUMMYFUNCTION("""COMPUTED_VALUE"""),"Umesha")</f>
        <v>Umesha</v>
      </c>
      <c r="D597" s="106" t="str">
        <f>IFERROR(__xludf.DUMMYFUNCTION("""COMPUTED_VALUE"""),"715245677")</f>
        <v>715245677</v>
      </c>
      <c r="E597" s="106" t="str">
        <f>IFERROR(__xludf.DUMMYFUNCTION("""COMPUTED_VALUE"""),"N")</f>
        <v>N</v>
      </c>
      <c r="F597" s="106" t="str">
        <f>IFERROR(__xludf.DUMMYFUNCTION("""COMPUTED_VALUE"""),"Manjistha Hair Oil")</f>
        <v>Manjistha Hair Oil</v>
      </c>
      <c r="G597" s="106" t="str">
        <f>IFERROR(__xludf.DUMMYFUNCTION("""COMPUTED_VALUE"""),"BE045569")</f>
        <v>BE045569</v>
      </c>
      <c r="H597" s="106" t="str">
        <f>IFERROR(__xludf.DUMMYFUNCTION("""COMPUTED_VALUE"""),"New Registration")</f>
        <v>New Registration</v>
      </c>
      <c r="I597" s="106" t="str">
        <f>IFERROR(__xludf.DUMMYFUNCTION("""COMPUTED_VALUE"""),"Kegalle")</f>
        <v>Kegalle</v>
      </c>
      <c r="J597" s="106" t="str">
        <f>IFERROR(__xludf.DUMMYFUNCTION("""COMPUTED_VALUE"""),"Returned To Branch Rescheduled")</f>
        <v>Returned To Branch Rescheduled</v>
      </c>
      <c r="K597" s="106" t="str">
        <f>IFERROR(__xludf.DUMMYFUNCTION("""COMPUTED_VALUE"""),"Branch Operations")</f>
        <v>Branch Operations</v>
      </c>
      <c r="L597" s="106" t="str">
        <f>IFERROR(__xludf.DUMMYFUNCTION("""COMPUTED_VALUE"""),"Informed Branch")</f>
        <v>Informed Branch</v>
      </c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>
      <c r="A598" s="82"/>
      <c r="B598" s="98" t="str">
        <f>IFERROR(__xludf.DUMMYFUNCTION("""COMPUTED_VALUE"""),"874")</f>
        <v>874</v>
      </c>
      <c r="C598" s="98" t="str">
        <f>IFERROR(__xludf.DUMMYFUNCTION("""COMPUTED_VALUE"""),"Jeni")</f>
        <v>Jeni</v>
      </c>
      <c r="D598" s="98" t="str">
        <f>IFERROR(__xludf.DUMMYFUNCTION("""COMPUTED_VALUE"""),"710513897")</f>
        <v>710513897</v>
      </c>
      <c r="E598" s="98" t="str">
        <f>IFERROR(__xludf.DUMMYFUNCTION("""COMPUTED_VALUE"""),"N")</f>
        <v>N</v>
      </c>
      <c r="F598" s="98" t="str">
        <f>IFERROR(__xludf.DUMMYFUNCTION("""COMPUTED_VALUE"""),"The Perfume Stories")</f>
        <v>The Perfume Stories</v>
      </c>
      <c r="G598" s="98" t="str">
        <f>IFERROR(__xludf.DUMMYFUNCTION("""COMPUTED_VALUE"""),"BE082366")</f>
        <v>BE082366</v>
      </c>
      <c r="H598" s="98" t="str">
        <f>IFERROR(__xludf.DUMMYFUNCTION("""COMPUTED_VALUE"""),"Req Jeni")</f>
        <v>Req Jeni</v>
      </c>
      <c r="I598" s="98" t="str">
        <f>IFERROR(__xludf.DUMMYFUNCTION("""COMPUTED_VALUE"""),"Homagama")</f>
        <v>Homagama</v>
      </c>
      <c r="J598" s="98" t="str">
        <f>IFERROR(__xludf.DUMMYFUNCTION("""COMPUTED_VALUE"""),"Delivered")</f>
        <v>Delivered</v>
      </c>
      <c r="K598" s="98" t="str">
        <f>IFERROR(__xludf.DUMMYFUNCTION("""COMPUTED_VALUE"""),"Customer Care")</f>
        <v>Customer Care</v>
      </c>
      <c r="L598" s="98" t="str">
        <f>IFERROR(__xludf.DUMMYFUNCTION("""COMPUTED_VALUE"""),"Informed Malik")</f>
        <v>Informed Malik</v>
      </c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>
      <c r="A599" s="82"/>
      <c r="B599" s="106" t="str">
        <f>IFERROR(__xludf.DUMMYFUNCTION("""COMPUTED_VALUE"""),"875")</f>
        <v>875</v>
      </c>
      <c r="C599" s="106" t="str">
        <f>IFERROR(__xludf.DUMMYFUNCTION("""COMPUTED_VALUE"""),"Umesha")</f>
        <v>Umesha</v>
      </c>
      <c r="D599" s="106" t="str">
        <f>IFERROR(__xludf.DUMMYFUNCTION("""COMPUTED_VALUE"""),"715245677")</f>
        <v>715245677</v>
      </c>
      <c r="E599" s="106" t="str">
        <f>IFERROR(__xludf.DUMMYFUNCTION("""COMPUTED_VALUE"""),"Y")</f>
        <v>Y</v>
      </c>
      <c r="F599" s="106" t="str">
        <f>IFERROR(__xludf.DUMMYFUNCTION("""COMPUTED_VALUE"""),"Royal Angels Online Business Pvt.Com")</f>
        <v>Royal Angels Online Business Pvt.Com</v>
      </c>
      <c r="G599" s="106" t="str">
        <f>IFERROR(__xludf.DUMMYFUNCTION("""COMPUTED_VALUE"""),"A4431757")</f>
        <v>A4431757</v>
      </c>
      <c r="H599" s="106" t="str">
        <f>IFERROR(__xludf.DUMMYFUNCTION("""COMPUTED_VALUE"""),"Tamil Call")</f>
        <v>Tamil Call</v>
      </c>
      <c r="I599" s="106" t="str">
        <f>IFERROR(__xludf.DUMMYFUNCTION("""COMPUTED_VALUE"""),"Maradana")</f>
        <v>Maradana</v>
      </c>
      <c r="J599" s="106" t="str">
        <f>IFERROR(__xludf.DUMMYFUNCTION("""COMPUTED_VALUE"""),"Dispatched To Destination")</f>
        <v>Dispatched To Destination</v>
      </c>
      <c r="K599" s="106" t="str">
        <f>IFERROR(__xludf.DUMMYFUNCTION("""COMPUTED_VALUE"""),"Branch Operations")</f>
        <v>Branch Operations</v>
      </c>
      <c r="L599" s="106" t="str">
        <f>IFERROR(__xludf.DUMMYFUNCTION("""COMPUTED_VALUE"""),"Informed Branch")</f>
        <v>Informed Branch</v>
      </c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>
      <c r="A600" s="82"/>
      <c r="B600" s="98" t="str">
        <f>IFERROR(__xludf.DUMMYFUNCTION("""COMPUTED_VALUE"""),"876")</f>
        <v>876</v>
      </c>
      <c r="C600" s="98" t="str">
        <f>IFERROR(__xludf.DUMMYFUNCTION("""COMPUTED_VALUE"""),"Umesha")</f>
        <v>Umesha</v>
      </c>
      <c r="D600" s="98" t="str">
        <f>IFERROR(__xludf.DUMMYFUNCTION("""COMPUTED_VALUE"""),"755457210")</f>
        <v>755457210</v>
      </c>
      <c r="E600" s="98" t="str">
        <f>IFERROR(__xludf.DUMMYFUNCTION("""COMPUTED_VALUE"""),"Y")</f>
        <v>Y</v>
      </c>
      <c r="F600" s="98" t="str">
        <f>IFERROR(__xludf.DUMMYFUNCTION("""COMPUTED_VALUE"""),"Swasthi")</f>
        <v>Swasthi</v>
      </c>
      <c r="G600" s="98" t="str">
        <f>IFERROR(__xludf.DUMMYFUNCTION("""COMPUTED_VALUE"""),"A4600825")</f>
        <v>A4600825</v>
      </c>
      <c r="H600" s="98" t="str">
        <f>IFERROR(__xludf.DUMMYFUNCTION("""COMPUTED_VALUE"""),"Re Deliver")</f>
        <v>Re Deliver</v>
      </c>
      <c r="I600" s="98" t="str">
        <f>IFERROR(__xludf.DUMMYFUNCTION("""COMPUTED_VALUE"""),"Negombo")</f>
        <v>Negombo</v>
      </c>
      <c r="J600" s="98" t="str">
        <f>IFERROR(__xludf.DUMMYFUNCTION("""COMPUTED_VALUE"""),"Delivered")</f>
        <v>Delivered</v>
      </c>
      <c r="K600" s="98" t="str">
        <f>IFERROR(__xludf.DUMMYFUNCTION("""COMPUTED_VALUE"""),"Return")</f>
        <v>Return</v>
      </c>
      <c r="L600" s="98" t="str">
        <f>IFERROR(__xludf.DUMMYFUNCTION("""COMPUTED_VALUE"""),"Details Given")</f>
        <v>Details Given</v>
      </c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>
      <c r="A601" s="82"/>
      <c r="B601" s="106" t="str">
        <f>IFERROR(__xludf.DUMMYFUNCTION("""COMPUTED_VALUE"""),"877")</f>
        <v>877</v>
      </c>
      <c r="C601" s="106" t="str">
        <f>IFERROR(__xludf.DUMMYFUNCTION("""COMPUTED_VALUE"""),"Jeni")</f>
        <v>Jeni</v>
      </c>
      <c r="D601" s="106" t="str">
        <f>IFERROR(__xludf.DUMMYFUNCTION("""COMPUTED_VALUE"""),"761051545")</f>
        <v>761051545</v>
      </c>
      <c r="E601" s="106" t="str">
        <f>IFERROR(__xludf.DUMMYFUNCTION("""COMPUTED_VALUE"""),"N")</f>
        <v>N</v>
      </c>
      <c r="F601" s="106" t="str">
        <f>IFERROR(__xludf.DUMMYFUNCTION("""COMPUTED_VALUE"""),"Thiyora Boutique")</f>
        <v>Thiyora Boutique</v>
      </c>
      <c r="G601" s="106" t="str">
        <f>IFERROR(__xludf.DUMMYFUNCTION("""COMPUTED_VALUE"""),"A4409255")</f>
        <v>A4409255</v>
      </c>
      <c r="H601" s="106" t="str">
        <f>IFERROR(__xludf.DUMMYFUNCTION("""COMPUTED_VALUE"""),"Arrange The Package")</f>
        <v>Arrange The Package</v>
      </c>
      <c r="I601" s="106" t="str">
        <f>IFERROR(__xludf.DUMMYFUNCTION("""COMPUTED_VALUE"""),"Colombo Metro")</f>
        <v>Colombo Metro</v>
      </c>
      <c r="J601" s="106" t="str">
        <f>IFERROR(__xludf.DUMMYFUNCTION("""COMPUTED_VALUE"""),"Returned To Client")</f>
        <v>Returned To Client</v>
      </c>
      <c r="K601" s="106" t="str">
        <f>IFERROR(__xludf.DUMMYFUNCTION("""COMPUTED_VALUE"""),"Customer Care")</f>
        <v>Customer Care</v>
      </c>
      <c r="L601" s="106" t="str">
        <f>IFERROR(__xludf.DUMMYFUNCTION("""COMPUTED_VALUE"""),"Informed Branch Number Via A Whatsapp")</f>
        <v>Informed Branch Number Via A Whatsapp</v>
      </c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>
      <c r="A602" s="82"/>
      <c r="B602" s="98" t="str">
        <f>IFERROR(__xludf.DUMMYFUNCTION("""COMPUTED_VALUE"""),"878")</f>
        <v>878</v>
      </c>
      <c r="C602" s="98" t="str">
        <f>IFERROR(__xludf.DUMMYFUNCTION("""COMPUTED_VALUE"""),"Jeni")</f>
        <v>Jeni</v>
      </c>
      <c r="D602" s="98" t="str">
        <f>IFERROR(__xludf.DUMMYFUNCTION("""COMPUTED_VALUE"""),"779148903")</f>
        <v>779148903</v>
      </c>
      <c r="E602" s="98" t="str">
        <f>IFERROR(__xludf.DUMMYFUNCTION("""COMPUTED_VALUE"""),"N")</f>
        <v>N</v>
      </c>
      <c r="F602" s="98" t="str">
        <f>IFERROR(__xludf.DUMMYFUNCTION("""COMPUTED_VALUE"""),"Dd Holding")</f>
        <v>Dd Holding</v>
      </c>
      <c r="G602" s="98" t="str">
        <f>IFERROR(__xludf.DUMMYFUNCTION("""COMPUTED_VALUE"""),"WD383528")</f>
        <v>WD383528</v>
      </c>
      <c r="H602" s="98" t="str">
        <f>IFERROR(__xludf.DUMMYFUNCTION("""COMPUTED_VALUE"""),"Order Status")</f>
        <v>Order Status</v>
      </c>
      <c r="I602" s="98" t="str">
        <f>IFERROR(__xludf.DUMMYFUNCTION("""COMPUTED_VALUE"""),"Rajagiriya")</f>
        <v>Rajagiriya</v>
      </c>
      <c r="J602" s="98" t="str">
        <f>IFERROR(__xludf.DUMMYFUNCTION("""COMPUTED_VALUE"""),"Returned To Branch Failed To Deliver")</f>
        <v>Returned To Branch Failed To Deliver</v>
      </c>
      <c r="K602" s="98" t="str">
        <f>IFERROR(__xludf.DUMMYFUNCTION("""COMPUTED_VALUE"""),"Customer Care")</f>
        <v>Customer Care</v>
      </c>
      <c r="L602" s="98" t="str">
        <f>IFERROR(__xludf.DUMMYFUNCTION("""COMPUTED_VALUE"""),"Return Item")</f>
        <v>Return Item</v>
      </c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>
      <c r="A603" s="82"/>
      <c r="B603" s="106" t="str">
        <f>IFERROR(__xludf.DUMMYFUNCTION("""COMPUTED_VALUE"""),"879")</f>
        <v>879</v>
      </c>
      <c r="C603" s="106" t="str">
        <f>IFERROR(__xludf.DUMMYFUNCTION("""COMPUTED_VALUE"""),"Jeni")</f>
        <v>Jeni</v>
      </c>
      <c r="D603" s="106" t="str">
        <f>IFERROR(__xludf.DUMMYFUNCTION("""COMPUTED_VALUE"""),"718555295")</f>
        <v>718555295</v>
      </c>
      <c r="E603" s="106" t="str">
        <f>IFERROR(__xludf.DUMMYFUNCTION("""COMPUTED_VALUE"""),"N")</f>
        <v>N</v>
      </c>
      <c r="F603" s="106" t="str">
        <f>IFERROR(__xludf.DUMMYFUNCTION("""COMPUTED_VALUE"""),"Miraci Holdings")</f>
        <v>Miraci Holdings</v>
      </c>
      <c r="G603" s="106" t="str">
        <f>IFERROR(__xludf.DUMMYFUNCTION("""COMPUTED_VALUE"""),"BA771156")</f>
        <v>BA771156</v>
      </c>
      <c r="H603" s="106" t="str">
        <f>IFERROR(__xludf.DUMMYFUNCTION("""COMPUTED_VALUE"""),"Arrange To Deliver Today")</f>
        <v>Arrange To Deliver Today</v>
      </c>
      <c r="I603" s="106" t="str">
        <f>IFERROR(__xludf.DUMMYFUNCTION("""COMPUTED_VALUE"""),"Rajagiriya")</f>
        <v>Rajagiriya</v>
      </c>
      <c r="J603" s="106" t="str">
        <f>IFERROR(__xludf.DUMMYFUNCTION("""COMPUTED_VALUE"""),"Out For Delivery")</f>
        <v>Out For Delivery</v>
      </c>
      <c r="K603" s="106" t="str">
        <f>IFERROR(__xludf.DUMMYFUNCTION("""COMPUTED_VALUE"""),"Branch Operations")</f>
        <v>Branch Operations</v>
      </c>
      <c r="L603" s="106" t="str">
        <f>IFERROR(__xludf.DUMMYFUNCTION("""COMPUTED_VALUE"""),"Call Transfer Sales Department")</f>
        <v>Call Transfer Sales Department</v>
      </c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>
      <c r="A604" s="82"/>
      <c r="B604" s="98" t="str">
        <f>IFERROR(__xludf.DUMMYFUNCTION("""COMPUTED_VALUE"""),"880")</f>
        <v>880</v>
      </c>
      <c r="C604" s="98" t="str">
        <f>IFERROR(__xludf.DUMMYFUNCTION("""COMPUTED_VALUE"""),"Mandari")</f>
        <v>Mandari</v>
      </c>
      <c r="D604" s="98" t="str">
        <f>IFERROR(__xludf.DUMMYFUNCTION("""COMPUTED_VALUE"""),"743530160")</f>
        <v>743530160</v>
      </c>
      <c r="E604" s="98" t="str">
        <f>IFERROR(__xludf.DUMMYFUNCTION("""COMPUTED_VALUE"""),"N")</f>
        <v>N</v>
      </c>
      <c r="F604" s="98" t="str">
        <f>IFERROR(__xludf.DUMMYFUNCTION("""COMPUTED_VALUE"""),"D Mine Shop")</f>
        <v>D Mine Shop</v>
      </c>
      <c r="G604" s="98" t="str">
        <f>IFERROR(__xludf.DUMMYFUNCTION("""COMPUTED_VALUE"""),"BA783928")</f>
        <v>BA783928</v>
      </c>
      <c r="H604" s="98" t="str">
        <f>IFERROR(__xludf.DUMMYFUNCTION("""COMPUTED_VALUE"""),"Order Status")</f>
        <v>Order Status</v>
      </c>
      <c r="I604" s="98" t="str">
        <f>IFERROR(__xludf.DUMMYFUNCTION("""COMPUTED_VALUE"""),"Colombo Metro")</f>
        <v>Colombo Metro</v>
      </c>
      <c r="J604" s="98" t="str">
        <f>IFERROR(__xludf.DUMMYFUNCTION("""COMPUTED_VALUE"""),"Received At Destination")</f>
        <v>Received At Destination</v>
      </c>
      <c r="K604" s="98" t="str">
        <f>IFERROR(__xludf.DUMMYFUNCTION("""COMPUTED_VALUE"""),"Customer Care")</f>
        <v>Customer Care</v>
      </c>
      <c r="L604" s="98" t="str">
        <f>IFERROR(__xludf.DUMMYFUNCTION("""COMPUTED_VALUE"""),"Already Branch Put Return To Ho Update")</f>
        <v>Already Branch Put Return To Ho Update</v>
      </c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>
      <c r="A605" s="82"/>
      <c r="B605" s="106" t="str">
        <f>IFERROR(__xludf.DUMMYFUNCTION("""COMPUTED_VALUE"""),"881")</f>
        <v>881</v>
      </c>
      <c r="C605" s="106" t="str">
        <f>IFERROR(__xludf.DUMMYFUNCTION("""COMPUTED_VALUE"""),"Mandari")</f>
        <v>Mandari</v>
      </c>
      <c r="D605" s="106" t="str">
        <f>IFERROR(__xludf.DUMMYFUNCTION("""COMPUTED_VALUE"""),"729394331")</f>
        <v>729394331</v>
      </c>
      <c r="E605" s="106" t="str">
        <f>IFERROR(__xludf.DUMMYFUNCTION("""COMPUTED_VALUE"""),"Y")</f>
        <v>Y</v>
      </c>
      <c r="F605" s="106" t="str">
        <f>IFERROR(__xludf.DUMMYFUNCTION("""COMPUTED_VALUE"""),"Happiness")</f>
        <v>Happiness</v>
      </c>
      <c r="G605" s="106" t="str">
        <f>IFERROR(__xludf.DUMMYFUNCTION("""COMPUTED_VALUE"""),"BE066365")</f>
        <v>BE066365</v>
      </c>
      <c r="H605" s="106" t="str">
        <f>IFERROR(__xludf.DUMMYFUNCTION("""COMPUTED_VALUE"""),"Arrange Delivery Today / Top Urgent")</f>
        <v>Arrange Delivery Today / Top Urgent</v>
      </c>
      <c r="I605" s="106" t="str">
        <f>IFERROR(__xludf.DUMMYFUNCTION("""COMPUTED_VALUE"""),"Piliyandala")</f>
        <v>Piliyandala</v>
      </c>
      <c r="J605" s="106" t="str">
        <f>IFERROR(__xludf.DUMMYFUNCTION("""COMPUTED_VALUE"""),"Received At Ho (Returned Item)")</f>
        <v>Received At Ho (Returned Item)</v>
      </c>
      <c r="K605" s="106" t="str">
        <f>IFERROR(__xludf.DUMMYFUNCTION("""COMPUTED_VALUE"""),"Customer Care")</f>
        <v>Customer Care</v>
      </c>
      <c r="L605" s="106" t="str">
        <f>IFERROR(__xludf.DUMMYFUNCTION("""COMPUTED_VALUE"""),"Informed Branch")</f>
        <v>Informed Branch</v>
      </c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>
      <c r="A606" s="82"/>
      <c r="B606" s="98" t="str">
        <f>IFERROR(__xludf.DUMMYFUNCTION("""COMPUTED_VALUE"""),"882")</f>
        <v>882</v>
      </c>
      <c r="C606" s="98" t="str">
        <f>IFERROR(__xludf.DUMMYFUNCTION("""COMPUTED_VALUE"""),"Umesha")</f>
        <v>Umesha</v>
      </c>
      <c r="D606" s="98" t="str">
        <f>IFERROR(__xludf.DUMMYFUNCTION("""COMPUTED_VALUE"""),"760721180")</f>
        <v>760721180</v>
      </c>
      <c r="E606" s="98" t="str">
        <f>IFERROR(__xludf.DUMMYFUNCTION("""COMPUTED_VALUE"""),"N")</f>
        <v>N</v>
      </c>
      <c r="F606" s="98" t="str">
        <f>IFERROR(__xludf.DUMMYFUNCTION("""COMPUTED_VALUE"""),"Hk Fashion Mirigama")</f>
        <v>Hk Fashion Mirigama</v>
      </c>
      <c r="G606" s="98" t="str">
        <f>IFERROR(__xludf.DUMMYFUNCTION("""COMPUTED_VALUE"""),"A3858169")</f>
        <v>A3858169</v>
      </c>
      <c r="H606" s="98" t="str">
        <f>IFERROR(__xludf.DUMMYFUNCTION("""COMPUTED_VALUE"""),"Customer Already Recived The Package")</f>
        <v>Customer Already Recived The Package</v>
      </c>
      <c r="I606" s="98" t="str">
        <f>IFERROR(__xludf.DUMMYFUNCTION("""COMPUTED_VALUE"""),"Homagama")</f>
        <v>Homagama</v>
      </c>
      <c r="J606" s="98" t="str">
        <f>IFERROR(__xludf.DUMMYFUNCTION("""COMPUTED_VALUE"""),"Returned To Branch Failed To Deliver")</f>
        <v>Returned To Branch Failed To Deliver</v>
      </c>
      <c r="K606" s="98" t="str">
        <f>IFERROR(__xludf.DUMMYFUNCTION("""COMPUTED_VALUE"""),"Customer Care")</f>
        <v>Customer Care</v>
      </c>
      <c r="L606" s="98" t="str">
        <f>IFERROR(__xludf.DUMMYFUNCTION("""COMPUTED_VALUE"""),"Given Details")</f>
        <v>Given Details</v>
      </c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>
      <c r="A607" s="82"/>
      <c r="B607" s="106" t="str">
        <f>IFERROR(__xludf.DUMMYFUNCTION("""COMPUTED_VALUE"""),"883")</f>
        <v>883</v>
      </c>
      <c r="C607" s="106" t="str">
        <f>IFERROR(__xludf.DUMMYFUNCTION("""COMPUTED_VALUE"""),"Umesha")</f>
        <v>Umesha</v>
      </c>
      <c r="D607" s="106" t="str">
        <f>IFERROR(__xludf.DUMMYFUNCTION("""COMPUTED_VALUE"""),"770079395")</f>
        <v>770079395</v>
      </c>
      <c r="E607" s="106" t="str">
        <f>IFERROR(__xludf.DUMMYFUNCTION("""COMPUTED_VALUE"""),"N")</f>
        <v>N</v>
      </c>
      <c r="F607" s="106" t="str">
        <f>IFERROR(__xludf.DUMMYFUNCTION("""COMPUTED_VALUE"""),"Sency Kids")</f>
        <v>Sency Kids</v>
      </c>
      <c r="G607" s="106" t="str">
        <f>IFERROR(__xludf.DUMMYFUNCTION("""COMPUTED_VALUE"""),"BE094811")</f>
        <v>BE094811</v>
      </c>
      <c r="H607" s="106" t="str">
        <f>IFERROR(__xludf.DUMMYFUNCTION("""COMPUTED_VALUE"""),"Payment Issue")</f>
        <v>Payment Issue</v>
      </c>
      <c r="I607" s="106" t="str">
        <f>IFERROR(__xludf.DUMMYFUNCTION("""COMPUTED_VALUE"""),"Kahawatta")</f>
        <v>Kahawatta</v>
      </c>
      <c r="J607" s="106" t="str">
        <f>IFERROR(__xludf.DUMMYFUNCTION("""COMPUTED_VALUE"""),"Returned To Branch Failed To Deliver")</f>
        <v>Returned To Branch Failed To Deliver</v>
      </c>
      <c r="K607" s="106" t="str">
        <f>IFERROR(__xludf.DUMMYFUNCTION("""COMPUTED_VALUE"""),"Customer Care")</f>
        <v>Customer Care</v>
      </c>
      <c r="L607" s="106" t="str">
        <f>IFERROR(__xludf.DUMMYFUNCTION("""COMPUTED_VALUE"""),"Done")</f>
        <v>Done</v>
      </c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>
      <c r="A608" s="82"/>
      <c r="B608" s="98" t="str">
        <f>IFERROR(__xludf.DUMMYFUNCTION("""COMPUTED_VALUE"""),"884")</f>
        <v>884</v>
      </c>
      <c r="C608" s="98" t="str">
        <f>IFERROR(__xludf.DUMMYFUNCTION("""COMPUTED_VALUE"""),"Mandari")</f>
        <v>Mandari</v>
      </c>
      <c r="D608" s="98" t="str">
        <f>IFERROR(__xludf.DUMMYFUNCTION("""COMPUTED_VALUE"""),"774868808")</f>
        <v>774868808</v>
      </c>
      <c r="E608" s="98" t="str">
        <f>IFERROR(__xludf.DUMMYFUNCTION("""COMPUTED_VALUE"""),"Y")</f>
        <v>Y</v>
      </c>
      <c r="F608" s="98" t="str">
        <f>IFERROR(__xludf.DUMMYFUNCTION("""COMPUTED_VALUE"""),"Angel Attic")</f>
        <v>Angel Attic</v>
      </c>
      <c r="G608" s="98" t="str">
        <f>IFERROR(__xludf.DUMMYFUNCTION("""COMPUTED_VALUE"""),"BA767712")</f>
        <v>BA767712</v>
      </c>
      <c r="H608" s="98" t="str">
        <f>IFERROR(__xludf.DUMMYFUNCTION("""COMPUTED_VALUE"""),"Req Jeni")</f>
        <v>Req Jeni</v>
      </c>
      <c r="I608" s="98" t="str">
        <f>IFERROR(__xludf.DUMMYFUNCTION("""COMPUTED_VALUE"""),"Rajagiriya")</f>
        <v>Rajagiriya</v>
      </c>
      <c r="J608" s="98" t="str">
        <f>IFERROR(__xludf.DUMMYFUNCTION("""COMPUTED_VALUE"""),"Returned To Branch Rescheduled")</f>
        <v>Returned To Branch Rescheduled</v>
      </c>
      <c r="K608" s="98" t="str">
        <f>IFERROR(__xludf.DUMMYFUNCTION("""COMPUTED_VALUE"""),"Customer Care")</f>
        <v>Customer Care</v>
      </c>
      <c r="L608" s="98" t="str">
        <f>IFERROR(__xludf.DUMMYFUNCTION("""COMPUTED_VALUE"""),"Tranfer Cll")</f>
        <v>Tranfer Cll</v>
      </c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>
      <c r="A609" s="82"/>
      <c r="B609" s="106" t="str">
        <f>IFERROR(__xludf.DUMMYFUNCTION("""COMPUTED_VALUE"""),"885")</f>
        <v>885</v>
      </c>
      <c r="C609" s="106" t="str">
        <f>IFERROR(__xludf.DUMMYFUNCTION("""COMPUTED_VALUE"""),"Jeni")</f>
        <v>Jeni</v>
      </c>
      <c r="D609" s="106" t="str">
        <f>IFERROR(__xludf.DUMMYFUNCTION("""COMPUTED_VALUE"""),"777610615")</f>
        <v>777610615</v>
      </c>
      <c r="E609" s="106" t="str">
        <f>IFERROR(__xludf.DUMMYFUNCTION("""COMPUTED_VALUE"""),"Y")</f>
        <v>Y</v>
      </c>
      <c r="F609" s="106" t="str">
        <f>IFERROR(__xludf.DUMMYFUNCTION("""COMPUTED_VALUE"""),"Hk Fashion Mirigama")</f>
        <v>Hk Fashion Mirigama</v>
      </c>
      <c r="G609" s="106" t="str">
        <f>IFERROR(__xludf.DUMMYFUNCTION("""COMPUTED_VALUE"""),"A4366984")</f>
        <v>A4366984</v>
      </c>
      <c r="H609" s="106" t="str">
        <f>IFERROR(__xludf.DUMMYFUNCTION("""COMPUTED_VALUE"""),"Re Deliver")</f>
        <v>Re Deliver</v>
      </c>
      <c r="I609" s="106" t="str">
        <f>IFERROR(__xludf.DUMMYFUNCTION("""COMPUTED_VALUE"""),"Nittambuwa")</f>
        <v>Nittambuwa</v>
      </c>
      <c r="J609" s="106" t="str">
        <f>IFERROR(__xludf.DUMMYFUNCTION("""COMPUTED_VALUE"""),"Dispatched To Destination")</f>
        <v>Dispatched To Destination</v>
      </c>
      <c r="K609" s="106" t="str">
        <f>IFERROR(__xludf.DUMMYFUNCTION("""COMPUTED_VALUE"""),"Customer Care")</f>
        <v>Customer Care</v>
      </c>
      <c r="L609" s="106" t="str">
        <f>IFERROR(__xludf.DUMMYFUNCTION("""COMPUTED_VALUE"""),"Done")</f>
        <v>Done</v>
      </c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>
      <c r="A610" s="82"/>
      <c r="B610" s="98" t="str">
        <f>IFERROR(__xludf.DUMMYFUNCTION("""COMPUTED_VALUE"""),"886")</f>
        <v>886</v>
      </c>
      <c r="C610" s="98" t="str">
        <f>IFERROR(__xludf.DUMMYFUNCTION("""COMPUTED_VALUE"""),"Jeni")</f>
        <v>Jeni</v>
      </c>
      <c r="D610" s="98" t="str">
        <f>IFERROR(__xludf.DUMMYFUNCTION("""COMPUTED_VALUE"""),"761490856")</f>
        <v>761490856</v>
      </c>
      <c r="E610" s="98" t="str">
        <f>IFERROR(__xludf.DUMMYFUNCTION("""COMPUTED_VALUE"""),"N")</f>
        <v>N</v>
      </c>
      <c r="F610" s="98" t="str">
        <f>IFERROR(__xludf.DUMMYFUNCTION("""COMPUTED_VALUE"""),"Coco Leaf")</f>
        <v>Coco Leaf</v>
      </c>
      <c r="G610" s="98" t="str">
        <f>IFERROR(__xludf.DUMMYFUNCTION("""COMPUTED_VALUE"""),"BE096087")</f>
        <v>BE096087</v>
      </c>
      <c r="H610" s="98" t="str">
        <f>IFERROR(__xludf.DUMMYFUNCTION("""COMPUTED_VALUE"""),"Delivery Today")</f>
        <v>Delivery Today</v>
      </c>
      <c r="I610" s="98" t="str">
        <f>IFERROR(__xludf.DUMMYFUNCTION("""COMPUTED_VALUE"""),"Kurunegala")</f>
        <v>Kurunegala</v>
      </c>
      <c r="J610" s="98" t="str">
        <f>IFERROR(__xludf.DUMMYFUNCTION("""COMPUTED_VALUE"""),"Returned To Branch Failed To Deliver")</f>
        <v>Returned To Branch Failed To Deliver</v>
      </c>
      <c r="K610" s="98" t="str">
        <f>IFERROR(__xludf.DUMMYFUNCTION("""COMPUTED_VALUE"""),"Customer Care")</f>
        <v>Customer Care</v>
      </c>
      <c r="L610" s="98" t="str">
        <f>IFERROR(__xludf.DUMMYFUNCTION("""COMPUTED_VALUE"""),"Ask To Call Back With Proper Details")</f>
        <v>Ask To Call Back With Proper Details</v>
      </c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>
      <c r="A611" s="82"/>
      <c r="B611" s="106" t="str">
        <f>IFERROR(__xludf.DUMMYFUNCTION("""COMPUTED_VALUE"""),"887")</f>
        <v>887</v>
      </c>
      <c r="C611" s="106" t="str">
        <f>IFERROR(__xludf.DUMMYFUNCTION("""COMPUTED_VALUE"""),"Jeni")</f>
        <v>Jeni</v>
      </c>
      <c r="D611" s="106" t="str">
        <f>IFERROR(__xludf.DUMMYFUNCTION("""COMPUTED_VALUE"""),"769602954")</f>
        <v>769602954</v>
      </c>
      <c r="E611" s="106" t="str">
        <f>IFERROR(__xludf.DUMMYFUNCTION("""COMPUTED_VALUE"""),"N")</f>
        <v>N</v>
      </c>
      <c r="F611" s="106" t="str">
        <f>IFERROR(__xludf.DUMMYFUNCTION("""COMPUTED_VALUE"""),"Swasthi")</f>
        <v>Swasthi</v>
      </c>
      <c r="G611" s="106" t="str">
        <f>IFERROR(__xludf.DUMMYFUNCTION("""COMPUTED_VALUE"""),"A4086806")</f>
        <v>A4086806</v>
      </c>
      <c r="H611" s="106" t="str">
        <f>IFERROR(__xludf.DUMMYFUNCTION("""COMPUTED_VALUE"""),"Req Tamil Agent")</f>
        <v>Req Tamil Agent</v>
      </c>
      <c r="I611" s="106" t="str">
        <f>IFERROR(__xludf.DUMMYFUNCTION("""COMPUTED_VALUE"""),"Dambulla")</f>
        <v>Dambulla</v>
      </c>
      <c r="J611" s="106" t="str">
        <f>IFERROR(__xludf.DUMMYFUNCTION("""COMPUTED_VALUE"""),"Out For Delivery")</f>
        <v>Out For Delivery</v>
      </c>
      <c r="K611" s="106" t="str">
        <f>IFERROR(__xludf.DUMMYFUNCTION("""COMPUTED_VALUE"""),"Return")</f>
        <v>Return</v>
      </c>
      <c r="L611" s="106" t="str">
        <f>IFERROR(__xludf.DUMMYFUNCTION("""COMPUTED_VALUE"""),"Still Not Received Branch")</f>
        <v>Still Not Received Branch</v>
      </c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>
      <c r="A612" s="82"/>
      <c r="B612" s="98" t="str">
        <f>IFERROR(__xludf.DUMMYFUNCTION("""COMPUTED_VALUE"""),"888")</f>
        <v>888</v>
      </c>
      <c r="C612" s="98" t="str">
        <f>IFERROR(__xludf.DUMMYFUNCTION("""COMPUTED_VALUE"""),"Malik")</f>
        <v>Malik</v>
      </c>
      <c r="D612" s="98" t="str">
        <f>IFERROR(__xludf.DUMMYFUNCTION("""COMPUTED_VALUE"""),"764300731")</f>
        <v>764300731</v>
      </c>
      <c r="E612" s="98" t="str">
        <f>IFERROR(__xludf.DUMMYFUNCTION("""COMPUTED_VALUE"""),"N")</f>
        <v>N</v>
      </c>
      <c r="F612" s="98" t="str">
        <f>IFERROR(__xludf.DUMMYFUNCTION("""COMPUTED_VALUE"""),"Vethu Fashion")</f>
        <v>Vethu Fashion</v>
      </c>
      <c r="G612" s="98" t="str">
        <f>IFERROR(__xludf.DUMMYFUNCTION("""COMPUTED_VALUE"""),"A1109105")</f>
        <v>A1109105</v>
      </c>
      <c r="H612" s="98" t="str">
        <f>IFERROR(__xludf.DUMMYFUNCTION("""COMPUTED_VALUE"""),"Mathara Branch Location")</f>
        <v>Mathara Branch Location</v>
      </c>
      <c r="I612" s="98" t="str">
        <f>IFERROR(__xludf.DUMMYFUNCTION("""COMPUTED_VALUE"""),"Thalawathugoda")</f>
        <v>Thalawathugoda</v>
      </c>
      <c r="J612" s="98" t="str">
        <f>IFERROR(__xludf.DUMMYFUNCTION("""COMPUTED_VALUE"""),"Delivered")</f>
        <v>Delivered</v>
      </c>
      <c r="K612" s="98" t="str">
        <f>IFERROR(__xludf.DUMMYFUNCTION("""COMPUTED_VALUE"""),"Customer Care")</f>
        <v>Customer Care</v>
      </c>
      <c r="L612" s="98" t="str">
        <f>IFERROR(__xludf.DUMMYFUNCTION("""COMPUTED_VALUE"""),"Check And Call Back")</f>
        <v>Check And Call Back</v>
      </c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>
      <c r="A613" s="82"/>
      <c r="B613" s="106" t="str">
        <f>IFERROR(__xludf.DUMMYFUNCTION("""COMPUTED_VALUE"""),"889")</f>
        <v>889</v>
      </c>
      <c r="C613" s="106" t="str">
        <f>IFERROR(__xludf.DUMMYFUNCTION("""COMPUTED_VALUE"""),"Malik")</f>
        <v>Malik</v>
      </c>
      <c r="D613" s="106" t="str">
        <f>IFERROR(__xludf.DUMMYFUNCTION("""COMPUTED_VALUE"""),"704092215")</f>
        <v>704092215</v>
      </c>
      <c r="E613" s="106" t="str">
        <f>IFERROR(__xludf.DUMMYFUNCTION("""COMPUTED_VALUE"""),"Y")</f>
        <v>Y</v>
      </c>
      <c r="F613" s="106" t="str">
        <f>IFERROR(__xludf.DUMMYFUNCTION("""COMPUTED_VALUE"""),"Lansa Express")</f>
        <v>Lansa Express</v>
      </c>
      <c r="G613" s="106" t="str">
        <f>IFERROR(__xludf.DUMMYFUNCTION("""COMPUTED_VALUE"""),"A4706450")</f>
        <v>A4706450</v>
      </c>
      <c r="H613" s="106" t="str">
        <f>IFERROR(__xludf.DUMMYFUNCTION("""COMPUTED_VALUE"""),"Call Wrapped")</f>
        <v>Call Wrapped</v>
      </c>
      <c r="I613" s="106" t="str">
        <f>IFERROR(__xludf.DUMMYFUNCTION("""COMPUTED_VALUE"""),"Ratnapura")</f>
        <v>Ratnapura</v>
      </c>
      <c r="J613" s="106" t="str">
        <f>IFERROR(__xludf.DUMMYFUNCTION("""COMPUTED_VALUE"""),"Dispatched To Destination")</f>
        <v>Dispatched To Destination</v>
      </c>
      <c r="K613" s="106" t="str">
        <f>IFERROR(__xludf.DUMMYFUNCTION("""COMPUTED_VALUE"""),"Customer Care")</f>
        <v>Customer Care</v>
      </c>
      <c r="L613" s="106" t="str">
        <f>IFERROR(__xludf.DUMMYFUNCTION("""COMPUTED_VALUE"""),"Done")</f>
        <v>Done</v>
      </c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>
      <c r="A614" s="82"/>
      <c r="B614" s="98" t="str">
        <f>IFERROR(__xludf.DUMMYFUNCTION("""COMPUTED_VALUE"""),"890")</f>
        <v>890</v>
      </c>
      <c r="C614" s="98" t="str">
        <f>IFERROR(__xludf.DUMMYFUNCTION("""COMPUTED_VALUE"""),"Jeni")</f>
        <v>Jeni</v>
      </c>
      <c r="D614" s="98" t="str">
        <f>IFERROR(__xludf.DUMMYFUNCTION("""COMPUTED_VALUE"""),"768046805")</f>
        <v>768046805</v>
      </c>
      <c r="E614" s="98" t="str">
        <f>IFERROR(__xludf.DUMMYFUNCTION("""COMPUTED_VALUE"""),"Y")</f>
        <v>Y</v>
      </c>
      <c r="F614" s="98" t="str">
        <f>IFERROR(__xludf.DUMMYFUNCTION("""COMPUTED_VALUE"""),"Nexwin")</f>
        <v>Nexwin</v>
      </c>
      <c r="G614" s="98" t="str">
        <f>IFERROR(__xludf.DUMMYFUNCTION("""COMPUTED_VALUE"""),"BD982980")</f>
        <v>BD982980</v>
      </c>
      <c r="H614" s="98" t="str">
        <f>IFERROR(__xludf.DUMMYFUNCTION("""COMPUTED_VALUE"""),"Asked Some Details")</f>
        <v>Asked Some Details</v>
      </c>
      <c r="I614" s="98" t="str">
        <f>IFERROR(__xludf.DUMMYFUNCTION("""COMPUTED_VALUE"""),"Kaduwela")</f>
        <v>Kaduwela</v>
      </c>
      <c r="J614" s="98" t="str">
        <f>IFERROR(__xludf.DUMMYFUNCTION("""COMPUTED_VALUE"""),"Returned To Branch Failed To Deliver")</f>
        <v>Returned To Branch Failed To Deliver</v>
      </c>
      <c r="K614" s="98" t="str">
        <f>IFERROR(__xludf.DUMMYFUNCTION("""COMPUTED_VALUE"""),"Customer Care")</f>
        <v>Customer Care</v>
      </c>
      <c r="L614" s="98" t="str">
        <f>IFERROR(__xludf.DUMMYFUNCTION("""COMPUTED_VALUE"""),"Details Given/ Info Branch")</f>
        <v>Details Given/ Info Branch</v>
      </c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>
      <c r="A615" s="82"/>
      <c r="B615" s="106" t="str">
        <f>IFERROR(__xludf.DUMMYFUNCTION("""COMPUTED_VALUE"""),"891")</f>
        <v>891</v>
      </c>
      <c r="C615" s="106" t="str">
        <f>IFERROR(__xludf.DUMMYFUNCTION("""COMPUTED_VALUE"""),"Umesha")</f>
        <v>Umesha</v>
      </c>
      <c r="D615" s="106" t="str">
        <f>IFERROR(__xludf.DUMMYFUNCTION("""COMPUTED_VALUE"""),"772853693")</f>
        <v>772853693</v>
      </c>
      <c r="E615" s="106" t="str">
        <f>IFERROR(__xludf.DUMMYFUNCTION("""COMPUTED_VALUE"""),"Y")</f>
        <v>Y</v>
      </c>
      <c r="F615" s="107" t="str">
        <f>IFERROR(__xludf.DUMMYFUNCTION("""COMPUTED_VALUE"""),"Plusmart.Lk")</f>
        <v>Plusmart.Lk</v>
      </c>
      <c r="G615" s="106" t="str">
        <f>IFERROR(__xludf.DUMMYFUNCTION("""COMPUTED_VALUE"""),"BE065549")</f>
        <v>BE065549</v>
      </c>
      <c r="H615" s="106" t="str">
        <f>IFERROR(__xludf.DUMMYFUNCTION("""COMPUTED_VALUE"""),"Customer Want Return The Package")</f>
        <v>Customer Want Return The Package</v>
      </c>
      <c r="I615" s="106" t="str">
        <f>IFERROR(__xludf.DUMMYFUNCTION("""COMPUTED_VALUE"""),"Rajagiriya")</f>
        <v>Rajagiriya</v>
      </c>
      <c r="J615" s="106" t="str">
        <f>IFERROR(__xludf.DUMMYFUNCTION("""COMPUTED_VALUE"""),"Out For Delivery")</f>
        <v>Out For Delivery</v>
      </c>
      <c r="K615" s="106" t="str">
        <f>IFERROR(__xludf.DUMMYFUNCTION("""COMPUTED_VALUE"""),"Branch Operations")</f>
        <v>Branch Operations</v>
      </c>
      <c r="L615" s="106" t="str">
        <f>IFERROR(__xludf.DUMMYFUNCTION("""COMPUTED_VALUE"""),"Informed Branch")</f>
        <v>Informed Branch</v>
      </c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>
      <c r="A616" s="82"/>
      <c r="B616" s="98" t="str">
        <f>IFERROR(__xludf.DUMMYFUNCTION("""COMPUTED_VALUE"""),"892")</f>
        <v>892</v>
      </c>
      <c r="C616" s="98" t="str">
        <f>IFERROR(__xludf.DUMMYFUNCTION("""COMPUTED_VALUE"""),"Mandari")</f>
        <v>Mandari</v>
      </c>
      <c r="D616" s="98" t="str">
        <f>IFERROR(__xludf.DUMMYFUNCTION("""COMPUTED_VALUE"""),"790638855")</f>
        <v>790638855</v>
      </c>
      <c r="E616" s="98" t="str">
        <f>IFERROR(__xludf.DUMMYFUNCTION("""COMPUTED_VALUE"""),"N")</f>
        <v>N</v>
      </c>
      <c r="F616" s="98" t="str">
        <f>IFERROR(__xludf.DUMMYFUNCTION("""COMPUTED_VALUE"""),"Coco Leaf")</f>
        <v>Coco Leaf</v>
      </c>
      <c r="G616" s="98" t="str">
        <f>IFERROR(__xludf.DUMMYFUNCTION("""COMPUTED_VALUE"""),"RA04229376")</f>
        <v>RA04229376</v>
      </c>
      <c r="H616" s="98" t="str">
        <f>IFERROR(__xludf.DUMMYFUNCTION("""COMPUTED_VALUE"""),"Re Deliver")</f>
        <v>Re Deliver</v>
      </c>
      <c r="I616" s="98" t="str">
        <f>IFERROR(__xludf.DUMMYFUNCTION("""COMPUTED_VALUE"""),"Pilimathlawa")</f>
        <v>Pilimathlawa</v>
      </c>
      <c r="J616" s="98" t="str">
        <f>IFERROR(__xludf.DUMMYFUNCTION("""COMPUTED_VALUE"""),"Returned To Branch Rescheduled")</f>
        <v>Returned To Branch Rescheduled</v>
      </c>
      <c r="K616" s="98" t="str">
        <f>IFERROR(__xludf.DUMMYFUNCTION("""COMPUTED_VALUE"""),"Customer Care")</f>
        <v>Customer Care</v>
      </c>
      <c r="L616" s="98" t="str">
        <f>IFERROR(__xludf.DUMMYFUNCTION("""COMPUTED_VALUE"""),"Call Transfered To Finance")</f>
        <v>Call Transfered To Finance</v>
      </c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>
      <c r="A617" s="82"/>
      <c r="B617" s="106" t="str">
        <f>IFERROR(__xludf.DUMMYFUNCTION("""COMPUTED_VALUE"""),"893")</f>
        <v>893</v>
      </c>
      <c r="C617" s="106" t="str">
        <f>IFERROR(__xludf.DUMMYFUNCTION("""COMPUTED_VALUE"""),"Mandari")</f>
        <v>Mandari</v>
      </c>
      <c r="D617" s="106" t="str">
        <f>IFERROR(__xludf.DUMMYFUNCTION("""COMPUTED_VALUE"""),"753405688")</f>
        <v>753405688</v>
      </c>
      <c r="E617" s="106" t="str">
        <f>IFERROR(__xludf.DUMMYFUNCTION("""COMPUTED_VALUE"""),"Y")</f>
        <v>Y</v>
      </c>
      <c r="F617" s="106" t="str">
        <f>IFERROR(__xludf.DUMMYFUNCTION("""COMPUTED_VALUE"""),"Golden House")</f>
        <v>Golden House</v>
      </c>
      <c r="G617" s="106" t="str">
        <f>IFERROR(__xludf.DUMMYFUNCTION("""COMPUTED_VALUE"""),"BE098496")</f>
        <v>BE098496</v>
      </c>
      <c r="H617" s="106" t="str">
        <f>IFERROR(__xludf.DUMMYFUNCTION("""COMPUTED_VALUE"""),"Branch Number List")</f>
        <v>Branch Number List</v>
      </c>
      <c r="I617" s="106" t="str">
        <f>IFERROR(__xludf.DUMMYFUNCTION("""COMPUTED_VALUE"""),"Mahiyanganaya")</f>
        <v>Mahiyanganaya</v>
      </c>
      <c r="J617" s="106" t="str">
        <f>IFERROR(__xludf.DUMMYFUNCTION("""COMPUTED_VALUE"""),"Returned To Branch Rescheduled")</f>
        <v>Returned To Branch Rescheduled</v>
      </c>
      <c r="K617" s="106" t="str">
        <f>IFERROR(__xludf.DUMMYFUNCTION("""COMPUTED_VALUE"""),"Branch Operations")</f>
        <v>Branch Operations</v>
      </c>
      <c r="L617" s="106" t="str">
        <f>IFERROR(__xludf.DUMMYFUNCTION("""COMPUTED_VALUE"""),"Details Given")</f>
        <v>Details Given</v>
      </c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>
      <c r="A618" s="82"/>
      <c r="B618" s="98" t="str">
        <f>IFERROR(__xludf.DUMMYFUNCTION("""COMPUTED_VALUE"""),"894")</f>
        <v>894</v>
      </c>
      <c r="C618" s="98" t="str">
        <f>IFERROR(__xludf.DUMMYFUNCTION("""COMPUTED_VALUE"""),"Umesha")</f>
        <v>Umesha</v>
      </c>
      <c r="D618" s="98" t="str">
        <f>IFERROR(__xludf.DUMMYFUNCTION("""COMPUTED_VALUE"""),"752796967")</f>
        <v>752796967</v>
      </c>
      <c r="E618" s="98" t="str">
        <f>IFERROR(__xludf.DUMMYFUNCTION("""COMPUTED_VALUE"""),"Y")</f>
        <v>Y</v>
      </c>
      <c r="F618" s="98" t="str">
        <f>IFERROR(__xludf.DUMMYFUNCTION("""COMPUTED_VALUE"""),"Swasthi")</f>
        <v>Swasthi</v>
      </c>
      <c r="G618" s="98" t="str">
        <f>IFERROR(__xludf.DUMMYFUNCTION("""COMPUTED_VALUE"""),"A3656541")</f>
        <v>A3656541</v>
      </c>
      <c r="H618" s="98" t="str">
        <f>IFERROR(__xludf.DUMMYFUNCTION("""COMPUTED_VALUE"""),"Re Deliver")</f>
        <v>Re Deliver</v>
      </c>
      <c r="I618" s="98" t="str">
        <f>IFERROR(__xludf.DUMMYFUNCTION("""COMPUTED_VALUE"""),"Kurunegala")</f>
        <v>Kurunegala</v>
      </c>
      <c r="J618" s="98" t="str">
        <f>IFERROR(__xludf.DUMMYFUNCTION("""COMPUTED_VALUE"""),"Returned To Branch Rescheduled")</f>
        <v>Returned To Branch Rescheduled</v>
      </c>
      <c r="K618" s="98" t="str">
        <f>IFERROR(__xludf.DUMMYFUNCTION("""COMPUTED_VALUE"""),"Customer Care")</f>
        <v>Customer Care</v>
      </c>
      <c r="L618" s="98" t="str">
        <f>IFERROR(__xludf.DUMMYFUNCTION("""COMPUTED_VALUE"""),"Call Transfer Domestic Department")</f>
        <v>Call Transfer Domestic Department</v>
      </c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>
      <c r="A619" s="82"/>
      <c r="B619" s="106" t="str">
        <f>IFERROR(__xludf.DUMMYFUNCTION("""COMPUTED_VALUE"""),"895")</f>
        <v>895</v>
      </c>
      <c r="C619" s="106" t="str">
        <f>IFERROR(__xludf.DUMMYFUNCTION("""COMPUTED_VALUE"""),"Umesha")</f>
        <v>Umesha</v>
      </c>
      <c r="D619" s="106" t="str">
        <f>IFERROR(__xludf.DUMMYFUNCTION("""COMPUTED_VALUE"""),"703270505")</f>
        <v>703270505</v>
      </c>
      <c r="E619" s="106"/>
      <c r="F619" s="106" t="str">
        <f>IFERROR(__xludf.DUMMYFUNCTION("""COMPUTED_VALUE"""),"P &amp; S Help Investment Pvt(Ltd)")</f>
        <v>P &amp; S Help Investment Pvt(Ltd)</v>
      </c>
      <c r="G619" s="106" t="str">
        <f>IFERROR(__xludf.DUMMYFUNCTION("""COMPUTED_VALUE"""),"BE066365")</f>
        <v>BE066365</v>
      </c>
      <c r="H619" s="106" t="str">
        <f>IFERROR(__xludf.DUMMYFUNCTION("""COMPUTED_VALUE"""),"Belihuloya Branch")</f>
        <v>Belihuloya Branch</v>
      </c>
      <c r="I619" s="106" t="str">
        <f>IFERROR(__xludf.DUMMYFUNCTION("""COMPUTED_VALUE"""),"Ambalangoda")</f>
        <v>Ambalangoda</v>
      </c>
      <c r="J619" s="106" t="str">
        <f>IFERROR(__xludf.DUMMYFUNCTION("""COMPUTED_VALUE"""),"Re-Delivery")</f>
        <v>Re-Delivery</v>
      </c>
      <c r="K619" s="106" t="str">
        <f>IFERROR(__xludf.DUMMYFUNCTION("""COMPUTED_VALUE"""),"Customer Care")</f>
        <v>Customer Care</v>
      </c>
      <c r="L619" s="106" t="str">
        <f>IFERROR(__xludf.DUMMYFUNCTION("""COMPUTED_VALUE"""),"Given No")</f>
        <v>Given No</v>
      </c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>
      <c r="A620" s="82"/>
      <c r="B620" s="98" t="str">
        <f>IFERROR(__xludf.DUMMYFUNCTION("""COMPUTED_VALUE"""),"896")</f>
        <v>896</v>
      </c>
      <c r="C620" s="98" t="str">
        <f>IFERROR(__xludf.DUMMYFUNCTION("""COMPUTED_VALUE"""),"Mandari")</f>
        <v>Mandari</v>
      </c>
      <c r="D620" s="98" t="str">
        <f>IFERROR(__xludf.DUMMYFUNCTION("""COMPUTED_VALUE"""),"112622082")</f>
        <v>112622082</v>
      </c>
      <c r="E620" s="98" t="str">
        <f>IFERROR(__xludf.DUMMYFUNCTION("""COMPUTED_VALUE"""),"N")</f>
        <v>N</v>
      </c>
      <c r="F620" s="98" t="str">
        <f>IFERROR(__xludf.DUMMYFUNCTION("""COMPUTED_VALUE"""),"Infinity Woodstore")</f>
        <v>Infinity Woodstore</v>
      </c>
      <c r="G620" s="98" t="str">
        <f>IFERROR(__xludf.DUMMYFUNCTION("""COMPUTED_VALUE"""),"BA772727")</f>
        <v>BA772727</v>
      </c>
      <c r="H620" s="98" t="str">
        <f>IFERROR(__xludf.DUMMYFUNCTION("""COMPUTED_VALUE"""),"Cant Find Tracking No")</f>
        <v>Cant Find Tracking No</v>
      </c>
      <c r="I620" s="98" t="str">
        <f>IFERROR(__xludf.DUMMYFUNCTION("""COMPUTED_VALUE"""),"Mahiyanganaya")</f>
        <v>Mahiyanganaya</v>
      </c>
      <c r="J620" s="98" t="str">
        <f>IFERROR(__xludf.DUMMYFUNCTION("""COMPUTED_VALUE"""),"Out For Delivery")</f>
        <v>Out For Delivery</v>
      </c>
      <c r="K620" s="98" t="str">
        <f>IFERROR(__xludf.DUMMYFUNCTION("""COMPUTED_VALUE"""),"Branch Operations")</f>
        <v>Branch Operations</v>
      </c>
      <c r="L620" s="98" t="str">
        <f>IFERROR(__xludf.DUMMYFUNCTION("""COMPUTED_VALUE"""),"Done")</f>
        <v>Done</v>
      </c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>
      <c r="A621" s="82"/>
      <c r="B621" s="106" t="str">
        <f>IFERROR(__xludf.DUMMYFUNCTION("""COMPUTED_VALUE"""),"897")</f>
        <v>897</v>
      </c>
      <c r="C621" s="106" t="str">
        <f>IFERROR(__xludf.DUMMYFUNCTION("""COMPUTED_VALUE"""),"Jeni")</f>
        <v>Jeni</v>
      </c>
      <c r="D621" s="106" t="str">
        <f>IFERROR(__xludf.DUMMYFUNCTION("""COMPUTED_VALUE"""),"736470197")</f>
        <v>736470197</v>
      </c>
      <c r="E621" s="106" t="str">
        <f>IFERROR(__xludf.DUMMYFUNCTION("""COMPUTED_VALUE"""),"N")</f>
        <v>N</v>
      </c>
      <c r="F621" s="106" t="str">
        <f>IFERROR(__xludf.DUMMYFUNCTION("""COMPUTED_VALUE"""),"Aurex Core")</f>
        <v>Aurex Core</v>
      </c>
      <c r="G621" s="106" t="str">
        <f>IFERROR(__xludf.DUMMYFUNCTION("""COMPUTED_VALUE"""),"A4553107")</f>
        <v>A4553107</v>
      </c>
      <c r="H621" s="106" t="str">
        <f>IFERROR(__xludf.DUMMYFUNCTION("""COMPUTED_VALUE"""),"Urgent Today")</f>
        <v>Urgent Today</v>
      </c>
      <c r="I621" s="106" t="str">
        <f>IFERROR(__xludf.DUMMYFUNCTION("""COMPUTED_VALUE"""),"Jaffna")</f>
        <v>Jaffna</v>
      </c>
      <c r="J621" s="106" t="str">
        <f>IFERROR(__xludf.DUMMYFUNCTION("""COMPUTED_VALUE"""),"Returned To Branch Failed To Deliver")</f>
        <v>Returned To Branch Failed To Deliver</v>
      </c>
      <c r="K621" s="106" t="str">
        <f>IFERROR(__xludf.DUMMYFUNCTION("""COMPUTED_VALUE"""),"Sales")</f>
        <v>Sales</v>
      </c>
      <c r="L621" s="106" t="str">
        <f>IFERROR(__xludf.DUMMYFUNCTION("""COMPUTED_VALUE"""),"Customer No Answer")</f>
        <v>Customer No Answer</v>
      </c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>
      <c r="A622" s="82"/>
      <c r="B622" s="98" t="str">
        <f>IFERROR(__xludf.DUMMYFUNCTION("""COMPUTED_VALUE"""),"898")</f>
        <v>898</v>
      </c>
      <c r="C622" s="98" t="str">
        <f>IFERROR(__xludf.DUMMYFUNCTION("""COMPUTED_VALUE"""),"Mandari")</f>
        <v>Mandari</v>
      </c>
      <c r="D622" s="98" t="str">
        <f>IFERROR(__xludf.DUMMYFUNCTION("""COMPUTED_VALUE"""),"760486453")</f>
        <v>760486453</v>
      </c>
      <c r="E622" s="98" t="str">
        <f>IFERROR(__xludf.DUMMYFUNCTION("""COMPUTED_VALUE"""),"N")</f>
        <v>N</v>
      </c>
      <c r="F622" s="98" t="str">
        <f>IFERROR(__xludf.DUMMYFUNCTION("""COMPUTED_VALUE"""),"Golden House")</f>
        <v>Golden House</v>
      </c>
      <c r="G622" s="98" t="str">
        <f>IFERROR(__xludf.DUMMYFUNCTION("""COMPUTED_VALUE"""),"BE070737")</f>
        <v>BE070737</v>
      </c>
      <c r="H622" s="98" t="str">
        <f>IFERROR(__xludf.DUMMYFUNCTION("""COMPUTED_VALUE"""),"Customer Want Return This Package")</f>
        <v>Customer Want Return This Package</v>
      </c>
      <c r="I622" s="98" t="str">
        <f>IFERROR(__xludf.DUMMYFUNCTION("""COMPUTED_VALUE"""),"Kegalle")</f>
        <v>Kegalle</v>
      </c>
      <c r="J622" s="98" t="str">
        <f>IFERROR(__xludf.DUMMYFUNCTION("""COMPUTED_VALUE"""),"Returned To Branch Failed To Deliver")</f>
        <v>Returned To Branch Failed To Deliver</v>
      </c>
      <c r="K622" s="98" t="str">
        <f>IFERROR(__xludf.DUMMYFUNCTION("""COMPUTED_VALUE"""),"Branch Operations")</f>
        <v>Branch Operations</v>
      </c>
      <c r="L622" s="98" t="str">
        <f>IFERROR(__xludf.DUMMYFUNCTION("""COMPUTED_VALUE"""),"Call Wrapped")</f>
        <v>Call Wrapped</v>
      </c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>
      <c r="A623" s="82"/>
      <c r="B623" s="106" t="str">
        <f>IFERROR(__xludf.DUMMYFUNCTION("""COMPUTED_VALUE"""),"899")</f>
        <v>899</v>
      </c>
      <c r="C623" s="106" t="str">
        <f>IFERROR(__xludf.DUMMYFUNCTION("""COMPUTED_VALUE"""),"Umesha")</f>
        <v>Umesha</v>
      </c>
      <c r="D623" s="106" t="str">
        <f>IFERROR(__xludf.DUMMYFUNCTION("""COMPUTED_VALUE"""),"705558488")</f>
        <v>705558488</v>
      </c>
      <c r="E623" s="106" t="str">
        <f>IFERROR(__xludf.DUMMYFUNCTION("""COMPUTED_VALUE"""),"N")</f>
        <v>N</v>
      </c>
      <c r="F623" s="106" t="str">
        <f>IFERROR(__xludf.DUMMYFUNCTION("""COMPUTED_VALUE"""),"Zee Max Holdings")</f>
        <v>Zee Max Holdings</v>
      </c>
      <c r="G623" s="106" t="str">
        <f>IFERROR(__xludf.DUMMYFUNCTION("""COMPUTED_VALUE"""),"90954741")</f>
        <v>90954741</v>
      </c>
      <c r="H623" s="106" t="str">
        <f>IFERROR(__xludf.DUMMYFUNCTION("""COMPUTED_VALUE"""),"Arrange Delivery Today / Top Urgent")</f>
        <v>Arrange Delivery Today / Top Urgent</v>
      </c>
      <c r="I623" s="106" t="str">
        <f>IFERROR(__xludf.DUMMYFUNCTION("""COMPUTED_VALUE"""),"Panadura")</f>
        <v>Panadura</v>
      </c>
      <c r="J623" s="106" t="str">
        <f>IFERROR(__xludf.DUMMYFUNCTION("""COMPUTED_VALUE"""),"Returned To Branch Rescheduled")</f>
        <v>Returned To Branch Rescheduled</v>
      </c>
      <c r="K623" s="106" t="str">
        <f>IFERROR(__xludf.DUMMYFUNCTION("""COMPUTED_VALUE"""),"Return")</f>
        <v>Return</v>
      </c>
      <c r="L623" s="106" t="str">
        <f>IFERROR(__xludf.DUMMYFUNCTION("""COMPUTED_VALUE"""),"Informed Branch")</f>
        <v>Informed Branch</v>
      </c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>
      <c r="A624" s="82"/>
      <c r="B624" s="98" t="str">
        <f>IFERROR(__xludf.DUMMYFUNCTION("""COMPUTED_VALUE"""),"900")</f>
        <v>900</v>
      </c>
      <c r="C624" s="98" t="str">
        <f>IFERROR(__xludf.DUMMYFUNCTION("""COMPUTED_VALUE"""),"Mandari")</f>
        <v>Mandari</v>
      </c>
      <c r="D624" s="98" t="str">
        <f>IFERROR(__xludf.DUMMYFUNCTION("""COMPUTED_VALUE"""),"761051545")</f>
        <v>761051545</v>
      </c>
      <c r="E624" s="98" t="str">
        <f>IFERROR(__xludf.DUMMYFUNCTION("""COMPUTED_VALUE"""),"Y")</f>
        <v>Y</v>
      </c>
      <c r="F624" s="98" t="str">
        <f>IFERROR(__xludf.DUMMYFUNCTION("""COMPUTED_VALUE"""),"Faith Store")</f>
        <v>Faith Store</v>
      </c>
      <c r="G624" s="98" t="str">
        <f>IFERROR(__xludf.DUMMYFUNCTION("""COMPUTED_VALUE"""),"A4553107")</f>
        <v>A4553107</v>
      </c>
      <c r="H624" s="98" t="str">
        <f>IFERROR(__xludf.DUMMYFUNCTION("""COMPUTED_VALUE"""),"Arrange To Deliver Today")</f>
        <v>Arrange To Deliver Today</v>
      </c>
      <c r="I624" s="98" t="str">
        <f>IFERROR(__xludf.DUMMYFUNCTION("""COMPUTED_VALUE"""),"Chilaw")</f>
        <v>Chilaw</v>
      </c>
      <c r="J624" s="98" t="str">
        <f>IFERROR(__xludf.DUMMYFUNCTION("""COMPUTED_VALUE"""),"Returned To Client")</f>
        <v>Returned To Client</v>
      </c>
      <c r="K624" s="98" t="str">
        <f>IFERROR(__xludf.DUMMYFUNCTION("""COMPUTED_VALUE"""),"Sales")</f>
        <v>Sales</v>
      </c>
      <c r="L624" s="98" t="str">
        <f>IFERROR(__xludf.DUMMYFUNCTION("""COMPUTED_VALUE"""),"Done")</f>
        <v>Done</v>
      </c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>
      <c r="A625" s="82"/>
      <c r="B625" s="106" t="str">
        <f>IFERROR(__xludf.DUMMYFUNCTION("""COMPUTED_VALUE"""),"901")</f>
        <v>901</v>
      </c>
      <c r="C625" s="106" t="str">
        <f>IFERROR(__xludf.DUMMYFUNCTION("""COMPUTED_VALUE"""),"Lakshani")</f>
        <v>Lakshani</v>
      </c>
      <c r="D625" s="106" t="str">
        <f>IFERROR(__xludf.DUMMYFUNCTION("""COMPUTED_VALUE"""),"797506810")</f>
        <v>797506810</v>
      </c>
      <c r="E625" s="106" t="str">
        <f>IFERROR(__xludf.DUMMYFUNCTION("""COMPUTED_VALUE"""),"Y")</f>
        <v>Y</v>
      </c>
      <c r="F625" s="106" t="str">
        <f>IFERROR(__xludf.DUMMYFUNCTION("""COMPUTED_VALUE"""),"Modern Venture")</f>
        <v>Modern Venture</v>
      </c>
      <c r="G625" s="106" t="str">
        <f>IFERROR(__xludf.DUMMYFUNCTION("""COMPUTED_VALUE"""),"BE117555")</f>
        <v>BE117555</v>
      </c>
      <c r="H625" s="106" t="str">
        <f>IFERROR(__xludf.DUMMYFUNCTION("""COMPUTED_VALUE"""),"Arrange Delivery Tomorrow / Urgent")</f>
        <v>Arrange Delivery Tomorrow / Urgent</v>
      </c>
      <c r="I625" s="106" t="str">
        <f>IFERROR(__xludf.DUMMYFUNCTION("""COMPUTED_VALUE"""),"Nittambuwa")</f>
        <v>Nittambuwa</v>
      </c>
      <c r="J625" s="106" t="str">
        <f>IFERROR(__xludf.DUMMYFUNCTION("""COMPUTED_VALUE"""),"Out For Delivery")</f>
        <v>Out For Delivery</v>
      </c>
      <c r="K625" s="106" t="str">
        <f>IFERROR(__xludf.DUMMYFUNCTION("""COMPUTED_VALUE"""),"Branch Operations")</f>
        <v>Branch Operations</v>
      </c>
      <c r="L625" s="106" t="str">
        <f>IFERROR(__xludf.DUMMYFUNCTION("""COMPUTED_VALUE"""),"On Route")</f>
        <v>On Route</v>
      </c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>
      <c r="A626" s="82"/>
      <c r="B626" s="98" t="str">
        <f>IFERROR(__xludf.DUMMYFUNCTION("""COMPUTED_VALUE"""),"902")</f>
        <v>902</v>
      </c>
      <c r="C626" s="98" t="str">
        <f>IFERROR(__xludf.DUMMYFUNCTION("""COMPUTED_VALUE"""),"Umesha")</f>
        <v>Umesha</v>
      </c>
      <c r="D626" s="98" t="str">
        <f>IFERROR(__xludf.DUMMYFUNCTION("""COMPUTED_VALUE"""),"771954106")</f>
        <v>771954106</v>
      </c>
      <c r="E626" s="98" t="str">
        <f>IFERROR(__xludf.DUMMYFUNCTION("""COMPUTED_VALUE"""),"N")</f>
        <v>N</v>
      </c>
      <c r="F626" s="108" t="str">
        <f>IFERROR(__xludf.DUMMYFUNCTION("""COMPUTED_VALUE"""),"Victoriaceyloan.Lk")</f>
        <v>Victoriaceyloan.Lk</v>
      </c>
      <c r="G626" s="98" t="str">
        <f>IFERROR(__xludf.DUMMYFUNCTION("""COMPUTED_VALUE"""),"BE083483")</f>
        <v>BE083483</v>
      </c>
      <c r="H626" s="98" t="str">
        <f>IFERROR(__xludf.DUMMYFUNCTION("""COMPUTED_VALUE"""),"Arrange Delivery Today / Top Urgent")</f>
        <v>Arrange Delivery Today / Top Urgent</v>
      </c>
      <c r="I626" s="98" t="str">
        <f>IFERROR(__xludf.DUMMYFUNCTION("""COMPUTED_VALUE"""),"Thalawathugoda")</f>
        <v>Thalawathugoda</v>
      </c>
      <c r="J626" s="98" t="str">
        <f>IFERROR(__xludf.DUMMYFUNCTION("""COMPUTED_VALUE"""),"Delivered")</f>
        <v>Delivered</v>
      </c>
      <c r="K626" s="98" t="str">
        <f>IFERROR(__xludf.DUMMYFUNCTION("""COMPUTED_VALUE"""),"Customer Care")</f>
        <v>Customer Care</v>
      </c>
      <c r="L626" s="98" t="str">
        <f>IFERROR(__xludf.DUMMYFUNCTION("""COMPUTED_VALUE"""),"Given Details")</f>
        <v>Given Details</v>
      </c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>
      <c r="A627" s="82"/>
      <c r="B627" s="106" t="str">
        <f>IFERROR(__xludf.DUMMYFUNCTION("""COMPUTED_VALUE"""),"903")</f>
        <v>903</v>
      </c>
      <c r="C627" s="106" t="str">
        <f>IFERROR(__xludf.DUMMYFUNCTION("""COMPUTED_VALUE"""),"Jeni")</f>
        <v>Jeni</v>
      </c>
      <c r="D627" s="106" t="str">
        <f>IFERROR(__xludf.DUMMYFUNCTION("""COMPUTED_VALUE"""),"778694249")</f>
        <v>778694249</v>
      </c>
      <c r="E627" s="106" t="str">
        <f>IFERROR(__xludf.DUMMYFUNCTION("""COMPUTED_VALUE"""),"N")</f>
        <v>N</v>
      </c>
      <c r="F627" s="106" t="str">
        <f>IFERROR(__xludf.DUMMYFUNCTION("""COMPUTED_VALUE"""),"Ad Happines (Hettipola)")</f>
        <v>Ad Happines (Hettipola)</v>
      </c>
      <c r="G627" s="106" t="str">
        <f>IFERROR(__xludf.DUMMYFUNCTION("""COMPUTED_VALUE"""),"A4338583")</f>
        <v>A4338583</v>
      </c>
      <c r="H627" s="106" t="str">
        <f>IFERROR(__xludf.DUMMYFUNCTION("""COMPUTED_VALUE"""),"Req Hr Department")</f>
        <v>Req Hr Department</v>
      </c>
      <c r="I627" s="106" t="str">
        <f>IFERROR(__xludf.DUMMYFUNCTION("""COMPUTED_VALUE"""),"Ja-Ela")</f>
        <v>Ja-Ela</v>
      </c>
      <c r="J627" s="106" t="str">
        <f>IFERROR(__xludf.DUMMYFUNCTION("""COMPUTED_VALUE"""),"Returned To Client")</f>
        <v>Returned To Client</v>
      </c>
      <c r="K627" s="106" t="str">
        <f>IFERROR(__xludf.DUMMYFUNCTION("""COMPUTED_VALUE"""),"Customer Care")</f>
        <v>Customer Care</v>
      </c>
      <c r="L627" s="106" t="str">
        <f>IFERROR(__xludf.DUMMYFUNCTION("""COMPUTED_VALUE"""),"Disconnected")</f>
        <v>Disconnected</v>
      </c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>
      <c r="A628" s="82"/>
      <c r="B628" s="98" t="str">
        <f>IFERROR(__xludf.DUMMYFUNCTION("""COMPUTED_VALUE"""),"904")</f>
        <v>904</v>
      </c>
      <c r="C628" s="98" t="str">
        <f>IFERROR(__xludf.DUMMYFUNCTION("""COMPUTED_VALUE"""),"Jeni")</f>
        <v>Jeni</v>
      </c>
      <c r="D628" s="98" t="str">
        <f>IFERROR(__xludf.DUMMYFUNCTION("""COMPUTED_VALUE"""),"778978202")</f>
        <v>778978202</v>
      </c>
      <c r="E628" s="98" t="str">
        <f>IFERROR(__xludf.DUMMYFUNCTION("""COMPUTED_VALUE"""),"N")</f>
        <v>N</v>
      </c>
      <c r="F628" s="98" t="str">
        <f>IFERROR(__xludf.DUMMYFUNCTION("""COMPUTED_VALUE"""),"Faith Store")</f>
        <v>Faith Store</v>
      </c>
      <c r="G628" s="98" t="str">
        <f>IFERROR(__xludf.DUMMYFUNCTION("""COMPUTED_VALUE"""),"RA04229376")</f>
        <v>RA04229376</v>
      </c>
      <c r="H628" s="98" t="str">
        <f>IFERROR(__xludf.DUMMYFUNCTION("""COMPUTED_VALUE"""),"Top Urgent")</f>
        <v>Top Urgent</v>
      </c>
      <c r="I628" s="98" t="str">
        <f>IFERROR(__xludf.DUMMYFUNCTION("""COMPUTED_VALUE"""),"Nittambuwa")</f>
        <v>Nittambuwa</v>
      </c>
      <c r="J628" s="98" t="str">
        <f>IFERROR(__xludf.DUMMYFUNCTION("""COMPUTED_VALUE"""),"Out For Delivery")</f>
        <v>Out For Delivery</v>
      </c>
      <c r="K628" s="98" t="str">
        <f>IFERROR(__xludf.DUMMYFUNCTION("""COMPUTED_VALUE"""),"Sales")</f>
        <v>Sales</v>
      </c>
      <c r="L628" s="98" t="str">
        <f>IFERROR(__xludf.DUMMYFUNCTION("""COMPUTED_VALUE"""),"Done")</f>
        <v>Done</v>
      </c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>
      <c r="A629" s="82"/>
      <c r="B629" s="106" t="str">
        <f>IFERROR(__xludf.DUMMYFUNCTION("""COMPUTED_VALUE"""),"905")</f>
        <v>905</v>
      </c>
      <c r="C629" s="106" t="str">
        <f>IFERROR(__xludf.DUMMYFUNCTION("""COMPUTED_VALUE"""),"Malik")</f>
        <v>Malik</v>
      </c>
      <c r="D629" s="106" t="str">
        <f>IFERROR(__xludf.DUMMYFUNCTION("""COMPUTED_VALUE"""),"758818583")</f>
        <v>758818583</v>
      </c>
      <c r="E629" s="106" t="str">
        <f>IFERROR(__xludf.DUMMYFUNCTION("""COMPUTED_VALUE"""),"N")</f>
        <v>N</v>
      </c>
      <c r="F629" s="106" t="str">
        <f>IFERROR(__xludf.DUMMYFUNCTION("""COMPUTED_VALUE"""),"Cutie Gifts")</f>
        <v>Cutie Gifts</v>
      </c>
      <c r="G629" s="106" t="str">
        <f>IFERROR(__xludf.DUMMYFUNCTION("""COMPUTED_VALUE"""),"A4715695")</f>
        <v>A4715695</v>
      </c>
      <c r="H629" s="106" t="str">
        <f>IFERROR(__xludf.DUMMYFUNCTION("""COMPUTED_VALUE"""),"Not Responded")</f>
        <v>Not Responded</v>
      </c>
      <c r="I629" s="106" t="str">
        <f>IFERROR(__xludf.DUMMYFUNCTION("""COMPUTED_VALUE"""),"Rikillagaskada")</f>
        <v>Rikillagaskada</v>
      </c>
      <c r="J629" s="106" t="str">
        <f>IFERROR(__xludf.DUMMYFUNCTION("""COMPUTED_VALUE"""),"Out For Delivery")</f>
        <v>Out For Delivery</v>
      </c>
      <c r="K629" s="106" t="str">
        <f>IFERROR(__xludf.DUMMYFUNCTION("""COMPUTED_VALUE"""),"Branch Operations")</f>
        <v>Branch Operations</v>
      </c>
      <c r="L629" s="106" t="str">
        <f>IFERROR(__xludf.DUMMYFUNCTION("""COMPUTED_VALUE"""),"Check And Call Back")</f>
        <v>Check And Call Back</v>
      </c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>
      <c r="A630" s="82"/>
      <c r="B630" s="98" t="str">
        <f>IFERROR(__xludf.DUMMYFUNCTION("""COMPUTED_VALUE"""),"906")</f>
        <v>906</v>
      </c>
      <c r="C630" s="98" t="str">
        <f>IFERROR(__xludf.DUMMYFUNCTION("""COMPUTED_VALUE"""),"Mandari")</f>
        <v>Mandari</v>
      </c>
      <c r="D630" s="98" t="str">
        <f>IFERROR(__xludf.DUMMYFUNCTION("""COMPUTED_VALUE"""),"702337422")</f>
        <v>702337422</v>
      </c>
      <c r="E630" s="98" t="str">
        <f>IFERROR(__xludf.DUMMYFUNCTION("""COMPUTED_VALUE"""),"Y")</f>
        <v>Y</v>
      </c>
      <c r="F630" s="98" t="str">
        <f>IFERROR(__xludf.DUMMYFUNCTION("""COMPUTED_VALUE"""),"Samanali Products")</f>
        <v>Samanali Products</v>
      </c>
      <c r="G630" s="98" t="str">
        <f>IFERROR(__xludf.DUMMYFUNCTION("""COMPUTED_VALUE"""),"A4383823")</f>
        <v>A4383823</v>
      </c>
      <c r="H630" s="98" t="str">
        <f>IFERROR(__xludf.DUMMYFUNCTION("""COMPUTED_VALUE"""),"Still Processing")</f>
        <v>Still Processing</v>
      </c>
      <c r="I630" s="98" t="str">
        <f>IFERROR(__xludf.DUMMYFUNCTION("""COMPUTED_VALUE"""),"Pilimathlawa")</f>
        <v>Pilimathlawa</v>
      </c>
      <c r="J630" s="98" t="str">
        <f>IFERROR(__xludf.DUMMYFUNCTION("""COMPUTED_VALUE"""),"Dispatched To Destination")</f>
        <v>Dispatched To Destination</v>
      </c>
      <c r="K630" s="98" t="str">
        <f>IFERROR(__xludf.DUMMYFUNCTION("""COMPUTED_VALUE"""),"Branch Operations")</f>
        <v>Branch Operations</v>
      </c>
      <c r="L630" s="98" t="str">
        <f>IFERROR(__xludf.DUMMYFUNCTION("""COMPUTED_VALUE"""),"Informed Genzo Team")</f>
        <v>Informed Genzo Team</v>
      </c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>
      <c r="A631" s="82"/>
      <c r="B631" s="106" t="str">
        <f>IFERROR(__xludf.DUMMYFUNCTION("""COMPUTED_VALUE"""),"907")</f>
        <v>907</v>
      </c>
      <c r="C631" s="106" t="str">
        <f>IFERROR(__xludf.DUMMYFUNCTION("""COMPUTED_VALUE"""),"Umesha")</f>
        <v>Umesha</v>
      </c>
      <c r="D631" s="106" t="str">
        <f>IFERROR(__xludf.DUMMYFUNCTION("""COMPUTED_VALUE"""),"786141242")</f>
        <v>786141242</v>
      </c>
      <c r="E631" s="106" t="str">
        <f>IFERROR(__xludf.DUMMYFUNCTION("""COMPUTED_VALUE"""),"Y")</f>
        <v>Y</v>
      </c>
      <c r="F631" s="106" t="str">
        <f>IFERROR(__xludf.DUMMYFUNCTION("""COMPUTED_VALUE"""),"Quick Mart.Lk")</f>
        <v>Quick Mart.Lk</v>
      </c>
      <c r="G631" s="106" t="str">
        <f>IFERROR(__xludf.DUMMYFUNCTION("""COMPUTED_VALUE"""),"BA779612")</f>
        <v>BA779612</v>
      </c>
      <c r="H631" s="106" t="str">
        <f>IFERROR(__xludf.DUMMYFUNCTION("""COMPUTED_VALUE"""),"Re Deliver")</f>
        <v>Re Deliver</v>
      </c>
      <c r="I631" s="106" t="str">
        <f>IFERROR(__xludf.DUMMYFUNCTION("""COMPUTED_VALUE"""),"Negombo")</f>
        <v>Negombo</v>
      </c>
      <c r="J631" s="106" t="str">
        <f>IFERROR(__xludf.DUMMYFUNCTION("""COMPUTED_VALUE"""),"Returned To Branch Failed To Deliver")</f>
        <v>Returned To Branch Failed To Deliver</v>
      </c>
      <c r="K631" s="106" t="str">
        <f>IFERROR(__xludf.DUMMYFUNCTION("""COMPUTED_VALUE"""),"Sales")</f>
        <v>Sales</v>
      </c>
      <c r="L631" s="106" t="str">
        <f>IFERROR(__xludf.DUMMYFUNCTION("""COMPUTED_VALUE"""),"Done")</f>
        <v>Done</v>
      </c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>
      <c r="A632" s="82"/>
      <c r="B632" s="98" t="str">
        <f>IFERROR(__xludf.DUMMYFUNCTION("""COMPUTED_VALUE"""),"908")</f>
        <v>908</v>
      </c>
      <c r="C632" s="98" t="str">
        <f>IFERROR(__xludf.DUMMYFUNCTION("""COMPUTED_VALUE"""),"Umesha")</f>
        <v>Umesha</v>
      </c>
      <c r="D632" s="98" t="str">
        <f>IFERROR(__xludf.DUMMYFUNCTION("""COMPUTED_VALUE"""),"757578955")</f>
        <v>757578955</v>
      </c>
      <c r="E632" s="98" t="str">
        <f>IFERROR(__xludf.DUMMYFUNCTION("""COMPUTED_VALUE"""),"Y")</f>
        <v>Y</v>
      </c>
      <c r="F632" s="98" t="str">
        <f>IFERROR(__xludf.DUMMYFUNCTION("""COMPUTED_VALUE"""),"Mahaovita Hela Osu")</f>
        <v>Mahaovita Hela Osu</v>
      </c>
      <c r="G632" s="98" t="str">
        <f>IFERROR(__xludf.DUMMYFUNCTION("""COMPUTED_VALUE"""),"BE010314")</f>
        <v>BE010314</v>
      </c>
      <c r="H632" s="98" t="str">
        <f>IFERROR(__xludf.DUMMYFUNCTION("""COMPUTED_VALUE"""),"Horana Branch No")</f>
        <v>Horana Branch No</v>
      </c>
      <c r="I632" s="98" t="str">
        <f>IFERROR(__xludf.DUMMYFUNCTION("""COMPUTED_VALUE"""),"Ambalangoda")</f>
        <v>Ambalangoda</v>
      </c>
      <c r="J632" s="98" t="str">
        <f>IFERROR(__xludf.DUMMYFUNCTION("""COMPUTED_VALUE"""),"Returned To Branch Failed To Deliver")</f>
        <v>Returned To Branch Failed To Deliver</v>
      </c>
      <c r="K632" s="98" t="str">
        <f>IFERROR(__xludf.DUMMYFUNCTION("""COMPUTED_VALUE"""),"Branch Operations")</f>
        <v>Branch Operations</v>
      </c>
      <c r="L632" s="98" t="str">
        <f>IFERROR(__xludf.DUMMYFUNCTION("""COMPUTED_VALUE"""),"Informed Branch")</f>
        <v>Informed Branch</v>
      </c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>
      <c r="A633" s="82"/>
      <c r="B633" s="106" t="str">
        <f>IFERROR(__xludf.DUMMYFUNCTION("""COMPUTED_VALUE"""),"909")</f>
        <v>909</v>
      </c>
      <c r="C633" s="106" t="str">
        <f>IFERROR(__xludf.DUMMYFUNCTION("""COMPUTED_VALUE"""),"Mandari")</f>
        <v>Mandari</v>
      </c>
      <c r="D633" s="106" t="str">
        <f>IFERROR(__xludf.DUMMYFUNCTION("""COMPUTED_VALUE"""),"778978202")</f>
        <v>778978202</v>
      </c>
      <c r="E633" s="106" t="str">
        <f>IFERROR(__xludf.DUMMYFUNCTION("""COMPUTED_VALUE"""),"N")</f>
        <v>N</v>
      </c>
      <c r="F633" s="106" t="str">
        <f>IFERROR(__xludf.DUMMYFUNCTION("""COMPUTED_VALUE"""),"Winpro Holdings")</f>
        <v>Winpro Holdings</v>
      </c>
      <c r="G633" s="106" t="str">
        <f>IFERROR(__xludf.DUMMYFUNCTION("""COMPUTED_VALUE"""),"A4553107")</f>
        <v>A4553107</v>
      </c>
      <c r="H633" s="106" t="str">
        <f>IFERROR(__xludf.DUMMYFUNCTION("""COMPUTED_VALUE"""),"New Registration")</f>
        <v>New Registration</v>
      </c>
      <c r="I633" s="106" t="str">
        <f>IFERROR(__xludf.DUMMYFUNCTION("""COMPUTED_VALUE"""),"Jaffna")</f>
        <v>Jaffna</v>
      </c>
      <c r="J633" s="106" t="str">
        <f>IFERROR(__xludf.DUMMYFUNCTION("""COMPUTED_VALUE"""),"Returned To Branch Rescheduled")</f>
        <v>Returned To Branch Rescheduled</v>
      </c>
      <c r="K633" s="106" t="str">
        <f>IFERROR(__xludf.DUMMYFUNCTION("""COMPUTED_VALUE"""),"Branch Operations")</f>
        <v>Branch Operations</v>
      </c>
      <c r="L633" s="106" t="str">
        <f>IFERROR(__xludf.DUMMYFUNCTION("""COMPUTED_VALUE"""),"Given Incharge Number")</f>
        <v>Given Incharge Number</v>
      </c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>
      <c r="A634" s="82"/>
      <c r="B634" s="98" t="str">
        <f>IFERROR(__xludf.DUMMYFUNCTION("""COMPUTED_VALUE"""),"910")</f>
        <v>910</v>
      </c>
      <c r="C634" s="98" t="str">
        <f>IFERROR(__xludf.DUMMYFUNCTION("""COMPUTED_VALUE"""),"Mandari")</f>
        <v>Mandari</v>
      </c>
      <c r="D634" s="98" t="str">
        <f>IFERROR(__xludf.DUMMYFUNCTION("""COMPUTED_VALUE"""),"717127550")</f>
        <v>717127550</v>
      </c>
      <c r="E634" s="98" t="str">
        <f>IFERROR(__xludf.DUMMYFUNCTION("""COMPUTED_VALUE"""),"N")</f>
        <v>N</v>
      </c>
      <c r="F634" s="98" t="str">
        <f>IFERROR(__xludf.DUMMYFUNCTION("""COMPUTED_VALUE"""),"Mona'S Closet")</f>
        <v>Mona'S Closet</v>
      </c>
      <c r="G634" s="98" t="str">
        <f>IFERROR(__xludf.DUMMYFUNCTION("""COMPUTED_VALUE"""),"BE109206")</f>
        <v>BE109206</v>
      </c>
      <c r="H634" s="98" t="str">
        <f>IFERROR(__xludf.DUMMYFUNCTION("""COMPUTED_VALUE"""),"Asked Some Details")</f>
        <v>Asked Some Details</v>
      </c>
      <c r="I634" s="98"/>
      <c r="J634" s="98" t="str">
        <f>IFERROR(__xludf.DUMMYFUNCTION("""COMPUTED_VALUE"""),"Delivered")</f>
        <v>Delivered</v>
      </c>
      <c r="K634" s="98" t="str">
        <f>IFERROR(__xludf.DUMMYFUNCTION("""COMPUTED_VALUE"""),"Customer Care")</f>
        <v>Customer Care</v>
      </c>
      <c r="L634" s="98" t="str">
        <f>IFERROR(__xludf.DUMMYFUNCTION("""COMPUTED_VALUE"""),"Customer Said Want To Change Addess -We Said Contact The Customer")</f>
        <v>Customer Said Want To Change Addess -We Said Contact The Customer</v>
      </c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>
      <c r="A635" s="82"/>
      <c r="B635" s="106" t="str">
        <f>IFERROR(__xludf.DUMMYFUNCTION("""COMPUTED_VALUE"""),"911")</f>
        <v>911</v>
      </c>
      <c r="C635" s="106" t="str">
        <f>IFERROR(__xludf.DUMMYFUNCTION("""COMPUTED_VALUE"""),"Umesha")</f>
        <v>Umesha</v>
      </c>
      <c r="D635" s="106" t="str">
        <f>IFERROR(__xludf.DUMMYFUNCTION("""COMPUTED_VALUE"""),"765660973")</f>
        <v>765660973</v>
      </c>
      <c r="E635" s="106" t="str">
        <f>IFERROR(__xludf.DUMMYFUNCTION("""COMPUTED_VALUE"""),"Y")</f>
        <v>Y</v>
      </c>
      <c r="F635" s="106" t="str">
        <f>IFERROR(__xludf.DUMMYFUNCTION("""COMPUTED_VALUE"""),"360° Online.Lk")</f>
        <v>360° Online.Lk</v>
      </c>
      <c r="G635" s="106" t="str">
        <f>IFERROR(__xludf.DUMMYFUNCTION("""COMPUTED_VALUE"""),"A1127756")</f>
        <v>A1127756</v>
      </c>
      <c r="H635" s="106" t="str">
        <f>IFERROR(__xludf.DUMMYFUNCTION("""COMPUTED_VALUE"""),"Customer Want Return The Package")</f>
        <v>Customer Want Return The Package</v>
      </c>
      <c r="I635" s="106" t="str">
        <f>IFERROR(__xludf.DUMMYFUNCTION("""COMPUTED_VALUE"""),"Ambalangoda")</f>
        <v>Ambalangoda</v>
      </c>
      <c r="J635" s="106" t="str">
        <f>IFERROR(__xludf.DUMMYFUNCTION("""COMPUTED_VALUE"""),"Received At Destination")</f>
        <v>Received At Destination</v>
      </c>
      <c r="K635" s="106" t="str">
        <f>IFERROR(__xludf.DUMMYFUNCTION("""COMPUTED_VALUE"""),"Branch Operations")</f>
        <v>Branch Operations</v>
      </c>
      <c r="L635" s="106" t="str">
        <f>IFERROR(__xludf.DUMMYFUNCTION("""COMPUTED_VALUE"""),"Transfer Call Jeni")</f>
        <v>Transfer Call Jeni</v>
      </c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>
      <c r="A636" s="82"/>
      <c r="B636" s="98" t="str">
        <f>IFERROR(__xludf.DUMMYFUNCTION("""COMPUTED_VALUE"""),"912")</f>
        <v>912</v>
      </c>
      <c r="C636" s="98" t="str">
        <f>IFERROR(__xludf.DUMMYFUNCTION("""COMPUTED_VALUE"""),"Malik")</f>
        <v>Malik</v>
      </c>
      <c r="D636" s="98" t="str">
        <f>IFERROR(__xludf.DUMMYFUNCTION("""COMPUTED_VALUE"""),"770444584")</f>
        <v>770444584</v>
      </c>
      <c r="E636" s="98" t="str">
        <f>IFERROR(__xludf.DUMMYFUNCTION("""COMPUTED_VALUE"""),"Y")</f>
        <v>Y</v>
      </c>
      <c r="F636" s="98" t="str">
        <f>IFERROR(__xludf.DUMMYFUNCTION("""COMPUTED_VALUE"""),"Angel Attic")</f>
        <v>Angel Attic</v>
      </c>
      <c r="G636" s="98" t="str">
        <f>IFERROR(__xludf.DUMMYFUNCTION("""COMPUTED_VALUE"""),"BA780702")</f>
        <v>BA780702</v>
      </c>
      <c r="H636" s="98" t="str">
        <f>IFERROR(__xludf.DUMMYFUNCTION("""COMPUTED_VALUE"""),"English Call")</f>
        <v>English Call</v>
      </c>
      <c r="I636" s="98" t="str">
        <f>IFERROR(__xludf.DUMMYFUNCTION("""COMPUTED_VALUE"""),"Ambalangoda")</f>
        <v>Ambalangoda</v>
      </c>
      <c r="J636" s="98" t="str">
        <f>IFERROR(__xludf.DUMMYFUNCTION("""COMPUTED_VALUE"""),"Received At Destination")</f>
        <v>Received At Destination</v>
      </c>
      <c r="K636" s="98" t="str">
        <f>IFERROR(__xludf.DUMMYFUNCTION("""COMPUTED_VALUE"""),"Branch Operations")</f>
        <v>Branch Operations</v>
      </c>
      <c r="L636" s="98" t="str">
        <f>IFERROR(__xludf.DUMMYFUNCTION("""COMPUTED_VALUE"""),"Customer Said Check Andcall Back")</f>
        <v>Customer Said Check Andcall Back</v>
      </c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>
      <c r="A637" s="82"/>
      <c r="B637" s="106" t="str">
        <f>IFERROR(__xludf.DUMMYFUNCTION("""COMPUTED_VALUE"""),"913")</f>
        <v>913</v>
      </c>
      <c r="C637" s="106" t="str">
        <f>IFERROR(__xludf.DUMMYFUNCTION("""COMPUTED_VALUE"""),"Umesha")</f>
        <v>Umesha</v>
      </c>
      <c r="D637" s="106" t="str">
        <f>IFERROR(__xludf.DUMMYFUNCTION("""COMPUTED_VALUE"""),"702337422")</f>
        <v>702337422</v>
      </c>
      <c r="E637" s="106" t="str">
        <f>IFERROR(__xludf.DUMMYFUNCTION("""COMPUTED_VALUE"""),"N")</f>
        <v>N</v>
      </c>
      <c r="F637" s="106" t="str">
        <f>IFERROR(__xludf.DUMMYFUNCTION("""COMPUTED_VALUE"""),"Win Lanka")</f>
        <v>Win Lanka</v>
      </c>
      <c r="G637" s="106" t="str">
        <f>IFERROR(__xludf.DUMMYFUNCTION("""COMPUTED_VALUE"""),"A4157598")</f>
        <v>A4157598</v>
      </c>
      <c r="H637" s="106" t="str">
        <f>IFERROR(__xludf.DUMMYFUNCTION("""COMPUTED_VALUE"""),"Re Deliver")</f>
        <v>Re Deliver</v>
      </c>
      <c r="I637" s="106" t="str">
        <f>IFERROR(__xludf.DUMMYFUNCTION("""COMPUTED_VALUE"""),"Homagama")</f>
        <v>Homagama</v>
      </c>
      <c r="J637" s="106" t="str">
        <f>IFERROR(__xludf.DUMMYFUNCTION("""COMPUTED_VALUE"""),"Out For Delivery")</f>
        <v>Out For Delivery</v>
      </c>
      <c r="K637" s="106" t="str">
        <f>IFERROR(__xludf.DUMMYFUNCTION("""COMPUTED_VALUE"""),"Customer Care")</f>
        <v>Customer Care</v>
      </c>
      <c r="L637" s="106" t="str">
        <f>IFERROR(__xludf.DUMMYFUNCTION("""COMPUTED_VALUE"""),"Informed Branch")</f>
        <v>Informed Branch</v>
      </c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>
      <c r="A638" s="82"/>
      <c r="B638" s="98" t="str">
        <f>IFERROR(__xludf.DUMMYFUNCTION("""COMPUTED_VALUE"""),"914")</f>
        <v>914</v>
      </c>
      <c r="C638" s="98" t="str">
        <f>IFERROR(__xludf.DUMMYFUNCTION("""COMPUTED_VALUE"""),"Lakshani")</f>
        <v>Lakshani</v>
      </c>
      <c r="D638" s="98" t="str">
        <f>IFERROR(__xludf.DUMMYFUNCTION("""COMPUTED_VALUE"""),"773096392")</f>
        <v>773096392</v>
      </c>
      <c r="E638" s="98" t="str">
        <f>IFERROR(__xludf.DUMMYFUNCTION("""COMPUTED_VALUE"""),"N")</f>
        <v>N</v>
      </c>
      <c r="F638" s="98" t="str">
        <f>IFERROR(__xludf.DUMMYFUNCTION("""COMPUTED_VALUE"""),"Miraci Holdings")</f>
        <v>Miraci Holdings</v>
      </c>
      <c r="G638" s="98" t="str">
        <f>IFERROR(__xludf.DUMMYFUNCTION("""COMPUTED_VALUE"""),"WD257569")</f>
        <v>WD257569</v>
      </c>
      <c r="H638" s="98" t="str">
        <f>IFERROR(__xludf.DUMMYFUNCTION("""COMPUTED_VALUE"""),"The Package Was Delivered To The Customer, But The Payment Was Not Collected From The Customer.")</f>
        <v>The Package Was Delivered To The Customer, But The Payment Was Not Collected From The Customer.</v>
      </c>
      <c r="I638" s="98" t="str">
        <f>IFERROR(__xludf.DUMMYFUNCTION("""COMPUTED_VALUE"""),"Ratmalana")</f>
        <v>Ratmalana</v>
      </c>
      <c r="J638" s="98" t="str">
        <f>IFERROR(__xludf.DUMMYFUNCTION("""COMPUTED_VALUE"""),"Delivered")</f>
        <v>Delivered</v>
      </c>
      <c r="K638" s="98" t="str">
        <f>IFERROR(__xludf.DUMMYFUNCTION("""COMPUTED_VALUE"""),"Branch Operations")</f>
        <v>Branch Operations</v>
      </c>
      <c r="L638" s="98" t="str">
        <f>IFERROR(__xludf.DUMMYFUNCTION("""COMPUTED_VALUE"""),"Given Details")</f>
        <v>Given Details</v>
      </c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>
      <c r="A639" s="82"/>
      <c r="B639" s="106" t="str">
        <f>IFERROR(__xludf.DUMMYFUNCTION("""COMPUTED_VALUE"""),"915")</f>
        <v>915</v>
      </c>
      <c r="C639" s="106" t="str">
        <f>IFERROR(__xludf.DUMMYFUNCTION("""COMPUTED_VALUE"""),"Umesha")</f>
        <v>Umesha</v>
      </c>
      <c r="D639" s="106" t="str">
        <f>IFERROR(__xludf.DUMMYFUNCTION("""COMPUTED_VALUE"""),"768692126")</f>
        <v>768692126</v>
      </c>
      <c r="E639" s="106" t="str">
        <f>IFERROR(__xludf.DUMMYFUNCTION("""COMPUTED_VALUE"""),"Y")</f>
        <v>Y</v>
      </c>
      <c r="F639" s="106" t="str">
        <f>IFERROR(__xludf.DUMMYFUNCTION("""COMPUTED_VALUE"""),"Rooby Marketing")</f>
        <v>Rooby Marketing</v>
      </c>
      <c r="G639" s="106" t="str">
        <f>IFERROR(__xludf.DUMMYFUNCTION("""COMPUTED_VALUE"""),"BE010314")</f>
        <v>BE010314</v>
      </c>
      <c r="H639" s="106" t="str">
        <f>IFERROR(__xludf.DUMMYFUNCTION("""COMPUTED_VALUE"""),"Answered")</f>
        <v>Answered</v>
      </c>
      <c r="I639" s="106" t="str">
        <f>IFERROR(__xludf.DUMMYFUNCTION("""COMPUTED_VALUE"""),"Kahatagasdigiliya")</f>
        <v>Kahatagasdigiliya</v>
      </c>
      <c r="J639" s="106" t="str">
        <f>IFERROR(__xludf.DUMMYFUNCTION("""COMPUTED_VALUE"""),"Out For Delivery")</f>
        <v>Out For Delivery</v>
      </c>
      <c r="K639" s="106" t="str">
        <f>IFERROR(__xludf.DUMMYFUNCTION("""COMPUTED_VALUE"""),"Customer Care")</f>
        <v>Customer Care</v>
      </c>
      <c r="L639" s="106" t="str">
        <f>IFERROR(__xludf.DUMMYFUNCTION("""COMPUTED_VALUE"""),"Done")</f>
        <v>Done</v>
      </c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>
      <c r="A640" s="82"/>
      <c r="B640" s="98" t="str">
        <f>IFERROR(__xludf.DUMMYFUNCTION("""COMPUTED_VALUE"""),"916")</f>
        <v>916</v>
      </c>
      <c r="C640" s="98" t="str">
        <f>IFERROR(__xludf.DUMMYFUNCTION("""COMPUTED_VALUE"""),"Malik")</f>
        <v>Malik</v>
      </c>
      <c r="D640" s="98" t="str">
        <f>IFERROR(__xludf.DUMMYFUNCTION("""COMPUTED_VALUE"""),"768953933")</f>
        <v>768953933</v>
      </c>
      <c r="E640" s="98" t="str">
        <f>IFERROR(__xludf.DUMMYFUNCTION("""COMPUTED_VALUE"""),"Y")</f>
        <v>Y</v>
      </c>
      <c r="F640" s="98" t="str">
        <f>IFERROR(__xludf.DUMMYFUNCTION("""COMPUTED_VALUE"""),"Cosmetics By Dill")</f>
        <v>Cosmetics By Dill</v>
      </c>
      <c r="G640" s="98" t="str">
        <f>IFERROR(__xludf.DUMMYFUNCTION("""COMPUTED_VALUE"""),"A4715695")</f>
        <v>A4715695</v>
      </c>
      <c r="H640" s="98" t="str">
        <f>IFERROR(__xludf.DUMMYFUNCTION("""COMPUTED_VALUE"""),"Arrange To Deliver Today / Top Urgant")</f>
        <v>Arrange To Deliver Today / Top Urgant</v>
      </c>
      <c r="I640" s="98" t="str">
        <f>IFERROR(__xludf.DUMMYFUNCTION("""COMPUTED_VALUE"""),"Kurunegala")</f>
        <v>Kurunegala</v>
      </c>
      <c r="J640" s="98" t="str">
        <f>IFERROR(__xludf.DUMMYFUNCTION("""COMPUTED_VALUE"""),"Received At Destination")</f>
        <v>Received At Destination</v>
      </c>
      <c r="K640" s="98" t="str">
        <f>IFERROR(__xludf.DUMMYFUNCTION("""COMPUTED_VALUE"""),"Customer Care")</f>
        <v>Customer Care</v>
      </c>
      <c r="L640" s="98" t="str">
        <f>IFERROR(__xludf.DUMMYFUNCTION("""COMPUTED_VALUE"""),"Tranfer Call")</f>
        <v>Tranfer Call</v>
      </c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>
      <c r="A641" s="82"/>
      <c r="B641" s="106" t="str">
        <f>IFERROR(__xludf.DUMMYFUNCTION("""COMPUTED_VALUE"""),"917")</f>
        <v>917</v>
      </c>
      <c r="C641" s="106" t="str">
        <f>IFERROR(__xludf.DUMMYFUNCTION("""COMPUTED_VALUE"""),"Umesha")</f>
        <v>Umesha</v>
      </c>
      <c r="D641" s="106" t="str">
        <f>IFERROR(__xludf.DUMMYFUNCTION("""COMPUTED_VALUE"""),"767996043")</f>
        <v>767996043</v>
      </c>
      <c r="E641" s="106" t="str">
        <f>IFERROR(__xludf.DUMMYFUNCTION("""COMPUTED_VALUE"""),"N")</f>
        <v>N</v>
      </c>
      <c r="F641" s="107" t="str">
        <f>IFERROR(__xludf.DUMMYFUNCTION("""COMPUTED_VALUE"""),"Crown.Lk")</f>
        <v>Crown.Lk</v>
      </c>
      <c r="G641" s="106" t="str">
        <f>IFERROR(__xludf.DUMMYFUNCTION("""COMPUTED_VALUE"""),"A4431757")</f>
        <v>A4431757</v>
      </c>
      <c r="H641" s="106" t="str">
        <f>IFERROR(__xludf.DUMMYFUNCTION("""COMPUTED_VALUE"""),"Didn'T Know The Tracking Number")</f>
        <v>Didn'T Know The Tracking Number</v>
      </c>
      <c r="I641" s="106" t="str">
        <f>IFERROR(__xludf.DUMMYFUNCTION("""COMPUTED_VALUE"""),"Monaragala")</f>
        <v>Monaragala</v>
      </c>
      <c r="J641" s="106" t="str">
        <f>IFERROR(__xludf.DUMMYFUNCTION("""COMPUTED_VALUE"""),"Out For Delivery")</f>
        <v>Out For Delivery</v>
      </c>
      <c r="K641" s="106" t="str">
        <f>IFERROR(__xludf.DUMMYFUNCTION("""COMPUTED_VALUE"""),"Return")</f>
        <v>Return</v>
      </c>
      <c r="L641" s="106" t="str">
        <f>IFERROR(__xludf.DUMMYFUNCTION("""COMPUTED_VALUE"""),"Disconected The Line")</f>
        <v>Disconected The Line</v>
      </c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>
      <c r="A642" s="82"/>
      <c r="B642" s="98" t="str">
        <f>IFERROR(__xludf.DUMMYFUNCTION("""COMPUTED_VALUE"""),"918")</f>
        <v>918</v>
      </c>
      <c r="C642" s="98" t="str">
        <f>IFERROR(__xludf.DUMMYFUNCTION("""COMPUTED_VALUE"""),"Umesha")</f>
        <v>Umesha</v>
      </c>
      <c r="D642" s="98" t="str">
        <f>IFERROR(__xludf.DUMMYFUNCTION("""COMPUTED_VALUE"""),"766889773")</f>
        <v>766889773</v>
      </c>
      <c r="E642" s="98" t="str">
        <f>IFERROR(__xludf.DUMMYFUNCTION("""COMPUTED_VALUE"""),"N")</f>
        <v>N</v>
      </c>
      <c r="F642" s="108" t="str">
        <f>IFERROR(__xludf.DUMMYFUNCTION("""COMPUTED_VALUE"""),"Saleway.Lk")</f>
        <v>Saleway.Lk</v>
      </c>
      <c r="G642" s="98" t="str">
        <f>IFERROR(__xludf.DUMMYFUNCTION("""COMPUTED_VALUE"""),"A4553107")</f>
        <v>A4553107</v>
      </c>
      <c r="H642" s="98" t="str">
        <f>IFERROR(__xludf.DUMMYFUNCTION("""COMPUTED_VALUE"""),"Customer Want Return The Package")</f>
        <v>Customer Want Return The Package</v>
      </c>
      <c r="I642" s="98" t="str">
        <f>IFERROR(__xludf.DUMMYFUNCTION("""COMPUTED_VALUE"""),"Thalawathugoda")</f>
        <v>Thalawathugoda</v>
      </c>
      <c r="J642" s="98" t="str">
        <f>IFERROR(__xludf.DUMMYFUNCTION("""COMPUTED_VALUE"""),"Returned To Client")</f>
        <v>Returned To Client</v>
      </c>
      <c r="K642" s="98" t="str">
        <f>IFERROR(__xludf.DUMMYFUNCTION("""COMPUTED_VALUE"""),"Branch Operations")</f>
        <v>Branch Operations</v>
      </c>
      <c r="L642" s="98" t="str">
        <f>IFERROR(__xludf.DUMMYFUNCTION("""COMPUTED_VALUE"""),"Informed Cline")</f>
        <v>Informed Cline</v>
      </c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>
      <c r="A643" s="82"/>
      <c r="B643" s="106" t="str">
        <f>IFERROR(__xludf.DUMMYFUNCTION("""COMPUTED_VALUE"""),"919")</f>
        <v>919</v>
      </c>
      <c r="C643" s="106" t="str">
        <f>IFERROR(__xludf.DUMMYFUNCTION("""COMPUTED_VALUE"""),"Malik")</f>
        <v>Malik</v>
      </c>
      <c r="D643" s="106" t="str">
        <f>IFERROR(__xludf.DUMMYFUNCTION("""COMPUTED_VALUE"""),"774306540")</f>
        <v>774306540</v>
      </c>
      <c r="E643" s="106" t="str">
        <f>IFERROR(__xludf.DUMMYFUNCTION("""COMPUTED_VALUE"""),"N")</f>
        <v>N</v>
      </c>
      <c r="F643" s="107" t="str">
        <f>IFERROR(__xludf.DUMMYFUNCTION("""COMPUTED_VALUE"""),"Netwave.Lk")</f>
        <v>Netwave.Lk</v>
      </c>
      <c r="G643" s="106" t="str">
        <f>IFERROR(__xludf.DUMMYFUNCTION("""COMPUTED_VALUE"""),"A4456089")</f>
        <v>A4456089</v>
      </c>
      <c r="H643" s="106" t="str">
        <f>IFERROR(__xludf.DUMMYFUNCTION("""COMPUTED_VALUE"""),"Top Urgent Today")</f>
        <v>Top Urgent Today</v>
      </c>
      <c r="I643" s="106" t="str">
        <f>IFERROR(__xludf.DUMMYFUNCTION("""COMPUTED_VALUE"""),"Negombo")</f>
        <v>Negombo</v>
      </c>
      <c r="J643" s="106" t="str">
        <f>IFERROR(__xludf.DUMMYFUNCTION("""COMPUTED_VALUE"""),"Received At Destination")</f>
        <v>Received At Destination</v>
      </c>
      <c r="K643" s="106" t="str">
        <f>IFERROR(__xludf.DUMMYFUNCTION("""COMPUTED_VALUE"""),"Hr")</f>
        <v>Hr</v>
      </c>
      <c r="L643" s="106" t="str">
        <f>IFERROR(__xludf.DUMMYFUNCTION("""COMPUTED_VALUE"""),"Informed Branch Number Via A Whatsapp")</f>
        <v>Informed Branch Number Via A Whatsapp</v>
      </c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>
      <c r="A644" s="82"/>
      <c r="B644" s="98" t="str">
        <f>IFERROR(__xludf.DUMMYFUNCTION("""COMPUTED_VALUE"""),"920")</f>
        <v>920</v>
      </c>
      <c r="C644" s="98" t="str">
        <f>IFERROR(__xludf.DUMMYFUNCTION("""COMPUTED_VALUE"""),"Jeni")</f>
        <v>Jeni</v>
      </c>
      <c r="D644" s="98" t="str">
        <f>IFERROR(__xludf.DUMMYFUNCTION("""COMPUTED_VALUE"""),"761547067")</f>
        <v>761547067</v>
      </c>
      <c r="E644" s="98" t="str">
        <f>IFERROR(__xludf.DUMMYFUNCTION("""COMPUTED_VALUE"""),"N")</f>
        <v>N</v>
      </c>
      <c r="F644" s="98" t="str">
        <f>IFERROR(__xludf.DUMMYFUNCTION("""COMPUTED_VALUE"""),"Lesa Fashion")</f>
        <v>Lesa Fashion</v>
      </c>
      <c r="G644" s="98" t="str">
        <f>IFERROR(__xludf.DUMMYFUNCTION("""COMPUTED_VALUE"""),"BE010314")</f>
        <v>BE010314</v>
      </c>
      <c r="H644" s="98" t="str">
        <f>IFERROR(__xludf.DUMMYFUNCTION("""COMPUTED_VALUE"""),"Re Deliver")</f>
        <v>Re Deliver</v>
      </c>
      <c r="I644" s="98" t="str">
        <f>IFERROR(__xludf.DUMMYFUNCTION("""COMPUTED_VALUE"""),"Kurunegala")</f>
        <v>Kurunegala</v>
      </c>
      <c r="J644" s="98" t="str">
        <f>IFERROR(__xludf.DUMMYFUNCTION("""COMPUTED_VALUE"""),"Received At Destination")</f>
        <v>Received At Destination</v>
      </c>
      <c r="K644" s="98" t="str">
        <f>IFERROR(__xludf.DUMMYFUNCTION("""COMPUTED_VALUE"""),"Customer Care")</f>
        <v>Customer Care</v>
      </c>
      <c r="L644" s="98" t="str">
        <f>IFERROR(__xludf.DUMMYFUNCTION("""COMPUTED_VALUE"""),"Add A Re - Mark")</f>
        <v>Add A Re - Mark</v>
      </c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>
      <c r="A645" s="82"/>
      <c r="B645" s="106" t="str">
        <f>IFERROR(__xludf.DUMMYFUNCTION("""COMPUTED_VALUE"""),"921")</f>
        <v>921</v>
      </c>
      <c r="C645" s="106" t="str">
        <f>IFERROR(__xludf.DUMMYFUNCTION("""COMPUTED_VALUE"""),"Mandari")</f>
        <v>Mandari</v>
      </c>
      <c r="D645" s="106" t="str">
        <f>IFERROR(__xludf.DUMMYFUNCTION("""COMPUTED_VALUE"""),"731361060")</f>
        <v>731361060</v>
      </c>
      <c r="E645" s="106" t="str">
        <f>IFERROR(__xludf.DUMMYFUNCTION("""COMPUTED_VALUE"""),"N")</f>
        <v>N</v>
      </c>
      <c r="F645" s="106" t="str">
        <f>IFERROR(__xludf.DUMMYFUNCTION("""COMPUTED_VALUE"""),"Baby Max")</f>
        <v>Baby Max</v>
      </c>
      <c r="G645" s="106" t="str">
        <f>IFERROR(__xludf.DUMMYFUNCTION("""COMPUTED_VALUE"""),"BE065549")</f>
        <v>BE065549</v>
      </c>
      <c r="H645" s="106" t="str">
        <f>IFERROR(__xludf.DUMMYFUNCTION("""COMPUTED_VALUE"""),"Answerd &amp; Cut The Line")</f>
        <v>Answerd &amp; Cut The Line</v>
      </c>
      <c r="I645" s="106" t="str">
        <f>IFERROR(__xludf.DUMMYFUNCTION("""COMPUTED_VALUE"""),"Mirigama")</f>
        <v>Mirigama</v>
      </c>
      <c r="J645" s="106" t="str">
        <f>IFERROR(__xludf.DUMMYFUNCTION("""COMPUTED_VALUE"""),"Returned To Branch Rescheduled")</f>
        <v>Returned To Branch Rescheduled</v>
      </c>
      <c r="K645" s="106" t="str">
        <f>IFERROR(__xludf.DUMMYFUNCTION("""COMPUTED_VALUE"""),"Customer Care")</f>
        <v>Customer Care</v>
      </c>
      <c r="L645" s="106" t="str">
        <f>IFERROR(__xludf.DUMMYFUNCTION("""COMPUTED_VALUE"""),"Call Transfer Domestic Department")</f>
        <v>Call Transfer Domestic Department</v>
      </c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>
      <c r="A646" s="82"/>
      <c r="B646" s="98" t="str">
        <f>IFERROR(__xludf.DUMMYFUNCTION("""COMPUTED_VALUE"""),"922")</f>
        <v>922</v>
      </c>
      <c r="C646" s="98" t="str">
        <f>IFERROR(__xludf.DUMMYFUNCTION("""COMPUTED_VALUE"""),"Mandari")</f>
        <v>Mandari</v>
      </c>
      <c r="D646" s="98" t="str">
        <f>IFERROR(__xludf.DUMMYFUNCTION("""COMPUTED_VALUE"""),"714393366")</f>
        <v>714393366</v>
      </c>
      <c r="E646" s="98" t="str">
        <f>IFERROR(__xludf.DUMMYFUNCTION("""COMPUTED_VALUE"""),"Y")</f>
        <v>Y</v>
      </c>
      <c r="F646" s="98" t="str">
        <f>IFERROR(__xludf.DUMMYFUNCTION("""COMPUTED_VALUE"""),"P &amp; S Help Investment Pvt(Ltd)")</f>
        <v>P &amp; S Help Investment Pvt(Ltd)</v>
      </c>
      <c r="G646" s="98" t="str">
        <f>IFERROR(__xludf.DUMMYFUNCTION("""COMPUTED_VALUE"""),"BA733879")</f>
        <v>BA733879</v>
      </c>
      <c r="H646" s="98" t="str">
        <f>IFERROR(__xludf.DUMMYFUNCTION("""COMPUTED_VALUE"""),"The Cflient Said This Order Already Delivered")</f>
        <v>The Cflient Said This Order Already Delivered</v>
      </c>
      <c r="I646" s="98" t="str">
        <f>IFERROR(__xludf.DUMMYFUNCTION("""COMPUTED_VALUE"""),"Maradana")</f>
        <v>Maradana</v>
      </c>
      <c r="J646" s="98" t="str">
        <f>IFERROR(__xludf.DUMMYFUNCTION("""COMPUTED_VALUE"""),"Returned To Branch Failed To Deliver")</f>
        <v>Returned To Branch Failed To Deliver</v>
      </c>
      <c r="K646" s="98" t="str">
        <f>IFERROR(__xludf.DUMMYFUNCTION("""COMPUTED_VALUE"""),"Customer Care")</f>
        <v>Customer Care</v>
      </c>
      <c r="L646" s="98" t="str">
        <f>IFERROR(__xludf.DUMMYFUNCTION("""COMPUTED_VALUE"""),"Call Transfered To Finance")</f>
        <v>Call Transfered To Finance</v>
      </c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>
      <c r="A647" s="82"/>
      <c r="B647" s="106" t="str">
        <f>IFERROR(__xludf.DUMMYFUNCTION("""COMPUTED_VALUE"""),"923")</f>
        <v>923</v>
      </c>
      <c r="C647" s="106" t="str">
        <f>IFERROR(__xludf.DUMMYFUNCTION("""COMPUTED_VALUE"""),"Malik")</f>
        <v>Malik</v>
      </c>
      <c r="D647" s="106" t="str">
        <f>IFERROR(__xludf.DUMMYFUNCTION("""COMPUTED_VALUE"""),"777587301")</f>
        <v>777587301</v>
      </c>
      <c r="E647" s="106" t="str">
        <f>IFERROR(__xludf.DUMMYFUNCTION("""COMPUTED_VALUE"""),"N")</f>
        <v>N</v>
      </c>
      <c r="F647" s="106" t="str">
        <f>IFERROR(__xludf.DUMMYFUNCTION("""COMPUTED_VALUE"""),"Miraci Holdings")</f>
        <v>Miraci Holdings</v>
      </c>
      <c r="G647" s="106" t="str">
        <f>IFERROR(__xludf.DUMMYFUNCTION("""COMPUTED_VALUE"""),"BE066365")</f>
        <v>BE066365</v>
      </c>
      <c r="H647" s="106" t="str">
        <f>IFERROR(__xludf.DUMMYFUNCTION("""COMPUTED_VALUE"""),"Call Wrapped")</f>
        <v>Call Wrapped</v>
      </c>
      <c r="I647" s="106" t="str">
        <f>IFERROR(__xludf.DUMMYFUNCTION("""COMPUTED_VALUE"""),"Negombo")</f>
        <v>Negombo</v>
      </c>
      <c r="J647" s="106" t="str">
        <f>IFERROR(__xludf.DUMMYFUNCTION("""COMPUTED_VALUE"""),"Returned To Branch Rescheduled")</f>
        <v>Returned To Branch Rescheduled</v>
      </c>
      <c r="K647" s="106" t="str">
        <f>IFERROR(__xludf.DUMMYFUNCTION("""COMPUTED_VALUE"""),"Customer Care")</f>
        <v>Customer Care</v>
      </c>
      <c r="L647" s="106" t="str">
        <f>IFERROR(__xludf.DUMMYFUNCTION("""COMPUTED_VALUE"""),"Informed Branch")</f>
        <v>Informed Branch</v>
      </c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>
      <c r="A648" s="82"/>
      <c r="B648" s="98" t="str">
        <f>IFERROR(__xludf.DUMMYFUNCTION("""COMPUTED_VALUE"""),"924")</f>
        <v>924</v>
      </c>
      <c r="C648" s="98" t="str">
        <f>IFERROR(__xludf.DUMMYFUNCTION("""COMPUTED_VALUE"""),"Malik")</f>
        <v>Malik</v>
      </c>
      <c r="D648" s="98" t="str">
        <f>IFERROR(__xludf.DUMMYFUNCTION("""COMPUTED_VALUE"""),"772994325")</f>
        <v>772994325</v>
      </c>
      <c r="E648" s="98" t="str">
        <f>IFERROR(__xludf.DUMMYFUNCTION("""COMPUTED_VALUE"""),"N")</f>
        <v>N</v>
      </c>
      <c r="F648" s="98" t="str">
        <f>IFERROR(__xludf.DUMMYFUNCTION("""COMPUTED_VALUE"""),"Ceylon Store")</f>
        <v>Ceylon Store</v>
      </c>
      <c r="G648" s="98" t="str">
        <f>IFERROR(__xludf.DUMMYFUNCTION("""COMPUTED_VALUE"""),"A4702183")</f>
        <v>A4702183</v>
      </c>
      <c r="H648" s="98" t="str">
        <f>IFERROR(__xludf.DUMMYFUNCTION("""COMPUTED_VALUE"""),"Arrange To Deliver Today /Top Urgent")</f>
        <v>Arrange To Deliver Today /Top Urgent</v>
      </c>
      <c r="I648" s="98" t="str">
        <f>IFERROR(__xludf.DUMMYFUNCTION("""COMPUTED_VALUE"""),"Ratmalana")</f>
        <v>Ratmalana</v>
      </c>
      <c r="J648" s="98" t="str">
        <f>IFERROR(__xludf.DUMMYFUNCTION("""COMPUTED_VALUE"""),"Received At Destination")</f>
        <v>Received At Destination</v>
      </c>
      <c r="K648" s="98" t="str">
        <f>IFERROR(__xludf.DUMMYFUNCTION("""COMPUTED_VALUE"""),"Return")</f>
        <v>Return</v>
      </c>
      <c r="L648" s="98" t="str">
        <f>IFERROR(__xludf.DUMMYFUNCTION("""COMPUTED_VALUE"""),"Informed Branch")</f>
        <v>Informed Branch</v>
      </c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>
      <c r="A649" s="82"/>
      <c r="B649" s="106" t="str">
        <f>IFERROR(__xludf.DUMMYFUNCTION("""COMPUTED_VALUE"""),"925")</f>
        <v>925</v>
      </c>
      <c r="C649" s="106" t="str">
        <f>IFERROR(__xludf.DUMMYFUNCTION("""COMPUTED_VALUE"""),"Malik")</f>
        <v>Malik</v>
      </c>
      <c r="D649" s="106" t="str">
        <f>IFERROR(__xludf.DUMMYFUNCTION("""COMPUTED_VALUE"""),"779929495")</f>
        <v>779929495</v>
      </c>
      <c r="E649" s="106" t="str">
        <f>IFERROR(__xludf.DUMMYFUNCTION("""COMPUTED_VALUE"""),"N")</f>
        <v>N</v>
      </c>
      <c r="F649" s="106" t="str">
        <f>IFERROR(__xludf.DUMMYFUNCTION("""COMPUTED_VALUE"""),"Infinity Woodstore")</f>
        <v>Infinity Woodstore</v>
      </c>
      <c r="G649" s="106" t="str">
        <f>IFERROR(__xludf.DUMMYFUNCTION("""COMPUTED_VALUE"""),"BA764231")</f>
        <v>BA764231</v>
      </c>
      <c r="H649" s="106" t="str">
        <f>IFERROR(__xludf.DUMMYFUNCTION("""COMPUTED_VALUE"""),"Customer Wants To Know How To Use The Product")</f>
        <v>Customer Wants To Know How To Use The Product</v>
      </c>
      <c r="I649" s="106" t="str">
        <f>IFERROR(__xludf.DUMMYFUNCTION("""COMPUTED_VALUE"""),"Thalawathugoda")</f>
        <v>Thalawathugoda</v>
      </c>
      <c r="J649" s="106" t="str">
        <f>IFERROR(__xludf.DUMMYFUNCTION("""COMPUTED_VALUE"""),"Returned To Branch Rescheduled")</f>
        <v>Returned To Branch Rescheduled</v>
      </c>
      <c r="K649" s="106" t="str">
        <f>IFERROR(__xludf.DUMMYFUNCTION("""COMPUTED_VALUE"""),"Customer Care")</f>
        <v>Customer Care</v>
      </c>
      <c r="L649" s="106" t="str">
        <f>IFERROR(__xludf.DUMMYFUNCTION("""COMPUTED_VALUE"""),"Done")</f>
        <v>Done</v>
      </c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>
      <c r="A650" s="82"/>
      <c r="B650" s="98" t="str">
        <f>IFERROR(__xludf.DUMMYFUNCTION("""COMPUTED_VALUE"""),"926")</f>
        <v>926</v>
      </c>
      <c r="C650" s="98" t="str">
        <f>IFERROR(__xludf.DUMMYFUNCTION("""COMPUTED_VALUE"""),"Jeni")</f>
        <v>Jeni</v>
      </c>
      <c r="D650" s="98" t="str">
        <f>IFERROR(__xludf.DUMMYFUNCTION("""COMPUTED_VALUE"""),"777942987")</f>
        <v>777942987</v>
      </c>
      <c r="E650" s="98" t="str">
        <f>IFERROR(__xludf.DUMMYFUNCTION("""COMPUTED_VALUE"""),"N")</f>
        <v>N</v>
      </c>
      <c r="F650" s="98" t="str">
        <f>IFERROR(__xludf.DUMMYFUNCTION("""COMPUTED_VALUE"""),"Kanro Enterprises")</f>
        <v>Kanro Enterprises</v>
      </c>
      <c r="G650" s="98" t="str">
        <f>IFERROR(__xludf.DUMMYFUNCTION("""COMPUTED_VALUE"""),"BD470027")</f>
        <v>BD470027</v>
      </c>
      <c r="H650" s="98" t="str">
        <f>IFERROR(__xludf.DUMMYFUNCTION("""COMPUTED_VALUE"""),"Asked Some Details")</f>
        <v>Asked Some Details</v>
      </c>
      <c r="I650" s="98" t="str">
        <f>IFERROR(__xludf.DUMMYFUNCTION("""COMPUTED_VALUE"""),"Mathugama")</f>
        <v>Mathugama</v>
      </c>
      <c r="J650" s="98" t="str">
        <f>IFERROR(__xludf.DUMMYFUNCTION("""COMPUTED_VALUE"""),"Delivered")</f>
        <v>Delivered</v>
      </c>
      <c r="K650" s="98" t="str">
        <f>IFERROR(__xludf.DUMMYFUNCTION("""COMPUTED_VALUE"""),"Customer Care")</f>
        <v>Customer Care</v>
      </c>
      <c r="L650" s="98" t="str">
        <f>IFERROR(__xludf.DUMMYFUNCTION("""COMPUTED_VALUE"""),"Client Said Send Details On Wp")</f>
        <v>Client Said Send Details On Wp</v>
      </c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>
      <c r="A651" s="82"/>
      <c r="B651" s="106" t="str">
        <f>IFERROR(__xludf.DUMMYFUNCTION("""COMPUTED_VALUE"""),"927")</f>
        <v>927</v>
      </c>
      <c r="C651" s="106" t="str">
        <f>IFERROR(__xludf.DUMMYFUNCTION("""COMPUTED_VALUE"""),"Lakshani")</f>
        <v>Lakshani</v>
      </c>
      <c r="D651" s="106" t="str">
        <f>IFERROR(__xludf.DUMMYFUNCTION("""COMPUTED_VALUE"""),"776346403")</f>
        <v>776346403</v>
      </c>
      <c r="E651" s="106" t="str">
        <f>IFERROR(__xludf.DUMMYFUNCTION("""COMPUTED_VALUE"""),"N")</f>
        <v>N</v>
      </c>
      <c r="F651" s="106" t="str">
        <f>IFERROR(__xludf.DUMMYFUNCTION("""COMPUTED_VALUE"""),"Hk Fashion Mirigama")</f>
        <v>Hk Fashion Mirigama</v>
      </c>
      <c r="G651" s="106" t="str">
        <f>IFERROR(__xludf.DUMMYFUNCTION("""COMPUTED_VALUE"""),"A4601910")</f>
        <v>A4601910</v>
      </c>
      <c r="H651" s="106" t="str">
        <f>IFERROR(__xludf.DUMMYFUNCTION("""COMPUTED_VALUE"""),"Re Deliver")</f>
        <v>Re Deliver</v>
      </c>
      <c r="I651" s="106" t="str">
        <f>IFERROR(__xludf.DUMMYFUNCTION("""COMPUTED_VALUE"""),"Ambalangoda")</f>
        <v>Ambalangoda</v>
      </c>
      <c r="J651" s="106" t="str">
        <f>IFERROR(__xludf.DUMMYFUNCTION("""COMPUTED_VALUE"""),"Returned To Branch Rescheduled")</f>
        <v>Returned To Branch Rescheduled</v>
      </c>
      <c r="K651" s="106" t="str">
        <f>IFERROR(__xludf.DUMMYFUNCTION("""COMPUTED_VALUE"""),"Customer Care")</f>
        <v>Customer Care</v>
      </c>
      <c r="L651" s="106" t="str">
        <f>IFERROR(__xludf.DUMMYFUNCTION("""COMPUTED_VALUE"""),"Ask To Call Back With Proper Details")</f>
        <v>Ask To Call Back With Proper Details</v>
      </c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>
      <c r="A652" s="82"/>
      <c r="B652" s="98" t="str">
        <f>IFERROR(__xludf.DUMMYFUNCTION("""COMPUTED_VALUE"""),"928")</f>
        <v>928</v>
      </c>
      <c r="C652" s="98" t="str">
        <f>IFERROR(__xludf.DUMMYFUNCTION("""COMPUTED_VALUE"""),"Mandari")</f>
        <v>Mandari</v>
      </c>
      <c r="D652" s="98" t="str">
        <f>IFERROR(__xludf.DUMMYFUNCTION("""COMPUTED_VALUE"""),"700035554")</f>
        <v>700035554</v>
      </c>
      <c r="E652" s="98" t="str">
        <f>IFERROR(__xludf.DUMMYFUNCTION("""COMPUTED_VALUE"""),"N")</f>
        <v>N</v>
      </c>
      <c r="F652" s="98" t="str">
        <f>IFERROR(__xludf.DUMMYFUNCTION("""COMPUTED_VALUE"""),"Neha Skin")</f>
        <v>Neha Skin</v>
      </c>
      <c r="G652" s="98" t="str">
        <f>IFERROR(__xludf.DUMMYFUNCTION("""COMPUTED_VALUE"""),"BD902615")</f>
        <v>BD902615</v>
      </c>
      <c r="H652" s="98" t="str">
        <f>IFERROR(__xludf.DUMMYFUNCTION("""COMPUTED_VALUE"""),"Customer Want Return The Package")</f>
        <v>Customer Want Return The Package</v>
      </c>
      <c r="I652" s="98" t="str">
        <f>IFERROR(__xludf.DUMMYFUNCTION("""COMPUTED_VALUE"""),"Dambulla")</f>
        <v>Dambulla</v>
      </c>
      <c r="J652" s="98" t="str">
        <f>IFERROR(__xludf.DUMMYFUNCTION("""COMPUTED_VALUE"""),"Received At Ho (Returned Item)")</f>
        <v>Received At Ho (Returned Item)</v>
      </c>
      <c r="K652" s="98" t="str">
        <f>IFERROR(__xludf.DUMMYFUNCTION("""COMPUTED_VALUE"""),"Customer Care")</f>
        <v>Customer Care</v>
      </c>
      <c r="L652" s="98" t="str">
        <f>IFERROR(__xludf.DUMMYFUNCTION("""COMPUTED_VALUE"""),"Given Number")</f>
        <v>Given Number</v>
      </c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>
      <c r="A653" s="82"/>
      <c r="B653" s="106" t="str">
        <f>IFERROR(__xludf.DUMMYFUNCTION("""COMPUTED_VALUE"""),"929")</f>
        <v>929</v>
      </c>
      <c r="C653" s="106" t="str">
        <f>IFERROR(__xludf.DUMMYFUNCTION("""COMPUTED_VALUE"""),"Umesha")</f>
        <v>Umesha</v>
      </c>
      <c r="D653" s="106" t="str">
        <f>IFERROR(__xludf.DUMMYFUNCTION("""COMPUTED_VALUE"""),"779369026")</f>
        <v>779369026</v>
      </c>
      <c r="E653" s="106" t="str">
        <f>IFERROR(__xludf.DUMMYFUNCTION("""COMPUTED_VALUE"""),"N")</f>
        <v>N</v>
      </c>
      <c r="F653" s="106" t="str">
        <f>IFERROR(__xludf.DUMMYFUNCTION("""COMPUTED_VALUE"""),"Cutie Gifts")</f>
        <v>Cutie Gifts</v>
      </c>
      <c r="G653" s="106" t="str">
        <f>IFERROR(__xludf.DUMMYFUNCTION("""COMPUTED_VALUE"""),"BE066365")</f>
        <v>BE066365</v>
      </c>
      <c r="H653" s="106" t="str">
        <f>IFERROR(__xludf.DUMMYFUNCTION("""COMPUTED_VALUE"""),"Urgent Today /0743614933-Customer New Number")</f>
        <v>Urgent Today /0743614933-Customer New Number</v>
      </c>
      <c r="I653" s="106" t="str">
        <f>IFERROR(__xludf.DUMMYFUNCTION("""COMPUTED_VALUE"""),"Negombo")</f>
        <v>Negombo</v>
      </c>
      <c r="J653" s="106" t="str">
        <f>IFERROR(__xludf.DUMMYFUNCTION("""COMPUTED_VALUE"""),"Dispatched To Destination")</f>
        <v>Dispatched To Destination</v>
      </c>
      <c r="K653" s="106" t="str">
        <f>IFERROR(__xludf.DUMMYFUNCTION("""COMPUTED_VALUE"""),"Customer Care")</f>
        <v>Customer Care</v>
      </c>
      <c r="L653" s="106" t="str">
        <f>IFERROR(__xludf.DUMMYFUNCTION("""COMPUTED_VALUE"""),"Done")</f>
        <v>Done</v>
      </c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>
      <c r="A654" s="82"/>
      <c r="B654" s="98" t="str">
        <f>IFERROR(__xludf.DUMMYFUNCTION("""COMPUTED_VALUE"""),"930")</f>
        <v>930</v>
      </c>
      <c r="C654" s="98" t="str">
        <f>IFERROR(__xludf.DUMMYFUNCTION("""COMPUTED_VALUE"""),"Malik")</f>
        <v>Malik</v>
      </c>
      <c r="D654" s="98" t="str">
        <f>IFERROR(__xludf.DUMMYFUNCTION("""COMPUTED_VALUE"""),"710513897")</f>
        <v>710513897</v>
      </c>
      <c r="E654" s="98" t="str">
        <f>IFERROR(__xludf.DUMMYFUNCTION("""COMPUTED_VALUE"""),"Y")</f>
        <v>Y</v>
      </c>
      <c r="F654" s="98" t="str">
        <f>IFERROR(__xludf.DUMMYFUNCTION("""COMPUTED_VALUE"""),"Kw Holdings")</f>
        <v>Kw Holdings</v>
      </c>
      <c r="G654" s="98" t="str">
        <f>IFERROR(__xludf.DUMMYFUNCTION("""COMPUTED_VALUE"""),"BE078767")</f>
        <v>BE078767</v>
      </c>
      <c r="H654" s="98" t="str">
        <f>IFERROR(__xludf.DUMMYFUNCTION("""COMPUTED_VALUE"""),"Re Deliver")</f>
        <v>Re Deliver</v>
      </c>
      <c r="I654" s="98" t="str">
        <f>IFERROR(__xludf.DUMMYFUNCTION("""COMPUTED_VALUE"""),"Kalutara")</f>
        <v>Kalutara</v>
      </c>
      <c r="J654" s="98" t="str">
        <f>IFERROR(__xludf.DUMMYFUNCTION("""COMPUTED_VALUE"""),"Out For Delivery")</f>
        <v>Out For Delivery</v>
      </c>
      <c r="K654" s="98" t="str">
        <f>IFERROR(__xludf.DUMMYFUNCTION("""COMPUTED_VALUE"""),"Customer Care")</f>
        <v>Customer Care</v>
      </c>
      <c r="L654" s="98" t="str">
        <f>IFERROR(__xludf.DUMMYFUNCTION("""COMPUTED_VALUE"""),"Given Details")</f>
        <v>Given Details</v>
      </c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>
      <c r="A655" s="82"/>
      <c r="B655" s="106" t="str">
        <f>IFERROR(__xludf.DUMMYFUNCTION("""COMPUTED_VALUE"""),"931")</f>
        <v>931</v>
      </c>
      <c r="C655" s="106" t="str">
        <f>IFERROR(__xludf.DUMMYFUNCTION("""COMPUTED_VALUE"""),"Lakshani")</f>
        <v>Lakshani</v>
      </c>
      <c r="D655" s="106" t="str">
        <f>IFERROR(__xludf.DUMMYFUNCTION("""COMPUTED_VALUE"""),"740062074")</f>
        <v>740062074</v>
      </c>
      <c r="E655" s="106" t="str">
        <f>IFERROR(__xludf.DUMMYFUNCTION("""COMPUTED_VALUE"""),"N")</f>
        <v>N</v>
      </c>
      <c r="F655" s="106" t="str">
        <f>IFERROR(__xludf.DUMMYFUNCTION("""COMPUTED_VALUE"""),"C&amp;L Markerting")</f>
        <v>C&amp;L Markerting</v>
      </c>
      <c r="G655" s="106" t="str">
        <f>IFERROR(__xludf.DUMMYFUNCTION("""COMPUTED_VALUE"""),"A3149166")</f>
        <v>A3149166</v>
      </c>
      <c r="H655" s="106" t="str">
        <f>IFERROR(__xludf.DUMMYFUNCTION("""COMPUTED_VALUE"""),"Arrange Delivery Tomorrow / Urgent")</f>
        <v>Arrange Delivery Tomorrow / Urgent</v>
      </c>
      <c r="I655" s="106" t="str">
        <f>IFERROR(__xludf.DUMMYFUNCTION("""COMPUTED_VALUE"""),"Monaragala")</f>
        <v>Monaragala</v>
      </c>
      <c r="J655" s="106" t="str">
        <f>IFERROR(__xludf.DUMMYFUNCTION("""COMPUTED_VALUE"""),"Out For Delivery")</f>
        <v>Out For Delivery</v>
      </c>
      <c r="K655" s="106" t="str">
        <f>IFERROR(__xludf.DUMMYFUNCTION("""COMPUTED_VALUE"""),"Customer Care")</f>
        <v>Customer Care</v>
      </c>
      <c r="L655" s="106" t="str">
        <f>IFERROR(__xludf.DUMMYFUNCTION("""COMPUTED_VALUE"""),"Given Incharge Number")</f>
        <v>Given Incharge Number</v>
      </c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>
      <c r="A656" s="82"/>
      <c r="B656" s="98" t="str">
        <f>IFERROR(__xludf.DUMMYFUNCTION("""COMPUTED_VALUE"""),"932")</f>
        <v>932</v>
      </c>
      <c r="C656" s="98" t="str">
        <f>IFERROR(__xludf.DUMMYFUNCTION("""COMPUTED_VALUE"""),"Lakshani")</f>
        <v>Lakshani</v>
      </c>
      <c r="D656" s="98" t="str">
        <f>IFERROR(__xludf.DUMMYFUNCTION("""COMPUTED_VALUE"""),"786946411")</f>
        <v>786946411</v>
      </c>
      <c r="E656" s="98" t="str">
        <f>IFERROR(__xludf.DUMMYFUNCTION("""COMPUTED_VALUE"""),"Y")</f>
        <v>Y</v>
      </c>
      <c r="F656" s="98" t="str">
        <f>IFERROR(__xludf.DUMMYFUNCTION("""COMPUTED_VALUE"""),"Faith Store")</f>
        <v>Faith Store</v>
      </c>
      <c r="G656" s="98" t="str">
        <f>IFERROR(__xludf.DUMMYFUNCTION("""COMPUTED_VALUE"""),"BA769778")</f>
        <v>BA769778</v>
      </c>
      <c r="H656" s="98" t="str">
        <f>IFERROR(__xludf.DUMMYFUNCTION("""COMPUTED_VALUE"""),"Some Details")</f>
        <v>Some Details</v>
      </c>
      <c r="I656" s="98" t="str">
        <f>IFERROR(__xludf.DUMMYFUNCTION("""COMPUTED_VALUE"""),"Galle")</f>
        <v>Galle</v>
      </c>
      <c r="J656" s="98" t="str">
        <f>IFERROR(__xludf.DUMMYFUNCTION("""COMPUTED_VALUE"""),"Returned To Branch Rescheduled")</f>
        <v>Returned To Branch Rescheduled</v>
      </c>
      <c r="K656" s="98" t="str">
        <f>IFERROR(__xludf.DUMMYFUNCTION("""COMPUTED_VALUE"""),"Customer Care")</f>
        <v>Customer Care</v>
      </c>
      <c r="L656" s="98" t="str">
        <f>IFERROR(__xludf.DUMMYFUNCTION("""COMPUTED_VALUE"""),"Informed Customer")</f>
        <v>Informed Customer</v>
      </c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>
      <c r="A657" s="82"/>
      <c r="B657" s="106" t="str">
        <f>IFERROR(__xludf.DUMMYFUNCTION("""COMPUTED_VALUE"""),"933")</f>
        <v>933</v>
      </c>
      <c r="C657" s="106" t="str">
        <f>IFERROR(__xludf.DUMMYFUNCTION("""COMPUTED_VALUE"""),"Malik")</f>
        <v>Malik</v>
      </c>
      <c r="D657" s="106" t="str">
        <f>IFERROR(__xludf.DUMMYFUNCTION("""COMPUTED_VALUE"""),"767996043")</f>
        <v>767996043</v>
      </c>
      <c r="E657" s="106" t="str">
        <f>IFERROR(__xludf.DUMMYFUNCTION("""COMPUTED_VALUE"""),"Y")</f>
        <v>Y</v>
      </c>
      <c r="F657" s="106" t="str">
        <f>IFERROR(__xludf.DUMMYFUNCTION("""COMPUTED_VALUE"""),"Dorado")</f>
        <v>Dorado</v>
      </c>
      <c r="G657" s="106" t="str">
        <f>IFERROR(__xludf.DUMMYFUNCTION("""COMPUTED_VALUE"""),"A4395705")</f>
        <v>A4395705</v>
      </c>
      <c r="H657" s="106" t="str">
        <f>IFERROR(__xludf.DUMMYFUNCTION("""COMPUTED_VALUE"""),"Arrange To Deliver Today")</f>
        <v>Arrange To Deliver Today</v>
      </c>
      <c r="I657" s="106" t="str">
        <f>IFERROR(__xludf.DUMMYFUNCTION("""COMPUTED_VALUE"""),"Kuliyapitiya")</f>
        <v>Kuliyapitiya</v>
      </c>
      <c r="J657" s="106" t="str">
        <f>IFERROR(__xludf.DUMMYFUNCTION("""COMPUTED_VALUE"""),"Returned To Branch Rescheduled")</f>
        <v>Returned To Branch Rescheduled</v>
      </c>
      <c r="K657" s="106" t="str">
        <f>IFERROR(__xludf.DUMMYFUNCTION("""COMPUTED_VALUE"""),"Customer Care")</f>
        <v>Customer Care</v>
      </c>
      <c r="L657" s="106" t="str">
        <f>IFERROR(__xludf.DUMMYFUNCTION("""COMPUTED_VALUE"""),"Informed Branch")</f>
        <v>Informed Branch</v>
      </c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>
      <c r="A658" s="82"/>
      <c r="B658" s="98" t="str">
        <f>IFERROR(__xludf.DUMMYFUNCTION("""COMPUTED_VALUE"""),"934")</f>
        <v>934</v>
      </c>
      <c r="C658" s="98" t="str">
        <f>IFERROR(__xludf.DUMMYFUNCTION("""COMPUTED_VALUE"""),"Jeni")</f>
        <v>Jeni</v>
      </c>
      <c r="D658" s="98" t="str">
        <f>IFERROR(__xludf.DUMMYFUNCTION("""COMPUTED_VALUE"""),"742249207")</f>
        <v>742249207</v>
      </c>
      <c r="E658" s="98" t="str">
        <f>IFERROR(__xludf.DUMMYFUNCTION("""COMPUTED_VALUE"""),"N")</f>
        <v>N</v>
      </c>
      <c r="F658" s="98" t="str">
        <f>IFERROR(__xludf.DUMMYFUNCTION("""COMPUTED_VALUE"""),"Livora Online Store")</f>
        <v>Livora Online Store</v>
      </c>
      <c r="G658" s="98" t="str">
        <f>IFERROR(__xludf.DUMMYFUNCTION("""COMPUTED_VALUE"""),"BA780702")</f>
        <v>BA780702</v>
      </c>
      <c r="H658" s="98" t="str">
        <f>IFERROR(__xludf.DUMMYFUNCTION("""COMPUTED_VALUE"""),"The Package Was Delivered To The Customer, But The Payment Was Not Collected From The Customer.")</f>
        <v>The Package Was Delivered To The Customer, But The Payment Was Not Collected From The Customer.</v>
      </c>
      <c r="I658" s="98" t="str">
        <f>IFERROR(__xludf.DUMMYFUNCTION("""COMPUTED_VALUE"""),"Homagama")</f>
        <v>Homagama</v>
      </c>
      <c r="J658" s="98" t="str">
        <f>IFERROR(__xludf.DUMMYFUNCTION("""COMPUTED_VALUE"""),"Out For Delivery")</f>
        <v>Out For Delivery</v>
      </c>
      <c r="K658" s="98" t="str">
        <f>IFERROR(__xludf.DUMMYFUNCTION("""COMPUTED_VALUE"""),"Return")</f>
        <v>Return</v>
      </c>
      <c r="L658" s="98" t="str">
        <f>IFERROR(__xludf.DUMMYFUNCTION("""COMPUTED_VALUE"""),"Call Transfer Jeni")</f>
        <v>Call Transfer Jeni</v>
      </c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>
      <c r="A659" s="82"/>
      <c r="B659" s="106" t="str">
        <f>IFERROR(__xludf.DUMMYFUNCTION("""COMPUTED_VALUE"""),"935")</f>
        <v>935</v>
      </c>
      <c r="C659" s="106" t="str">
        <f>IFERROR(__xludf.DUMMYFUNCTION("""COMPUTED_VALUE"""),"Jeni")</f>
        <v>Jeni</v>
      </c>
      <c r="D659" s="106" t="str">
        <f>IFERROR(__xludf.DUMMYFUNCTION("""COMPUTED_VALUE"""),"764268748")</f>
        <v>764268748</v>
      </c>
      <c r="E659" s="106" t="str">
        <f>IFERROR(__xludf.DUMMYFUNCTION("""COMPUTED_VALUE"""),"Y")</f>
        <v>Y</v>
      </c>
      <c r="F659" s="106" t="str">
        <f>IFERROR(__xludf.DUMMYFUNCTION("""COMPUTED_VALUE"""),"Hk Fashion Mirigama")</f>
        <v>Hk Fashion Mirigama</v>
      </c>
      <c r="G659" s="106" t="str">
        <f>IFERROR(__xludf.DUMMYFUNCTION("""COMPUTED_VALUE"""),"BA751144")</f>
        <v>BA751144</v>
      </c>
      <c r="H659" s="106" t="str">
        <f>IFERROR(__xludf.DUMMYFUNCTION("""COMPUTED_VALUE"""),"Re Deliver")</f>
        <v>Re Deliver</v>
      </c>
      <c r="I659" s="106" t="str">
        <f>IFERROR(__xludf.DUMMYFUNCTION("""COMPUTED_VALUE"""),"Rajagiriya")</f>
        <v>Rajagiriya</v>
      </c>
      <c r="J659" s="106" t="str">
        <f>IFERROR(__xludf.DUMMYFUNCTION("""COMPUTED_VALUE"""),"Out For Delivery")</f>
        <v>Out For Delivery</v>
      </c>
      <c r="K659" s="106" t="str">
        <f>IFERROR(__xludf.DUMMYFUNCTION("""COMPUTED_VALUE"""),"Recovery")</f>
        <v>Recovery</v>
      </c>
      <c r="L659" s="106" t="str">
        <f>IFERROR(__xludf.DUMMYFUNCTION("""COMPUTED_VALUE"""),"On Route")</f>
        <v>On Route</v>
      </c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>
      <c r="A660" s="82"/>
      <c r="B660" s="98" t="str">
        <f>IFERROR(__xludf.DUMMYFUNCTION("""COMPUTED_VALUE"""),"936")</f>
        <v>936</v>
      </c>
      <c r="C660" s="98" t="str">
        <f>IFERROR(__xludf.DUMMYFUNCTION("""COMPUTED_VALUE"""),"Lakshani")</f>
        <v>Lakshani</v>
      </c>
      <c r="D660" s="98" t="str">
        <f>IFERROR(__xludf.DUMMYFUNCTION("""COMPUTED_VALUE"""),"751195546")</f>
        <v>751195546</v>
      </c>
      <c r="E660" s="98" t="str">
        <f>IFERROR(__xludf.DUMMYFUNCTION("""COMPUTED_VALUE"""),"N")</f>
        <v>N</v>
      </c>
      <c r="F660" s="98" t="str">
        <f>IFERROR(__xludf.DUMMYFUNCTION("""COMPUTED_VALUE"""),"Winpro Holdings")</f>
        <v>Winpro Holdings</v>
      </c>
      <c r="G660" s="98" t="str">
        <f>IFERROR(__xludf.DUMMYFUNCTION("""COMPUTED_VALUE"""),"BE123801")</f>
        <v>BE123801</v>
      </c>
      <c r="H660" s="98" t="str">
        <f>IFERROR(__xludf.DUMMYFUNCTION("""COMPUTED_VALUE"""),"Arrange To Deliver Today / Top Urgant")</f>
        <v>Arrange To Deliver Today / Top Urgant</v>
      </c>
      <c r="I660" s="98" t="str">
        <f>IFERROR(__xludf.DUMMYFUNCTION("""COMPUTED_VALUE"""),"Mahiyanganaya")</f>
        <v>Mahiyanganaya</v>
      </c>
      <c r="J660" s="98" t="str">
        <f>IFERROR(__xludf.DUMMYFUNCTION("""COMPUTED_VALUE"""),"Returned To Branch Rescheduled")</f>
        <v>Returned To Branch Rescheduled</v>
      </c>
      <c r="K660" s="98" t="str">
        <f>IFERROR(__xludf.DUMMYFUNCTION("""COMPUTED_VALUE"""),"Customer Care")</f>
        <v>Customer Care</v>
      </c>
      <c r="L660" s="98" t="str">
        <f>IFERROR(__xludf.DUMMYFUNCTION("""COMPUTED_VALUE"""),"Informed Branch")</f>
        <v>Informed Branch</v>
      </c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>
      <c r="A661" s="82"/>
      <c r="B661" s="106" t="str">
        <f>IFERROR(__xludf.DUMMYFUNCTION("""COMPUTED_VALUE"""),"937")</f>
        <v>937</v>
      </c>
      <c r="C661" s="106" t="str">
        <f>IFERROR(__xludf.DUMMYFUNCTION("""COMPUTED_VALUE"""),"Umesha")</f>
        <v>Umesha</v>
      </c>
      <c r="D661" s="106" t="str">
        <f>IFERROR(__xludf.DUMMYFUNCTION("""COMPUTED_VALUE"""),"741852301")</f>
        <v>741852301</v>
      </c>
      <c r="E661" s="106" t="str">
        <f>IFERROR(__xludf.DUMMYFUNCTION("""COMPUTED_VALUE"""),"Y")</f>
        <v>Y</v>
      </c>
      <c r="F661" s="106" t="str">
        <f>IFERROR(__xludf.DUMMYFUNCTION("""COMPUTED_VALUE"""),"Manjistha Hair Oil")</f>
        <v>Manjistha Hair Oil</v>
      </c>
      <c r="G661" s="106" t="str">
        <f>IFERROR(__xludf.DUMMYFUNCTION("""COMPUTED_VALUE"""),"A4702183")</f>
        <v>A4702183</v>
      </c>
      <c r="H661" s="106" t="str">
        <f>IFERROR(__xludf.DUMMYFUNCTION("""COMPUTED_VALUE"""),"Cod Amount Is 0.00")</f>
        <v>Cod Amount Is 0.00</v>
      </c>
      <c r="I661" s="106" t="str">
        <f>IFERROR(__xludf.DUMMYFUNCTION("""COMPUTED_VALUE"""),"Polonnaruwa")</f>
        <v>Polonnaruwa</v>
      </c>
      <c r="J661" s="106" t="str">
        <f>IFERROR(__xludf.DUMMYFUNCTION("""COMPUTED_VALUE"""),"Returned To Ho")</f>
        <v>Returned To Ho</v>
      </c>
      <c r="K661" s="106" t="str">
        <f>IFERROR(__xludf.DUMMYFUNCTION("""COMPUTED_VALUE"""),"Customer Care")</f>
        <v>Customer Care</v>
      </c>
      <c r="L661" s="106" t="str">
        <f>IFERROR(__xludf.DUMMYFUNCTION("""COMPUTED_VALUE"""),"On Route")</f>
        <v>On Route</v>
      </c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>
      <c r="A662" s="82"/>
      <c r="B662" s="98" t="str">
        <f>IFERROR(__xludf.DUMMYFUNCTION("""COMPUTED_VALUE"""),"938")</f>
        <v>938</v>
      </c>
      <c r="C662" s="98" t="str">
        <f>IFERROR(__xludf.DUMMYFUNCTION("""COMPUTED_VALUE"""),"Jeni")</f>
        <v>Jeni</v>
      </c>
      <c r="D662" s="98" t="str">
        <f>IFERROR(__xludf.DUMMYFUNCTION("""COMPUTED_VALUE"""),"774868808")</f>
        <v>774868808</v>
      </c>
      <c r="E662" s="98" t="str">
        <f>IFERROR(__xludf.DUMMYFUNCTION("""COMPUTED_VALUE"""),"Y")</f>
        <v>Y</v>
      </c>
      <c r="F662" s="98" t="str">
        <f>IFERROR(__xludf.DUMMYFUNCTION("""COMPUTED_VALUE"""),"Sency Kids")</f>
        <v>Sency Kids</v>
      </c>
      <c r="G662" s="98" t="str">
        <f>IFERROR(__xludf.DUMMYFUNCTION("""COMPUTED_VALUE"""),"A3794234")</f>
        <v>A3794234</v>
      </c>
      <c r="H662" s="98" t="str">
        <f>IFERROR(__xludf.DUMMYFUNCTION("""COMPUTED_VALUE"""),"Re Deliver")</f>
        <v>Re Deliver</v>
      </c>
      <c r="I662" s="98" t="str">
        <f>IFERROR(__xludf.DUMMYFUNCTION("""COMPUTED_VALUE"""),"Negombo")</f>
        <v>Negombo</v>
      </c>
      <c r="J662" s="98" t="str">
        <f>IFERROR(__xludf.DUMMYFUNCTION("""COMPUTED_VALUE"""),"Delivered")</f>
        <v>Delivered</v>
      </c>
      <c r="K662" s="98" t="str">
        <f>IFERROR(__xludf.DUMMYFUNCTION("""COMPUTED_VALUE"""),"Customer Care")</f>
        <v>Customer Care</v>
      </c>
      <c r="L662" s="98" t="str">
        <f>IFERROR(__xludf.DUMMYFUNCTION("""COMPUTED_VALUE"""),"Informed Domestic Department")</f>
        <v>Informed Domestic Department</v>
      </c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>
      <c r="A663" s="82"/>
      <c r="B663" s="106" t="str">
        <f>IFERROR(__xludf.DUMMYFUNCTION("""COMPUTED_VALUE"""),"939")</f>
        <v>939</v>
      </c>
      <c r="C663" s="106" t="str">
        <f>IFERROR(__xludf.DUMMYFUNCTION("""COMPUTED_VALUE"""),"Umesha")</f>
        <v>Umesha</v>
      </c>
      <c r="D663" s="106" t="str">
        <f>IFERROR(__xludf.DUMMYFUNCTION("""COMPUTED_VALUE"""),"743278559")</f>
        <v>743278559</v>
      </c>
      <c r="E663" s="106" t="str">
        <f>IFERROR(__xludf.DUMMYFUNCTION("""COMPUTED_VALUE"""),"Y")</f>
        <v>Y</v>
      </c>
      <c r="F663" s="106" t="str">
        <f>IFERROR(__xludf.DUMMYFUNCTION("""COMPUTED_VALUE"""),"Neth Fashion Clothing")</f>
        <v>Neth Fashion Clothing</v>
      </c>
      <c r="G663" s="106" t="str">
        <f>IFERROR(__xludf.DUMMYFUNCTION("""COMPUTED_VALUE"""),"A4309144")</f>
        <v>A4309144</v>
      </c>
      <c r="H663" s="106" t="str">
        <f>IFERROR(__xludf.DUMMYFUNCTION("""COMPUTED_VALUE"""),"Re Deliver")</f>
        <v>Re Deliver</v>
      </c>
      <c r="I663" s="106" t="str">
        <f>IFERROR(__xludf.DUMMYFUNCTION("""COMPUTED_VALUE"""),"Polonnaruwa")</f>
        <v>Polonnaruwa</v>
      </c>
      <c r="J663" s="106" t="str">
        <f>IFERROR(__xludf.DUMMYFUNCTION("""COMPUTED_VALUE"""),"Out For Delivery")</f>
        <v>Out For Delivery</v>
      </c>
      <c r="K663" s="106" t="str">
        <f>IFERROR(__xludf.DUMMYFUNCTION("""COMPUTED_VALUE"""),"Customer Care")</f>
        <v>Customer Care</v>
      </c>
      <c r="L663" s="106" t="str">
        <f>IFERROR(__xludf.DUMMYFUNCTION("""COMPUTED_VALUE"""),"Return Item")</f>
        <v>Return Item</v>
      </c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>
      <c r="A664" s="82"/>
      <c r="B664" s="98" t="str">
        <f>IFERROR(__xludf.DUMMYFUNCTION("""COMPUTED_VALUE"""),"940")</f>
        <v>940</v>
      </c>
      <c r="C664" s="98" t="str">
        <f>IFERROR(__xludf.DUMMYFUNCTION("""COMPUTED_VALUE"""),"Jeni")</f>
        <v>Jeni</v>
      </c>
      <c r="D664" s="98" t="str">
        <f>IFERROR(__xludf.DUMMYFUNCTION("""COMPUTED_VALUE"""),"741005782")</f>
        <v>741005782</v>
      </c>
      <c r="E664" s="98" t="str">
        <f>IFERROR(__xludf.DUMMYFUNCTION("""COMPUTED_VALUE"""),"Y")</f>
        <v>Y</v>
      </c>
      <c r="F664" s="98" t="str">
        <f>IFERROR(__xludf.DUMMYFUNCTION("""COMPUTED_VALUE"""),"360° Online.Lk")</f>
        <v>360° Online.Lk</v>
      </c>
      <c r="G664" s="98" t="str">
        <f>IFERROR(__xludf.DUMMYFUNCTION("""COMPUTED_VALUE"""),"BE091724")</f>
        <v>BE091724</v>
      </c>
      <c r="H664" s="98" t="str">
        <f>IFERROR(__xludf.DUMMYFUNCTION("""COMPUTED_VALUE"""),"Re Deliver")</f>
        <v>Re Deliver</v>
      </c>
      <c r="I664" s="98" t="str">
        <f>IFERROR(__xludf.DUMMYFUNCTION("""COMPUTED_VALUE"""),"Pilimathlawa")</f>
        <v>Pilimathlawa</v>
      </c>
      <c r="J664" s="98" t="str">
        <f>IFERROR(__xludf.DUMMYFUNCTION("""COMPUTED_VALUE"""),"Returned To Branch Rescheduled")</f>
        <v>Returned To Branch Rescheduled</v>
      </c>
      <c r="K664" s="98" t="str">
        <f>IFERROR(__xludf.DUMMYFUNCTION("""COMPUTED_VALUE"""),"Customer Care")</f>
        <v>Customer Care</v>
      </c>
      <c r="L664" s="98" t="str">
        <f>IFERROR(__xludf.DUMMYFUNCTION("""COMPUTED_VALUE"""),"Informed Cline")</f>
        <v>Informed Cline</v>
      </c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>
      <c r="A665" s="82"/>
      <c r="B665" s="106" t="str">
        <f>IFERROR(__xludf.DUMMYFUNCTION("""COMPUTED_VALUE"""),"941")</f>
        <v>941</v>
      </c>
      <c r="C665" s="106" t="str">
        <f>IFERROR(__xludf.DUMMYFUNCTION("""COMPUTED_VALUE"""),"Mandari")</f>
        <v>Mandari</v>
      </c>
      <c r="D665" s="106" t="str">
        <f>IFERROR(__xludf.DUMMYFUNCTION("""COMPUTED_VALUE"""),"738037686")</f>
        <v>738037686</v>
      </c>
      <c r="E665" s="106" t="str">
        <f>IFERROR(__xludf.DUMMYFUNCTION("""COMPUTED_VALUE"""),"N")</f>
        <v>N</v>
      </c>
      <c r="F665" s="106" t="str">
        <f>IFERROR(__xludf.DUMMYFUNCTION("""COMPUTED_VALUE"""),"Azac Hub")</f>
        <v>Azac Hub</v>
      </c>
      <c r="G665" s="106" t="str">
        <f>IFERROR(__xludf.DUMMYFUNCTION("""COMPUTED_VALUE"""),"BD902615")</f>
        <v>BD902615</v>
      </c>
      <c r="H665" s="106" t="str">
        <f>IFERROR(__xludf.DUMMYFUNCTION("""COMPUTED_VALUE"""),"Arrange To Deliver Today")</f>
        <v>Arrange To Deliver Today</v>
      </c>
      <c r="I665" s="106" t="str">
        <f>IFERROR(__xludf.DUMMYFUNCTION("""COMPUTED_VALUE"""),"Jaffna")</f>
        <v>Jaffna</v>
      </c>
      <c r="J665" s="106" t="str">
        <f>IFERROR(__xludf.DUMMYFUNCTION("""COMPUTED_VALUE"""),"Returned To Branch Failed To Deliver")</f>
        <v>Returned To Branch Failed To Deliver</v>
      </c>
      <c r="K665" s="106" t="str">
        <f>IFERROR(__xludf.DUMMYFUNCTION("""COMPUTED_VALUE"""),"Branch Operations")</f>
        <v>Branch Operations</v>
      </c>
      <c r="L665" s="106" t="str">
        <f>IFERROR(__xludf.DUMMYFUNCTION("""COMPUTED_VALUE"""),"Informed Branch")</f>
        <v>Informed Branch</v>
      </c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>
      <c r="A666" s="82"/>
      <c r="B666" s="98" t="str">
        <f>IFERROR(__xludf.DUMMYFUNCTION("""COMPUTED_VALUE"""),"942")</f>
        <v>942</v>
      </c>
      <c r="C666" s="98" t="str">
        <f>IFERROR(__xludf.DUMMYFUNCTION("""COMPUTED_VALUE"""),"Malik")</f>
        <v>Malik</v>
      </c>
      <c r="D666" s="98" t="str">
        <f>IFERROR(__xludf.DUMMYFUNCTION("""COMPUTED_VALUE"""),"705815614")</f>
        <v>705815614</v>
      </c>
      <c r="E666" s="98" t="str">
        <f>IFERROR(__xludf.DUMMYFUNCTION("""COMPUTED_VALUE"""),"N")</f>
        <v>N</v>
      </c>
      <c r="F666" s="98" t="str">
        <f>IFERROR(__xludf.DUMMYFUNCTION("""COMPUTED_VALUE"""),"Sahasra Team")</f>
        <v>Sahasra Team</v>
      </c>
      <c r="G666" s="98" t="str">
        <f>IFERROR(__xludf.DUMMYFUNCTION("""COMPUTED_VALUE"""),"A3716658")</f>
        <v>A3716658</v>
      </c>
      <c r="H666" s="98" t="str">
        <f>IFERROR(__xludf.DUMMYFUNCTION("""COMPUTED_VALUE"""),"Re Deliver")</f>
        <v>Re Deliver</v>
      </c>
      <c r="I666" s="98" t="str">
        <f>IFERROR(__xludf.DUMMYFUNCTION("""COMPUTED_VALUE"""),"Dambulla")</f>
        <v>Dambulla</v>
      </c>
      <c r="J666" s="98" t="str">
        <f>IFERROR(__xludf.DUMMYFUNCTION("""COMPUTED_VALUE"""),"Returned To Branch Rescheduled")</f>
        <v>Returned To Branch Rescheduled</v>
      </c>
      <c r="K666" s="98" t="str">
        <f>IFERROR(__xludf.DUMMYFUNCTION("""COMPUTED_VALUE"""),"Branch Operations")</f>
        <v>Branch Operations</v>
      </c>
      <c r="L666" s="98" t="str">
        <f>IFERROR(__xludf.DUMMYFUNCTION("""COMPUTED_VALUE"""),"Done")</f>
        <v>Done</v>
      </c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>
      <c r="A667" s="82"/>
      <c r="B667" s="106" t="str">
        <f>IFERROR(__xludf.DUMMYFUNCTION("""COMPUTED_VALUE"""),"943")</f>
        <v>943</v>
      </c>
      <c r="C667" s="106" t="str">
        <f>IFERROR(__xludf.DUMMYFUNCTION("""COMPUTED_VALUE"""),"Jeni")</f>
        <v>Jeni</v>
      </c>
      <c r="D667" s="106" t="str">
        <f>IFERROR(__xludf.DUMMYFUNCTION("""COMPUTED_VALUE"""),"755171711")</f>
        <v>755171711</v>
      </c>
      <c r="E667" s="106" t="str">
        <f>IFERROR(__xludf.DUMMYFUNCTION("""COMPUTED_VALUE"""),"Y")</f>
        <v>Y</v>
      </c>
      <c r="F667" s="106" t="str">
        <f>IFERROR(__xludf.DUMMYFUNCTION("""COMPUTED_VALUE"""),"Lesa Fashion")</f>
        <v>Lesa Fashion</v>
      </c>
      <c r="G667" s="106" t="str">
        <f>IFERROR(__xludf.DUMMYFUNCTION("""COMPUTED_VALUE"""),"BE108332")</f>
        <v>BE108332</v>
      </c>
      <c r="H667" s="106" t="str">
        <f>IFERROR(__xludf.DUMMYFUNCTION("""COMPUTED_VALUE"""),"Answered")</f>
        <v>Answered</v>
      </c>
      <c r="I667" s="106" t="str">
        <f>IFERROR(__xludf.DUMMYFUNCTION("""COMPUTED_VALUE"""),"Rajagiriya")</f>
        <v>Rajagiriya</v>
      </c>
      <c r="J667" s="106" t="str">
        <f>IFERROR(__xludf.DUMMYFUNCTION("""COMPUTED_VALUE"""),"Returned To Branch Rescheduled")</f>
        <v>Returned To Branch Rescheduled</v>
      </c>
      <c r="K667" s="106" t="str">
        <f>IFERROR(__xludf.DUMMYFUNCTION("""COMPUTED_VALUE"""),"Branch Operations")</f>
        <v>Branch Operations</v>
      </c>
      <c r="L667" s="106" t="str">
        <f>IFERROR(__xludf.DUMMYFUNCTION("""COMPUTED_VALUE"""),"Done")</f>
        <v>Done</v>
      </c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>
      <c r="A668" s="82"/>
      <c r="B668" s="98" t="str">
        <f>IFERROR(__xludf.DUMMYFUNCTION("""COMPUTED_VALUE"""),"944")</f>
        <v>944</v>
      </c>
      <c r="C668" s="98" t="str">
        <f>IFERROR(__xludf.DUMMYFUNCTION("""COMPUTED_VALUE"""),"Malik")</f>
        <v>Malik</v>
      </c>
      <c r="D668" s="98" t="str">
        <f>IFERROR(__xludf.DUMMYFUNCTION("""COMPUTED_VALUE"""),"755865990")</f>
        <v>755865990</v>
      </c>
      <c r="E668" s="98" t="str">
        <f>IFERROR(__xludf.DUMMYFUNCTION("""COMPUTED_VALUE"""),"N")</f>
        <v>N</v>
      </c>
      <c r="F668" s="98" t="str">
        <f>IFERROR(__xludf.DUMMYFUNCTION("""COMPUTED_VALUE"""),"Expert Lanka New")</f>
        <v>Expert Lanka New</v>
      </c>
      <c r="G668" s="98" t="str">
        <f>IFERROR(__xludf.DUMMYFUNCTION("""COMPUTED_VALUE"""),"BE096418")</f>
        <v>BE096418</v>
      </c>
      <c r="H668" s="98" t="str">
        <f>IFERROR(__xludf.DUMMYFUNCTION("""COMPUTED_VALUE"""),"Kadawatha Branch Location")</f>
        <v>Kadawatha Branch Location</v>
      </c>
      <c r="I668" s="98" t="str">
        <f>IFERROR(__xludf.DUMMYFUNCTION("""COMPUTED_VALUE"""),"Kurunegala")</f>
        <v>Kurunegala</v>
      </c>
      <c r="J668" s="98" t="str">
        <f>IFERROR(__xludf.DUMMYFUNCTION("""COMPUTED_VALUE"""),"Returned To Branch Failed To Deliver")</f>
        <v>Returned To Branch Failed To Deliver</v>
      </c>
      <c r="K668" s="98" t="str">
        <f>IFERROR(__xludf.DUMMYFUNCTION("""COMPUTED_VALUE"""),"Sales")</f>
        <v>Sales</v>
      </c>
      <c r="L668" s="98" t="str">
        <f>IFERROR(__xludf.DUMMYFUNCTION("""COMPUTED_VALUE"""),"Informed Branch Number Via A Whatsapp")</f>
        <v>Informed Branch Number Via A Whatsapp</v>
      </c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>
      <c r="A669" s="82"/>
      <c r="B669" s="106" t="str">
        <f>IFERROR(__xludf.DUMMYFUNCTION("""COMPUTED_VALUE"""),"945")</f>
        <v>945</v>
      </c>
      <c r="C669" s="106" t="str">
        <f>IFERROR(__xludf.DUMMYFUNCTION("""COMPUTED_VALUE"""),"Umesha")</f>
        <v>Umesha</v>
      </c>
      <c r="D669" s="106" t="str">
        <f>IFERROR(__xludf.DUMMYFUNCTION("""COMPUTED_VALUE"""),"771372365")</f>
        <v>771372365</v>
      </c>
      <c r="E669" s="106" t="str">
        <f>IFERROR(__xludf.DUMMYFUNCTION("""COMPUTED_VALUE"""),"N")</f>
        <v>N</v>
      </c>
      <c r="F669" s="106" t="str">
        <f>IFERROR(__xludf.DUMMYFUNCTION("""COMPUTED_VALUE"""),"Livora Online Store")</f>
        <v>Livora Online Store</v>
      </c>
      <c r="G669" s="106" t="str">
        <f>IFERROR(__xludf.DUMMYFUNCTION("""COMPUTED_VALUE"""),"BE079034")</f>
        <v>BE079034</v>
      </c>
      <c r="H669" s="106" t="str">
        <f>IFERROR(__xludf.DUMMYFUNCTION("""COMPUTED_VALUE"""),"Bussiness Name Change")</f>
        <v>Bussiness Name Change</v>
      </c>
      <c r="I669" s="106" t="str">
        <f>IFERROR(__xludf.DUMMYFUNCTION("""COMPUTED_VALUE"""),"Maho")</f>
        <v>Maho</v>
      </c>
      <c r="J669" s="106"/>
      <c r="K669" s="106" t="str">
        <f>IFERROR(__xludf.DUMMYFUNCTION("""COMPUTED_VALUE"""),"Branch Operations")</f>
        <v>Branch Operations</v>
      </c>
      <c r="L669" s="106" t="str">
        <f>IFERROR(__xludf.DUMMYFUNCTION("""COMPUTED_VALUE"""),"Call Transfer Domestic Department")</f>
        <v>Call Transfer Domestic Department</v>
      </c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>
      <c r="A670" s="82"/>
      <c r="B670" s="98" t="str">
        <f>IFERROR(__xludf.DUMMYFUNCTION("""COMPUTED_VALUE"""),"946")</f>
        <v>946</v>
      </c>
      <c r="C670" s="98" t="str">
        <f>IFERROR(__xludf.DUMMYFUNCTION("""COMPUTED_VALUE"""),"Jeni")</f>
        <v>Jeni</v>
      </c>
      <c r="D670" s="98" t="str">
        <f>IFERROR(__xludf.DUMMYFUNCTION("""COMPUTED_VALUE"""),"764260766")</f>
        <v>764260766</v>
      </c>
      <c r="E670" s="98" t="str">
        <f>IFERROR(__xludf.DUMMYFUNCTION("""COMPUTED_VALUE"""),"N")</f>
        <v>N</v>
      </c>
      <c r="F670" s="98" t="str">
        <f>IFERROR(__xludf.DUMMYFUNCTION("""COMPUTED_VALUE"""),"Mona'S Closet")</f>
        <v>Mona'S Closet</v>
      </c>
      <c r="G670" s="98" t="str">
        <f>IFERROR(__xludf.DUMMYFUNCTION("""COMPUTED_VALUE"""),"BE081169")</f>
        <v>BE081169</v>
      </c>
      <c r="H670" s="98" t="str">
        <f>IFERROR(__xludf.DUMMYFUNCTION("""COMPUTED_VALUE"""),"Re Deliver")</f>
        <v>Re Deliver</v>
      </c>
      <c r="I670" s="98" t="str">
        <f>IFERROR(__xludf.DUMMYFUNCTION("""COMPUTED_VALUE"""),"Kaduwela")</f>
        <v>Kaduwela</v>
      </c>
      <c r="J670" s="98" t="str">
        <f>IFERROR(__xludf.DUMMYFUNCTION("""COMPUTED_VALUE"""),"Return To Ho (Invalid Destination)")</f>
        <v>Return To Ho (Invalid Destination)</v>
      </c>
      <c r="K670" s="98" t="str">
        <f>IFERROR(__xludf.DUMMYFUNCTION("""COMPUTED_VALUE"""),"Branch Operations")</f>
        <v>Branch Operations</v>
      </c>
      <c r="L670" s="98" t="str">
        <f>IFERROR(__xludf.DUMMYFUNCTION("""COMPUTED_VALUE"""),"Details Given")</f>
        <v>Details Given</v>
      </c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>
      <c r="A671" s="82"/>
      <c r="B671" s="106" t="str">
        <f>IFERROR(__xludf.DUMMYFUNCTION("""COMPUTED_VALUE"""),"947")</f>
        <v>947</v>
      </c>
      <c r="C671" s="106" t="str">
        <f>IFERROR(__xludf.DUMMYFUNCTION("""COMPUTED_VALUE"""),"Umesha")</f>
        <v>Umesha</v>
      </c>
      <c r="D671" s="106" t="str">
        <f>IFERROR(__xludf.DUMMYFUNCTION("""COMPUTED_VALUE"""),"322254795")</f>
        <v>322254795</v>
      </c>
      <c r="E671" s="106" t="str">
        <f>IFERROR(__xludf.DUMMYFUNCTION("""COMPUTED_VALUE"""),"Y")</f>
        <v>Y</v>
      </c>
      <c r="F671" s="106" t="str">
        <f>IFERROR(__xludf.DUMMYFUNCTION("""COMPUTED_VALUE"""),"Sahasra Team")</f>
        <v>Sahasra Team</v>
      </c>
      <c r="G671" s="106" t="str">
        <f>IFERROR(__xludf.DUMMYFUNCTION("""COMPUTED_VALUE"""),"A3794234")</f>
        <v>A3794234</v>
      </c>
      <c r="H671" s="106" t="str">
        <f>IFERROR(__xludf.DUMMYFUNCTION("""COMPUTED_VALUE"""),"Top Urgent Today")</f>
        <v>Top Urgent Today</v>
      </c>
      <c r="I671" s="106" t="str">
        <f>IFERROR(__xludf.DUMMYFUNCTION("""COMPUTED_VALUE"""),"Kurunegala")</f>
        <v>Kurunegala</v>
      </c>
      <c r="J671" s="106" t="str">
        <f>IFERROR(__xludf.DUMMYFUNCTION("""COMPUTED_VALUE"""),"Received At Destination")</f>
        <v>Received At Destination</v>
      </c>
      <c r="K671" s="106" t="str">
        <f>IFERROR(__xludf.DUMMYFUNCTION("""COMPUTED_VALUE"""),"Branch Operations")</f>
        <v>Branch Operations</v>
      </c>
      <c r="L671" s="106" t="str">
        <f>IFERROR(__xludf.DUMMYFUNCTION("""COMPUTED_VALUE"""),"Details Given")</f>
        <v>Details Given</v>
      </c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>
      <c r="A672" s="82"/>
      <c r="B672" s="98" t="str">
        <f>IFERROR(__xludf.DUMMYFUNCTION("""COMPUTED_VALUE"""),"948")</f>
        <v>948</v>
      </c>
      <c r="C672" s="98" t="str">
        <f>IFERROR(__xludf.DUMMYFUNCTION("""COMPUTED_VALUE"""),"Lakshani")</f>
        <v>Lakshani</v>
      </c>
      <c r="D672" s="98" t="str">
        <f>IFERROR(__xludf.DUMMYFUNCTION("""COMPUTED_VALUE"""),"714630455")</f>
        <v>714630455</v>
      </c>
      <c r="E672" s="98" t="str">
        <f>IFERROR(__xludf.DUMMYFUNCTION("""COMPUTED_VALUE"""),"Y")</f>
        <v>Y</v>
      </c>
      <c r="F672" s="98" t="str">
        <f>IFERROR(__xludf.DUMMYFUNCTION("""COMPUTED_VALUE"""),"77 956 2259")</f>
        <v>77 956 2259</v>
      </c>
      <c r="G672" s="98" t="str">
        <f>IFERROR(__xludf.DUMMYFUNCTION("""COMPUTED_VALUE"""),"A4309144")</f>
        <v>A4309144</v>
      </c>
      <c r="H672" s="98" t="str">
        <f>IFERROR(__xludf.DUMMYFUNCTION("""COMPUTED_VALUE"""),"Belihuloya Branch")</f>
        <v>Belihuloya Branch</v>
      </c>
      <c r="I672" s="98" t="str">
        <f>IFERROR(__xludf.DUMMYFUNCTION("""COMPUTED_VALUE"""),"Colombo Metro")</f>
        <v>Colombo Metro</v>
      </c>
      <c r="J672" s="98" t="str">
        <f>IFERROR(__xludf.DUMMYFUNCTION("""COMPUTED_VALUE"""),"Re-Delivery")</f>
        <v>Re-Delivery</v>
      </c>
      <c r="K672" s="98" t="str">
        <f>IFERROR(__xludf.DUMMYFUNCTION("""COMPUTED_VALUE"""),"Customer Care")</f>
        <v>Customer Care</v>
      </c>
      <c r="L672" s="98" t="str">
        <f>IFERROR(__xludf.DUMMYFUNCTION("""COMPUTED_VALUE"""),"Done")</f>
        <v>Done</v>
      </c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>
      <c r="A673" s="82"/>
      <c r="B673" s="106" t="str">
        <f>IFERROR(__xludf.DUMMYFUNCTION("""COMPUTED_VALUE"""),"949")</f>
        <v>949</v>
      </c>
      <c r="C673" s="106" t="str">
        <f>IFERROR(__xludf.DUMMYFUNCTION("""COMPUTED_VALUE"""),"Jeni")</f>
        <v>Jeni</v>
      </c>
      <c r="D673" s="106" t="str">
        <f>IFERROR(__xludf.DUMMYFUNCTION("""COMPUTED_VALUE"""),"702337422")</f>
        <v>702337422</v>
      </c>
      <c r="E673" s="106" t="str">
        <f>IFERROR(__xludf.DUMMYFUNCTION("""COMPUTED_VALUE"""),"N")</f>
        <v>N</v>
      </c>
      <c r="F673" s="106" t="str">
        <f>IFERROR(__xludf.DUMMYFUNCTION("""COMPUTED_VALUE"""),"C&amp;L Markerting")</f>
        <v>C&amp;L Markerting</v>
      </c>
      <c r="G673" s="106" t="str">
        <f>IFERROR(__xludf.DUMMYFUNCTION("""COMPUTED_VALUE"""),"A3373703")</f>
        <v>A3373703</v>
      </c>
      <c r="H673" s="106" t="str">
        <f>IFERROR(__xludf.DUMMYFUNCTION("""COMPUTED_VALUE"""),"Asked Some Details")</f>
        <v>Asked Some Details</v>
      </c>
      <c r="I673" s="106" t="str">
        <f>IFERROR(__xludf.DUMMYFUNCTION("""COMPUTED_VALUE"""),"Embilipitiya")</f>
        <v>Embilipitiya</v>
      </c>
      <c r="J673" s="106" t="str">
        <f>IFERROR(__xludf.DUMMYFUNCTION("""COMPUTED_VALUE"""),"Returned To Branch Rescheduled")</f>
        <v>Returned To Branch Rescheduled</v>
      </c>
      <c r="K673" s="106" t="str">
        <f>IFERROR(__xludf.DUMMYFUNCTION("""COMPUTED_VALUE"""),"Branch Operations")</f>
        <v>Branch Operations</v>
      </c>
      <c r="L673" s="106" t="str">
        <f>IFERROR(__xludf.DUMMYFUNCTION("""COMPUTED_VALUE"""),"Details Given")</f>
        <v>Details Given</v>
      </c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>
      <c r="A674" s="82"/>
      <c r="B674" s="98" t="str">
        <f>IFERROR(__xludf.DUMMYFUNCTION("""COMPUTED_VALUE"""),"950")</f>
        <v>950</v>
      </c>
      <c r="C674" s="98" t="str">
        <f>IFERROR(__xludf.DUMMYFUNCTION("""COMPUTED_VALUE"""),"Jeni")</f>
        <v>Jeni</v>
      </c>
      <c r="D674" s="98" t="str">
        <f>IFERROR(__xludf.DUMMYFUNCTION("""COMPUTED_VALUE"""),"741852301")</f>
        <v>741852301</v>
      </c>
      <c r="E674" s="98" t="str">
        <f>IFERROR(__xludf.DUMMYFUNCTION("""COMPUTED_VALUE"""),"Y")</f>
        <v>Y</v>
      </c>
      <c r="F674" s="98" t="str">
        <f>IFERROR(__xludf.DUMMYFUNCTION("""COMPUTED_VALUE"""),"Flexi Store")</f>
        <v>Flexi Store</v>
      </c>
      <c r="G674" s="98" t="str">
        <f>IFERROR(__xludf.DUMMYFUNCTION("""COMPUTED_VALUE"""),"A3919534")</f>
        <v>A3919534</v>
      </c>
      <c r="H674" s="98" t="str">
        <f>IFERROR(__xludf.DUMMYFUNCTION("""COMPUTED_VALUE"""),"Some Details / Return To Client")</f>
        <v>Some Details / Return To Client</v>
      </c>
      <c r="I674" s="98" t="str">
        <f>IFERROR(__xludf.DUMMYFUNCTION("""COMPUTED_VALUE"""),"Ratmalana")</f>
        <v>Ratmalana</v>
      </c>
      <c r="J674" s="98" t="str">
        <f>IFERROR(__xludf.DUMMYFUNCTION("""COMPUTED_VALUE"""),"Delivered")</f>
        <v>Delivered</v>
      </c>
      <c r="K674" s="98" t="str">
        <f>IFERROR(__xludf.DUMMYFUNCTION("""COMPUTED_VALUE"""),"Customer Care")</f>
        <v>Customer Care</v>
      </c>
      <c r="L674" s="98" t="str">
        <f>IFERROR(__xludf.DUMMYFUNCTION("""COMPUTED_VALUE"""),"Informed Deepika Genzo")</f>
        <v>Informed Deepika Genzo</v>
      </c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>
      <c r="A675" s="82"/>
      <c r="B675" s="106" t="str">
        <f>IFERROR(__xludf.DUMMYFUNCTION("""COMPUTED_VALUE"""),"951")</f>
        <v>951</v>
      </c>
      <c r="C675" s="106" t="str">
        <f>IFERROR(__xludf.DUMMYFUNCTION("""COMPUTED_VALUE"""),"Jeni")</f>
        <v>Jeni</v>
      </c>
      <c r="D675" s="106" t="str">
        <f>IFERROR(__xludf.DUMMYFUNCTION("""COMPUTED_VALUE"""),"761051545")</f>
        <v>761051545</v>
      </c>
      <c r="E675" s="106" t="str">
        <f>IFERROR(__xludf.DUMMYFUNCTION("""COMPUTED_VALUE"""),"Y")</f>
        <v>Y</v>
      </c>
      <c r="F675" s="106" t="str">
        <f>IFERROR(__xludf.DUMMYFUNCTION("""COMPUTED_VALUE"""),"Happyfly")</f>
        <v>Happyfly</v>
      </c>
      <c r="G675" s="106" t="str">
        <f>IFERROR(__xludf.DUMMYFUNCTION("""COMPUTED_VALUE"""),"BD902615")</f>
        <v>BD902615</v>
      </c>
      <c r="H675" s="106" t="str">
        <f>IFERROR(__xludf.DUMMYFUNCTION("""COMPUTED_VALUE"""),"Re Deliver")</f>
        <v>Re Deliver</v>
      </c>
      <c r="I675" s="106" t="str">
        <f>IFERROR(__xludf.DUMMYFUNCTION("""COMPUTED_VALUE"""),"Kalutara")</f>
        <v>Kalutara</v>
      </c>
      <c r="J675" s="106" t="str">
        <f>IFERROR(__xludf.DUMMYFUNCTION("""COMPUTED_VALUE"""),"Re-Delivery")</f>
        <v>Re-Delivery</v>
      </c>
      <c r="K675" s="106" t="str">
        <f>IFERROR(__xludf.DUMMYFUNCTION("""COMPUTED_VALUE"""),"Customer Care")</f>
        <v>Customer Care</v>
      </c>
      <c r="L675" s="106" t="str">
        <f>IFERROR(__xludf.DUMMYFUNCTION("""COMPUTED_VALUE"""),"Informed Branch Number Via A Whatsapp")</f>
        <v>Informed Branch Number Via A Whatsapp</v>
      </c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>
      <c r="A676" s="82"/>
      <c r="B676" s="98" t="str">
        <f>IFERROR(__xludf.DUMMYFUNCTION("""COMPUTED_VALUE"""),"952")</f>
        <v>952</v>
      </c>
      <c r="C676" s="98" t="str">
        <f>IFERROR(__xludf.DUMMYFUNCTION("""COMPUTED_VALUE"""),"Lakshani")</f>
        <v>Lakshani</v>
      </c>
      <c r="D676" s="98" t="str">
        <f>IFERROR(__xludf.DUMMYFUNCTION("""COMPUTED_VALUE"""),"768804852")</f>
        <v>768804852</v>
      </c>
      <c r="E676" s="98" t="str">
        <f>IFERROR(__xludf.DUMMYFUNCTION("""COMPUTED_VALUE"""),"N")</f>
        <v>N</v>
      </c>
      <c r="F676" s="98" t="str">
        <f>IFERROR(__xludf.DUMMYFUNCTION("""COMPUTED_VALUE"""),"Swasthi")</f>
        <v>Swasthi</v>
      </c>
      <c r="G676" s="98" t="str">
        <f>IFERROR(__xludf.DUMMYFUNCTION("""COMPUTED_VALUE"""),"A4409255")</f>
        <v>A4409255</v>
      </c>
      <c r="H676" s="98" t="str">
        <f>IFERROR(__xludf.DUMMYFUNCTION("""COMPUTED_VALUE"""),"Gampola Branch No")</f>
        <v>Gampola Branch No</v>
      </c>
      <c r="I676" s="98" t="str">
        <f>IFERROR(__xludf.DUMMYFUNCTION("""COMPUTED_VALUE"""),"Imaduwa")</f>
        <v>Imaduwa</v>
      </c>
      <c r="J676" s="98" t="str">
        <f>IFERROR(__xludf.DUMMYFUNCTION("""COMPUTED_VALUE"""),"Returned To Branch Failed To Deliver")</f>
        <v>Returned To Branch Failed To Deliver</v>
      </c>
      <c r="K676" s="98" t="str">
        <f>IFERROR(__xludf.DUMMYFUNCTION("""COMPUTED_VALUE"""),"Branch Operations")</f>
        <v>Branch Operations</v>
      </c>
      <c r="L676" s="98" t="str">
        <f>IFERROR(__xludf.DUMMYFUNCTION("""COMPUTED_VALUE"""),"Informed Branch")</f>
        <v>Informed Branch</v>
      </c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>
      <c r="A677" s="82"/>
      <c r="B677" s="106" t="str">
        <f>IFERROR(__xludf.DUMMYFUNCTION("""COMPUTED_VALUE"""),"953")</f>
        <v>953</v>
      </c>
      <c r="C677" s="106" t="str">
        <f>IFERROR(__xludf.DUMMYFUNCTION("""COMPUTED_VALUE"""),"Jeni")</f>
        <v>Jeni</v>
      </c>
      <c r="D677" s="106" t="str">
        <f>IFERROR(__xludf.DUMMYFUNCTION("""COMPUTED_VALUE"""),"772131099")</f>
        <v>772131099</v>
      </c>
      <c r="E677" s="106" t="str">
        <f>IFERROR(__xludf.DUMMYFUNCTION("""COMPUTED_VALUE"""),"N")</f>
        <v>N</v>
      </c>
      <c r="F677" s="106" t="str">
        <f>IFERROR(__xludf.DUMMYFUNCTION("""COMPUTED_VALUE"""),"Clothing Brands")</f>
        <v>Clothing Brands</v>
      </c>
      <c r="G677" s="106" t="str">
        <f>IFERROR(__xludf.DUMMYFUNCTION("""COMPUTED_VALUE"""),"BE015822")</f>
        <v>BE015822</v>
      </c>
      <c r="H677" s="106" t="str">
        <f>IFERROR(__xludf.DUMMYFUNCTION("""COMPUTED_VALUE"""),"Some Details /Delivery")</f>
        <v>Some Details /Delivery</v>
      </c>
      <c r="I677" s="106" t="str">
        <f>IFERROR(__xludf.DUMMYFUNCTION("""COMPUTED_VALUE"""),"Avissawella")</f>
        <v>Avissawella</v>
      </c>
      <c r="J677" s="106" t="str">
        <f>IFERROR(__xludf.DUMMYFUNCTION("""COMPUTED_VALUE"""),"Returned To Branch Rescheduled")</f>
        <v>Returned To Branch Rescheduled</v>
      </c>
      <c r="K677" s="106" t="str">
        <f>IFERROR(__xludf.DUMMYFUNCTION("""COMPUTED_VALUE"""),"Recovery")</f>
        <v>Recovery</v>
      </c>
      <c r="L677" s="106" t="str">
        <f>IFERROR(__xludf.DUMMYFUNCTION("""COMPUTED_VALUE"""),"Disconected The Line")</f>
        <v>Disconected The Line</v>
      </c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>
      <c r="A678" s="82"/>
      <c r="B678" s="98" t="str">
        <f>IFERROR(__xludf.DUMMYFUNCTION("""COMPUTED_VALUE"""),"954")</f>
        <v>954</v>
      </c>
      <c r="C678" s="98" t="str">
        <f>IFERROR(__xludf.DUMMYFUNCTION("""COMPUTED_VALUE"""),"Mandari")</f>
        <v>Mandari</v>
      </c>
      <c r="D678" s="98" t="str">
        <f>IFERROR(__xludf.DUMMYFUNCTION("""COMPUTED_VALUE"""),"779107164")</f>
        <v>779107164</v>
      </c>
      <c r="E678" s="98" t="str">
        <f>IFERROR(__xludf.DUMMYFUNCTION("""COMPUTED_VALUE"""),"N")</f>
        <v>N</v>
      </c>
      <c r="F678" s="98" t="str">
        <f>IFERROR(__xludf.DUMMYFUNCTION("""COMPUTED_VALUE"""),"Miraci Holdings")</f>
        <v>Miraci Holdings</v>
      </c>
      <c r="G678" s="98" t="str">
        <f>IFERROR(__xludf.DUMMYFUNCTION("""COMPUTED_VALUE"""),"BE083066")</f>
        <v>BE083066</v>
      </c>
      <c r="H678" s="98" t="str">
        <f>IFERROR(__xludf.DUMMYFUNCTION("""COMPUTED_VALUE"""),"Re Deliver")</f>
        <v>Re Deliver</v>
      </c>
      <c r="I678" s="98" t="str">
        <f>IFERROR(__xludf.DUMMYFUNCTION("""COMPUTED_VALUE"""),"Dambulla")</f>
        <v>Dambulla</v>
      </c>
      <c r="J678" s="98" t="str">
        <f>IFERROR(__xludf.DUMMYFUNCTION("""COMPUTED_VALUE"""),"Returned To Branch Rescheduled")</f>
        <v>Returned To Branch Rescheduled</v>
      </c>
      <c r="K678" s="98" t="str">
        <f>IFERROR(__xludf.DUMMYFUNCTION("""COMPUTED_VALUE"""),"Branch Operations")</f>
        <v>Branch Operations</v>
      </c>
      <c r="L678" s="98" t="str">
        <f>IFERROR(__xludf.DUMMYFUNCTION("""COMPUTED_VALUE"""),"Info Branch")</f>
        <v>Info Branch</v>
      </c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>
      <c r="A679" s="82"/>
      <c r="B679" s="106" t="str">
        <f>IFERROR(__xludf.DUMMYFUNCTION("""COMPUTED_VALUE"""),"955")</f>
        <v>955</v>
      </c>
      <c r="C679" s="106" t="str">
        <f>IFERROR(__xludf.DUMMYFUNCTION("""COMPUTED_VALUE"""),"Mandari")</f>
        <v>Mandari</v>
      </c>
      <c r="D679" s="106" t="str">
        <f>IFERROR(__xludf.DUMMYFUNCTION("""COMPUTED_VALUE"""),"780637327")</f>
        <v>780637327</v>
      </c>
      <c r="E679" s="106" t="str">
        <f>IFERROR(__xludf.DUMMYFUNCTION("""COMPUTED_VALUE"""),"N")</f>
        <v>N</v>
      </c>
      <c r="F679" s="106" t="str">
        <f>IFERROR(__xludf.DUMMYFUNCTION("""COMPUTED_VALUE"""),"Dv Clothing")</f>
        <v>Dv Clothing</v>
      </c>
      <c r="G679" s="106" t="str">
        <f>IFERROR(__xludf.DUMMYFUNCTION("""COMPUTED_VALUE"""),"A4389924")</f>
        <v>A4389924</v>
      </c>
      <c r="H679" s="106" t="str">
        <f>IFERROR(__xludf.DUMMYFUNCTION("""COMPUTED_VALUE"""),"Urgent Today")</f>
        <v>Urgent Today</v>
      </c>
      <c r="I679" s="106" t="str">
        <f>IFERROR(__xludf.DUMMYFUNCTION("""COMPUTED_VALUE"""),"Colombo Metro")</f>
        <v>Colombo Metro</v>
      </c>
      <c r="J679" s="106" t="str">
        <f>IFERROR(__xludf.DUMMYFUNCTION("""COMPUTED_VALUE"""),"Returned To Client")</f>
        <v>Returned To Client</v>
      </c>
      <c r="K679" s="106" t="str">
        <f>IFERROR(__xludf.DUMMYFUNCTION("""COMPUTED_VALUE"""),"Customer Care")</f>
        <v>Customer Care</v>
      </c>
      <c r="L679" s="106" t="str">
        <f>IFERROR(__xludf.DUMMYFUNCTION("""COMPUTED_VALUE"""),"Informed Branch")</f>
        <v>Informed Branch</v>
      </c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>
      <c r="A680" s="82"/>
      <c r="B680" s="98" t="str">
        <f>IFERROR(__xludf.DUMMYFUNCTION("""COMPUTED_VALUE"""),"956")</f>
        <v>956</v>
      </c>
      <c r="C680" s="98" t="str">
        <f>IFERROR(__xludf.DUMMYFUNCTION("""COMPUTED_VALUE"""),"Mandari")</f>
        <v>Mandari</v>
      </c>
      <c r="D680" s="98" t="str">
        <f>IFERROR(__xludf.DUMMYFUNCTION("""COMPUTED_VALUE"""),"777743344")</f>
        <v>777743344</v>
      </c>
      <c r="E680" s="98" t="str">
        <f>IFERROR(__xludf.DUMMYFUNCTION("""COMPUTED_VALUE"""),"Y")</f>
        <v>Y</v>
      </c>
      <c r="F680" s="98" t="str">
        <f>IFERROR(__xludf.DUMMYFUNCTION("""COMPUTED_VALUE"""),"Dolly'Fashion")</f>
        <v>Dolly'Fashion</v>
      </c>
      <c r="G680" s="98" t="str">
        <f>IFERROR(__xludf.DUMMYFUNCTION("""COMPUTED_VALUE"""),"A4584065")</f>
        <v>A4584065</v>
      </c>
      <c r="H680" s="98" t="str">
        <f>IFERROR(__xludf.DUMMYFUNCTION("""COMPUTED_VALUE"""),"Some Details / Return To Client")</f>
        <v>Some Details / Return To Client</v>
      </c>
      <c r="I680" s="98" t="str">
        <f>IFERROR(__xludf.DUMMYFUNCTION("""COMPUTED_VALUE"""),"Panadura")</f>
        <v>Panadura</v>
      </c>
      <c r="J680" s="98" t="str">
        <f>IFERROR(__xludf.DUMMYFUNCTION("""COMPUTED_VALUE"""),"Returned To Branch Rescheduled")</f>
        <v>Returned To Branch Rescheduled</v>
      </c>
      <c r="K680" s="98" t="str">
        <f>IFERROR(__xludf.DUMMYFUNCTION("""COMPUTED_VALUE"""),"Customer Care")</f>
        <v>Customer Care</v>
      </c>
      <c r="L680" s="98" t="str">
        <f>IFERROR(__xludf.DUMMYFUNCTION("""COMPUTED_VALUE"""),"Informed Genzo Nethmi")</f>
        <v>Informed Genzo Nethmi</v>
      </c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>
      <c r="A681" s="82"/>
      <c r="B681" s="106" t="str">
        <f>IFERROR(__xludf.DUMMYFUNCTION("""COMPUTED_VALUE"""),"957")</f>
        <v>957</v>
      </c>
      <c r="C681" s="106" t="str">
        <f>IFERROR(__xludf.DUMMYFUNCTION("""COMPUTED_VALUE"""),"Jeni")</f>
        <v>Jeni</v>
      </c>
      <c r="D681" s="106" t="str">
        <f>IFERROR(__xludf.DUMMYFUNCTION("""COMPUTED_VALUE"""),"779702469")</f>
        <v>779702469</v>
      </c>
      <c r="E681" s="106" t="str">
        <f>IFERROR(__xludf.DUMMYFUNCTION("""COMPUTED_VALUE"""),"N")</f>
        <v>N</v>
      </c>
      <c r="F681" s="107" t="str">
        <f>IFERROR(__xludf.DUMMYFUNCTION("""COMPUTED_VALUE"""),"Zunna.Lk")</f>
        <v>Zunna.Lk</v>
      </c>
      <c r="G681" s="106" t="str">
        <f>IFERROR(__xludf.DUMMYFUNCTION("""COMPUTED_VALUE"""),"A4170424")</f>
        <v>A4170424</v>
      </c>
      <c r="H681" s="106" t="str">
        <f>IFERROR(__xludf.DUMMYFUNCTION("""COMPUTED_VALUE"""),"Vacancy Call/ Askto Connect Hr")</f>
        <v>Vacancy Call/ Askto Connect Hr</v>
      </c>
      <c r="I681" s="106" t="str">
        <f>IFERROR(__xludf.DUMMYFUNCTION("""COMPUTED_VALUE"""),"Negombo")</f>
        <v>Negombo</v>
      </c>
      <c r="J681" s="106" t="str">
        <f>IFERROR(__xludf.DUMMYFUNCTION("""COMPUTED_VALUE"""),"Returned To Branch Rescheduled")</f>
        <v>Returned To Branch Rescheduled</v>
      </c>
      <c r="K681" s="106" t="str">
        <f>IFERROR(__xludf.DUMMYFUNCTION("""COMPUTED_VALUE"""),"Branch Operations")</f>
        <v>Branch Operations</v>
      </c>
      <c r="L681" s="106" t="str">
        <f>IFERROR(__xludf.DUMMYFUNCTION("""COMPUTED_VALUE"""),"Already Return Item")</f>
        <v>Already Return Item</v>
      </c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>
      <c r="A682" s="82"/>
      <c r="B682" s="98" t="str">
        <f>IFERROR(__xludf.DUMMYFUNCTION("""COMPUTED_VALUE"""),"958")</f>
        <v>958</v>
      </c>
      <c r="C682" s="98" t="str">
        <f>IFERROR(__xludf.DUMMYFUNCTION("""COMPUTED_VALUE"""),"Mandari")</f>
        <v>Mandari</v>
      </c>
      <c r="D682" s="98" t="str">
        <f>IFERROR(__xludf.DUMMYFUNCTION("""COMPUTED_VALUE"""),"731462503")</f>
        <v>731462503</v>
      </c>
      <c r="E682" s="98" t="str">
        <f>IFERROR(__xludf.DUMMYFUNCTION("""COMPUTED_VALUE"""),"N")</f>
        <v>N</v>
      </c>
      <c r="F682" s="108" t="str">
        <f>IFERROR(__xludf.DUMMYFUNCTION("""COMPUTED_VALUE"""),"Saleway.Lk")</f>
        <v>Saleway.Lk</v>
      </c>
      <c r="G682" s="98" t="str">
        <f>IFERROR(__xludf.DUMMYFUNCTION("""COMPUTED_VALUE"""),"A4086806")</f>
        <v>A4086806</v>
      </c>
      <c r="H682" s="98" t="str">
        <f>IFERROR(__xludf.DUMMYFUNCTION("""COMPUTED_VALUE"""),"Urgent Today")</f>
        <v>Urgent Today</v>
      </c>
      <c r="I682" s="98" t="str">
        <f>IFERROR(__xludf.DUMMYFUNCTION("""COMPUTED_VALUE"""),"Horana")</f>
        <v>Horana</v>
      </c>
      <c r="J682" s="98" t="str">
        <f>IFERROR(__xludf.DUMMYFUNCTION("""COMPUTED_VALUE"""),"Out For Delivery")</f>
        <v>Out For Delivery</v>
      </c>
      <c r="K682" s="98" t="str">
        <f>IFERROR(__xludf.DUMMYFUNCTION("""COMPUTED_VALUE"""),"Customer Care")</f>
        <v>Customer Care</v>
      </c>
      <c r="L682" s="98" t="str">
        <f>IFERROR(__xludf.DUMMYFUNCTION("""COMPUTED_VALUE"""),"Informed Branch")</f>
        <v>Informed Branch</v>
      </c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>
      <c r="A683" s="82"/>
      <c r="B683" s="106" t="str">
        <f>IFERROR(__xludf.DUMMYFUNCTION("""COMPUTED_VALUE"""),"959")</f>
        <v>959</v>
      </c>
      <c r="C683" s="106" t="str">
        <f>IFERROR(__xludf.DUMMYFUNCTION("""COMPUTED_VALUE"""),"Lakshani")</f>
        <v>Lakshani</v>
      </c>
      <c r="D683" s="106" t="str">
        <f>IFERROR(__xludf.DUMMYFUNCTION("""COMPUTED_VALUE"""),"750850157")</f>
        <v>750850157</v>
      </c>
      <c r="E683" s="106" t="str">
        <f>IFERROR(__xludf.DUMMYFUNCTION("""COMPUTED_VALUE"""),"Y")</f>
        <v>Y</v>
      </c>
      <c r="F683" s="106" t="str">
        <f>IFERROR(__xludf.DUMMYFUNCTION("""COMPUTED_VALUE"""),"Stylefix")</f>
        <v>Stylefix</v>
      </c>
      <c r="G683" s="106" t="str">
        <f>IFERROR(__xludf.DUMMYFUNCTION("""COMPUTED_VALUE"""),"BE099303")</f>
        <v>BE099303</v>
      </c>
      <c r="H683" s="106" t="str">
        <f>IFERROR(__xludf.DUMMYFUNCTION("""COMPUTED_VALUE"""),"Arrange To Deliver Today /Top Urgent")</f>
        <v>Arrange To Deliver Today /Top Urgent</v>
      </c>
      <c r="I683" s="106" t="str">
        <f>IFERROR(__xludf.DUMMYFUNCTION("""COMPUTED_VALUE"""),"Rajagiriya")</f>
        <v>Rajagiriya</v>
      </c>
      <c r="J683" s="106" t="str">
        <f>IFERROR(__xludf.DUMMYFUNCTION("""COMPUTED_VALUE"""),"Received At Destination")</f>
        <v>Received At Destination</v>
      </c>
      <c r="K683" s="106" t="str">
        <f>IFERROR(__xludf.DUMMYFUNCTION("""COMPUTED_VALUE"""),"Branch Operations")</f>
        <v>Branch Operations</v>
      </c>
      <c r="L683" s="106" t="str">
        <f>IFERROR(__xludf.DUMMYFUNCTION("""COMPUTED_VALUE"""),"Informed Branch")</f>
        <v>Informed Branch</v>
      </c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>
      <c r="A684" s="82"/>
      <c r="B684" s="98" t="str">
        <f>IFERROR(__xludf.DUMMYFUNCTION("""COMPUTED_VALUE"""),"960")</f>
        <v>960</v>
      </c>
      <c r="C684" s="98" t="str">
        <f>IFERROR(__xludf.DUMMYFUNCTION("""COMPUTED_VALUE"""),"Umesha")</f>
        <v>Umesha</v>
      </c>
      <c r="D684" s="98" t="str">
        <f>IFERROR(__xludf.DUMMYFUNCTION("""COMPUTED_VALUE"""),"757715579")</f>
        <v>757715579</v>
      </c>
      <c r="E684" s="98" t="str">
        <f>IFERROR(__xludf.DUMMYFUNCTION("""COMPUTED_VALUE"""),"N")</f>
        <v>N</v>
      </c>
      <c r="F684" s="98" t="str">
        <f>IFERROR(__xludf.DUMMYFUNCTION("""COMPUTED_VALUE"""),"P &amp; S Help Investment Pvt(Ltd)")</f>
        <v>P &amp; S Help Investment Pvt(Ltd)</v>
      </c>
      <c r="G684" s="98" t="str">
        <f>IFERROR(__xludf.DUMMYFUNCTION("""COMPUTED_VALUE"""),"A4581256")</f>
        <v>A4581256</v>
      </c>
      <c r="H684" s="98" t="str">
        <f>IFERROR(__xludf.DUMMYFUNCTION("""COMPUTED_VALUE"""),"Top Urgent Today")</f>
        <v>Top Urgent Today</v>
      </c>
      <c r="I684" s="98" t="str">
        <f>IFERROR(__xludf.DUMMYFUNCTION("""COMPUTED_VALUE"""),"Ratmalana")</f>
        <v>Ratmalana</v>
      </c>
      <c r="J684" s="98" t="str">
        <f>IFERROR(__xludf.DUMMYFUNCTION("""COMPUTED_VALUE"""),"Out For Delivery")</f>
        <v>Out For Delivery</v>
      </c>
      <c r="K684" s="98" t="str">
        <f>IFERROR(__xludf.DUMMYFUNCTION("""COMPUTED_VALUE"""),"Branch Operations")</f>
        <v>Branch Operations</v>
      </c>
      <c r="L684" s="98" t="str">
        <f>IFERROR(__xludf.DUMMYFUNCTION("""COMPUTED_VALUE"""),"Return Item")</f>
        <v>Return Item</v>
      </c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>
      <c r="A685" s="82"/>
      <c r="B685" s="106" t="str">
        <f>IFERROR(__xludf.DUMMYFUNCTION("""COMPUTED_VALUE"""),"961")</f>
        <v>961</v>
      </c>
      <c r="C685" s="106" t="str">
        <f>IFERROR(__xludf.DUMMYFUNCTION("""COMPUTED_VALUE"""),"Jeni")</f>
        <v>Jeni</v>
      </c>
      <c r="D685" s="106" t="str">
        <f>IFERROR(__xludf.DUMMYFUNCTION("""COMPUTED_VALUE"""),"719268439")</f>
        <v>719268439</v>
      </c>
      <c r="E685" s="106" t="str">
        <f>IFERROR(__xludf.DUMMYFUNCTION("""COMPUTED_VALUE"""),"Y")</f>
        <v>Y</v>
      </c>
      <c r="F685" s="106" t="str">
        <f>IFERROR(__xludf.DUMMYFUNCTION("""COMPUTED_VALUE"""),"Zeena")</f>
        <v>Zeena</v>
      </c>
      <c r="G685" s="106" t="str">
        <f>IFERROR(__xludf.DUMMYFUNCTION("""COMPUTED_VALUE"""),"BE134651")</f>
        <v>BE134651</v>
      </c>
      <c r="H685" s="106" t="str">
        <f>IFERROR(__xludf.DUMMYFUNCTION("""COMPUTED_VALUE"""),"Re Deliver")</f>
        <v>Re Deliver</v>
      </c>
      <c r="I685" s="106" t="str">
        <f>IFERROR(__xludf.DUMMYFUNCTION("""COMPUTED_VALUE"""),"Kurunegala")</f>
        <v>Kurunegala</v>
      </c>
      <c r="J685" s="106" t="str">
        <f>IFERROR(__xludf.DUMMYFUNCTION("""COMPUTED_VALUE"""),"Returned To Branch Failed To Deliver")</f>
        <v>Returned To Branch Failed To Deliver</v>
      </c>
      <c r="K685" s="106" t="str">
        <f>IFERROR(__xludf.DUMMYFUNCTION("""COMPUTED_VALUE"""),"Branch Operations")</f>
        <v>Branch Operations</v>
      </c>
      <c r="L685" s="106" t="str">
        <f>IFERROR(__xludf.DUMMYFUNCTION("""COMPUTED_VALUE"""),"Already Branch Put Return To Ho Update")</f>
        <v>Already Branch Put Return To Ho Update</v>
      </c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>
      <c r="A686" s="82"/>
      <c r="B686" s="98" t="str">
        <f>IFERROR(__xludf.DUMMYFUNCTION("""COMPUTED_VALUE"""),"962")</f>
        <v>962</v>
      </c>
      <c r="C686" s="98" t="str">
        <f>IFERROR(__xludf.DUMMYFUNCTION("""COMPUTED_VALUE"""),"Mandari")</f>
        <v>Mandari</v>
      </c>
      <c r="D686" s="98" t="str">
        <f>IFERROR(__xludf.DUMMYFUNCTION("""COMPUTED_VALUE"""),"768046805")</f>
        <v>768046805</v>
      </c>
      <c r="E686" s="98" t="str">
        <f>IFERROR(__xludf.DUMMYFUNCTION("""COMPUTED_VALUE"""),"Y")</f>
        <v>Y</v>
      </c>
      <c r="F686" s="108" t="str">
        <f>IFERROR(__xludf.DUMMYFUNCTION("""COMPUTED_VALUE"""),"Tropical.Lk")</f>
        <v>Tropical.Lk</v>
      </c>
      <c r="G686" s="98" t="str">
        <f>IFERROR(__xludf.DUMMYFUNCTION("""COMPUTED_VALUE"""),"BE055923")</f>
        <v>BE055923</v>
      </c>
      <c r="H686" s="98" t="str">
        <f>IFERROR(__xludf.DUMMYFUNCTION("""COMPUTED_VALUE"""),"Re Deliver -Call Back 1 Pm")</f>
        <v>Re Deliver -Call Back 1 Pm</v>
      </c>
      <c r="I686" s="98" t="str">
        <f>IFERROR(__xludf.DUMMYFUNCTION("""COMPUTED_VALUE"""),"Kaduwela")</f>
        <v>Kaduwela</v>
      </c>
      <c r="J686" s="98" t="str">
        <f>IFERROR(__xludf.DUMMYFUNCTION("""COMPUTED_VALUE"""),"Out For Delivery")</f>
        <v>Out For Delivery</v>
      </c>
      <c r="K686" s="98" t="str">
        <f>IFERROR(__xludf.DUMMYFUNCTION("""COMPUTED_VALUE"""),"Sales")</f>
        <v>Sales</v>
      </c>
      <c r="L686" s="98" t="str">
        <f>IFERROR(__xludf.DUMMYFUNCTION("""COMPUTED_VALUE"""),"Done")</f>
        <v>Done</v>
      </c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>
      <c r="A687" s="82"/>
      <c r="B687" s="106" t="str">
        <f>IFERROR(__xludf.DUMMYFUNCTION("""COMPUTED_VALUE"""),"963")</f>
        <v>963</v>
      </c>
      <c r="C687" s="106" t="str">
        <f>IFERROR(__xludf.DUMMYFUNCTION("""COMPUTED_VALUE"""),"Umesha")</f>
        <v>Umesha</v>
      </c>
      <c r="D687" s="106" t="str">
        <f>IFERROR(__xludf.DUMMYFUNCTION("""COMPUTED_VALUE"""),"724344762")</f>
        <v>724344762</v>
      </c>
      <c r="E687" s="106" t="str">
        <f>IFERROR(__xludf.DUMMYFUNCTION("""COMPUTED_VALUE"""),"Y")</f>
        <v>Y</v>
      </c>
      <c r="F687" s="106" t="str">
        <f>IFERROR(__xludf.DUMMYFUNCTION("""COMPUTED_VALUE"""),"Miraci Holdings")</f>
        <v>Miraci Holdings</v>
      </c>
      <c r="G687" s="106" t="str">
        <f>IFERROR(__xludf.DUMMYFUNCTION("""COMPUTED_VALUE"""),"A4309144")</f>
        <v>A4309144</v>
      </c>
      <c r="H687" s="106" t="str">
        <f>IFERROR(__xludf.DUMMYFUNCTION("""COMPUTED_VALUE"""),"Re Deliver Today")</f>
        <v>Re Deliver Today</v>
      </c>
      <c r="I687" s="106" t="str">
        <f>IFERROR(__xludf.DUMMYFUNCTION("""COMPUTED_VALUE"""),"Kalutara")</f>
        <v>Kalutara</v>
      </c>
      <c r="J687" s="106" t="str">
        <f>IFERROR(__xludf.DUMMYFUNCTION("""COMPUTED_VALUE"""),"Received At Destination")</f>
        <v>Received At Destination</v>
      </c>
      <c r="K687" s="106" t="str">
        <f>IFERROR(__xludf.DUMMYFUNCTION("""COMPUTED_VALUE"""),"Domestic")</f>
        <v>Domestic</v>
      </c>
      <c r="L687" s="106" t="str">
        <f>IFERROR(__xludf.DUMMYFUNCTION("""COMPUTED_VALUE"""),"Informed Branch")</f>
        <v>Informed Branch</v>
      </c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>
      <c r="A688" s="82"/>
      <c r="B688" s="98" t="str">
        <f>IFERROR(__xludf.DUMMYFUNCTION("""COMPUTED_VALUE"""),"964")</f>
        <v>964</v>
      </c>
      <c r="C688" s="98" t="str">
        <f>IFERROR(__xludf.DUMMYFUNCTION("""COMPUTED_VALUE"""),"Jeni")</f>
        <v>Jeni</v>
      </c>
      <c r="D688" s="98" t="str">
        <f>IFERROR(__xludf.DUMMYFUNCTION("""COMPUTED_VALUE"""),"776059873")</f>
        <v>776059873</v>
      </c>
      <c r="E688" s="98" t="str">
        <f>IFERROR(__xludf.DUMMYFUNCTION("""COMPUTED_VALUE"""),"Y")</f>
        <v>Y</v>
      </c>
      <c r="F688" s="98" t="str">
        <f>IFERROR(__xludf.DUMMYFUNCTION("""COMPUTED_VALUE"""),"Shani Co.")</f>
        <v>Shani Co.</v>
      </c>
      <c r="G688" s="98" t="str">
        <f>IFERROR(__xludf.DUMMYFUNCTION("""COMPUTED_VALUE"""),"A4086806")</f>
        <v>A4086806</v>
      </c>
      <c r="H688" s="98" t="str">
        <f>IFERROR(__xludf.DUMMYFUNCTION("""COMPUTED_VALUE"""),"Customer Toldhe Will Pick Thje Parcel At Branch")</f>
        <v>Customer Toldhe Will Pick Thje Parcel At Branch</v>
      </c>
      <c r="I688" s="98" t="str">
        <f>IFERROR(__xludf.DUMMYFUNCTION("""COMPUTED_VALUE"""),"Ambalangoda")</f>
        <v>Ambalangoda</v>
      </c>
      <c r="J688" s="98" t="str">
        <f>IFERROR(__xludf.DUMMYFUNCTION("""COMPUTED_VALUE"""),"Received At Destination")</f>
        <v>Received At Destination</v>
      </c>
      <c r="K688" s="98" t="str">
        <f>IFERROR(__xludf.DUMMYFUNCTION("""COMPUTED_VALUE"""),"Branch Operations")</f>
        <v>Branch Operations</v>
      </c>
      <c r="L688" s="98" t="str">
        <f>IFERROR(__xludf.DUMMYFUNCTION("""COMPUTED_VALUE"""),"Informed Branch")</f>
        <v>Informed Branch</v>
      </c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>
      <c r="A689" s="82"/>
      <c r="B689" s="106" t="str">
        <f>IFERROR(__xludf.DUMMYFUNCTION("""COMPUTED_VALUE"""),"965")</f>
        <v>965</v>
      </c>
      <c r="C689" s="106" t="str">
        <f>IFERROR(__xludf.DUMMYFUNCTION("""COMPUTED_VALUE"""),"Malik")</f>
        <v>Malik</v>
      </c>
      <c r="D689" s="106" t="str">
        <f>IFERROR(__xludf.DUMMYFUNCTION("""COMPUTED_VALUE"""),"729577281")</f>
        <v>729577281</v>
      </c>
      <c r="E689" s="106" t="str">
        <f>IFERROR(__xludf.DUMMYFUNCTION("""COMPUTED_VALUE"""),"N")</f>
        <v>N</v>
      </c>
      <c r="F689" s="106" t="str">
        <f>IFERROR(__xludf.DUMMYFUNCTION("""COMPUTED_VALUE"""),"P &amp; S Help Investment Pvt(Ltd)")</f>
        <v>P &amp; S Help Investment Pvt(Ltd)</v>
      </c>
      <c r="G689" s="106" t="str">
        <f>IFERROR(__xludf.DUMMYFUNCTION("""COMPUTED_VALUE"""),"BE083066")</f>
        <v>BE083066</v>
      </c>
      <c r="H689" s="106" t="str">
        <f>IFERROR(__xludf.DUMMYFUNCTION("""COMPUTED_VALUE"""),"Order Status")</f>
        <v>Order Status</v>
      </c>
      <c r="I689" s="106" t="str">
        <f>IFERROR(__xludf.DUMMYFUNCTION("""COMPUTED_VALUE"""),"Kahawatta")</f>
        <v>Kahawatta</v>
      </c>
      <c r="J689" s="106" t="str">
        <f>IFERROR(__xludf.DUMMYFUNCTION("""COMPUTED_VALUE"""),"Dispatched To Destination")</f>
        <v>Dispatched To Destination</v>
      </c>
      <c r="K689" s="106" t="str">
        <f>IFERROR(__xludf.DUMMYFUNCTION("""COMPUTED_VALUE"""),"Branch Operations")</f>
        <v>Branch Operations</v>
      </c>
      <c r="L689" s="106" t="str">
        <f>IFERROR(__xludf.DUMMYFUNCTION("""COMPUTED_VALUE"""),"Informed Genzo Amanthi")</f>
        <v>Informed Genzo Amanthi</v>
      </c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>
      <c r="A690" s="82"/>
      <c r="B690" s="98" t="str">
        <f>IFERROR(__xludf.DUMMYFUNCTION("""COMPUTED_VALUE"""),"966")</f>
        <v>966</v>
      </c>
      <c r="C690" s="98" t="str">
        <f>IFERROR(__xludf.DUMMYFUNCTION("""COMPUTED_VALUE"""),"Jeni")</f>
        <v>Jeni</v>
      </c>
      <c r="D690" s="98" t="str">
        <f>IFERROR(__xludf.DUMMYFUNCTION("""COMPUTED_VALUE"""),"706972689")</f>
        <v>706972689</v>
      </c>
      <c r="E690" s="98" t="str">
        <f>IFERROR(__xludf.DUMMYFUNCTION("""COMPUTED_VALUE"""),"N")</f>
        <v>N</v>
      </c>
      <c r="F690" s="98" t="str">
        <f>IFERROR(__xludf.DUMMYFUNCTION("""COMPUTED_VALUE"""),"Oneshop")</f>
        <v>Oneshop</v>
      </c>
      <c r="G690" s="98" t="str">
        <f>IFERROR(__xludf.DUMMYFUNCTION("""COMPUTED_VALUE"""),"BA773640 ")</f>
        <v>BA773640 </v>
      </c>
      <c r="H690" s="98" t="str">
        <f>IFERROR(__xludf.DUMMYFUNCTION("""COMPUTED_VALUE"""),"Call Wrapped")</f>
        <v>Call Wrapped</v>
      </c>
      <c r="I690" s="98" t="str">
        <f>IFERROR(__xludf.DUMMYFUNCTION("""COMPUTED_VALUE"""),"Rajagiriya")</f>
        <v>Rajagiriya</v>
      </c>
      <c r="J690" s="98" t="str">
        <f>IFERROR(__xludf.DUMMYFUNCTION("""COMPUTED_VALUE"""),"Returned To Branch Rescheduled")</f>
        <v>Returned To Branch Rescheduled</v>
      </c>
      <c r="K690" s="98" t="str">
        <f>IFERROR(__xludf.DUMMYFUNCTION("""COMPUTED_VALUE"""),"Branch Operations")</f>
        <v>Branch Operations</v>
      </c>
      <c r="L690" s="98" t="str">
        <f>IFERROR(__xludf.DUMMYFUNCTION("""COMPUTED_VALUE"""),"Info Branch")</f>
        <v>Info Branch</v>
      </c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>
      <c r="A691" s="82"/>
      <c r="B691" s="106" t="str">
        <f>IFERROR(__xludf.DUMMYFUNCTION("""COMPUTED_VALUE"""),"967")</f>
        <v>967</v>
      </c>
      <c r="C691" s="106" t="str">
        <f>IFERROR(__xludf.DUMMYFUNCTION("""COMPUTED_VALUE"""),"Lakshani")</f>
        <v>Lakshani</v>
      </c>
      <c r="D691" s="106" t="str">
        <f>IFERROR(__xludf.DUMMYFUNCTION("""COMPUTED_VALUE"""),"760486453")</f>
        <v>760486453</v>
      </c>
      <c r="E691" s="106" t="str">
        <f>IFERROR(__xludf.DUMMYFUNCTION("""COMPUTED_VALUE"""),"N")</f>
        <v>N</v>
      </c>
      <c r="F691" s="106" t="str">
        <f>IFERROR(__xludf.DUMMYFUNCTION("""COMPUTED_VALUE"""),"Win Lanka")</f>
        <v>Win Lanka</v>
      </c>
      <c r="G691" s="106" t="str">
        <f>IFERROR(__xludf.DUMMYFUNCTION("""COMPUTED_VALUE"""),"A4715695")</f>
        <v>A4715695</v>
      </c>
      <c r="H691" s="106" t="str">
        <f>IFERROR(__xludf.DUMMYFUNCTION("""COMPUTED_VALUE"""),"Avissawela Branch Number")</f>
        <v>Avissawela Branch Number</v>
      </c>
      <c r="I691" s="106" t="str">
        <f>IFERROR(__xludf.DUMMYFUNCTION("""COMPUTED_VALUE"""),"Ambalangoda")</f>
        <v>Ambalangoda</v>
      </c>
      <c r="J691" s="106" t="str">
        <f>IFERROR(__xludf.DUMMYFUNCTION("""COMPUTED_VALUE"""),"Returned To Branch Failed To Deliver")</f>
        <v>Returned To Branch Failed To Deliver</v>
      </c>
      <c r="K691" s="106" t="str">
        <f>IFERROR(__xludf.DUMMYFUNCTION("""COMPUTED_VALUE"""),"Customer Care")</f>
        <v>Customer Care</v>
      </c>
      <c r="L691" s="106" t="str">
        <f>IFERROR(__xludf.DUMMYFUNCTION("""COMPUTED_VALUE"""),"Done")</f>
        <v>Done</v>
      </c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>
      <c r="A692" s="82"/>
      <c r="B692" s="98" t="str">
        <f>IFERROR(__xludf.DUMMYFUNCTION("""COMPUTED_VALUE"""),"968")</f>
        <v>968</v>
      </c>
      <c r="C692" s="98" t="str">
        <f>IFERROR(__xludf.DUMMYFUNCTION("""COMPUTED_VALUE"""),"Jeni")</f>
        <v>Jeni</v>
      </c>
      <c r="D692" s="98" t="str">
        <f>IFERROR(__xludf.DUMMYFUNCTION("""COMPUTED_VALUE"""),"760126712")</f>
        <v>760126712</v>
      </c>
      <c r="E692" s="98" t="str">
        <f>IFERROR(__xludf.DUMMYFUNCTION("""COMPUTED_VALUE"""),"N")</f>
        <v>N</v>
      </c>
      <c r="F692" s="98" t="str">
        <f>IFERROR(__xludf.DUMMYFUNCTION("""COMPUTED_VALUE"""),"76 629 5793")</f>
        <v>76 629 5793</v>
      </c>
      <c r="G692" s="98" t="str">
        <f>IFERROR(__xludf.DUMMYFUNCTION("""COMPUTED_VALUE"""),"BE075435")</f>
        <v>BE075435</v>
      </c>
      <c r="H692" s="98" t="str">
        <f>IFERROR(__xludf.DUMMYFUNCTION("""COMPUTED_VALUE"""),"Re Deliver")</f>
        <v>Re Deliver</v>
      </c>
      <c r="I692" s="98" t="str">
        <f>IFERROR(__xludf.DUMMYFUNCTION("""COMPUTED_VALUE"""),"Kurunegala")</f>
        <v>Kurunegala</v>
      </c>
      <c r="J692" s="98" t="str">
        <f>IFERROR(__xludf.DUMMYFUNCTION("""COMPUTED_VALUE"""),"Returned To Branch Failed To Deliver")</f>
        <v>Returned To Branch Failed To Deliver</v>
      </c>
      <c r="K692" s="98" t="str">
        <f>IFERROR(__xludf.DUMMYFUNCTION("""COMPUTED_VALUE"""),"Branch Operations")</f>
        <v>Branch Operations</v>
      </c>
      <c r="L692" s="98" t="str">
        <f>IFERROR(__xludf.DUMMYFUNCTION("""COMPUTED_VALUE"""),"Informed Client")</f>
        <v>Informed Client</v>
      </c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>
      <c r="A693" s="82"/>
      <c r="B693" s="106" t="str">
        <f>IFERROR(__xludf.DUMMYFUNCTION("""COMPUTED_VALUE"""),"969")</f>
        <v>969</v>
      </c>
      <c r="C693" s="106" t="str">
        <f>IFERROR(__xludf.DUMMYFUNCTION("""COMPUTED_VALUE"""),"Umesha")</f>
        <v>Umesha</v>
      </c>
      <c r="D693" s="106" t="str">
        <f>IFERROR(__xludf.DUMMYFUNCTION("""COMPUTED_VALUE"""),"705130700")</f>
        <v>705130700</v>
      </c>
      <c r="E693" s="106" t="str">
        <f>IFERROR(__xludf.DUMMYFUNCTION("""COMPUTED_VALUE"""),"Y")</f>
        <v>Y</v>
      </c>
      <c r="F693" s="107" t="str">
        <f>IFERROR(__xludf.DUMMYFUNCTION("""COMPUTED_VALUE"""),"Onelink.Lk")</f>
        <v>Onelink.Lk</v>
      </c>
      <c r="G693" s="106" t="str">
        <f>IFERROR(__xludf.DUMMYFUNCTION("""COMPUTED_VALUE"""),"A4533171")</f>
        <v>A4533171</v>
      </c>
      <c r="H693" s="106" t="str">
        <f>IFERROR(__xludf.DUMMYFUNCTION("""COMPUTED_VALUE"""),"Re Deliver")</f>
        <v>Re Deliver</v>
      </c>
      <c r="I693" s="106" t="str">
        <f>IFERROR(__xludf.DUMMYFUNCTION("""COMPUTED_VALUE"""),"Negombo")</f>
        <v>Negombo</v>
      </c>
      <c r="J693" s="106" t="str">
        <f>IFERROR(__xludf.DUMMYFUNCTION("""COMPUTED_VALUE"""),"Returned To Branch Rescheduled")</f>
        <v>Returned To Branch Rescheduled</v>
      </c>
      <c r="K693" s="106" t="str">
        <f>IFERROR(__xludf.DUMMYFUNCTION("""COMPUTED_VALUE"""),"Branch Operations")</f>
        <v>Branch Operations</v>
      </c>
      <c r="L693" s="106" t="str">
        <f>IFERROR(__xludf.DUMMYFUNCTION("""COMPUTED_VALUE"""),"Done")</f>
        <v>Done</v>
      </c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>
      <c r="A694" s="82"/>
      <c r="B694" s="98" t="str">
        <f>IFERROR(__xludf.DUMMYFUNCTION("""COMPUTED_VALUE"""),"970")</f>
        <v>970</v>
      </c>
      <c r="C694" s="98" t="str">
        <f>IFERROR(__xludf.DUMMYFUNCTION("""COMPUTED_VALUE"""),"Jeni")</f>
        <v>Jeni</v>
      </c>
      <c r="D694" s="98" t="str">
        <f>IFERROR(__xludf.DUMMYFUNCTION("""COMPUTED_VALUE"""),"784062137")</f>
        <v>784062137</v>
      </c>
      <c r="E694" s="98" t="str">
        <f>IFERROR(__xludf.DUMMYFUNCTION("""COMPUTED_VALUE"""),"N")</f>
        <v>N</v>
      </c>
      <c r="F694" s="98" t="str">
        <f>IFERROR(__xludf.DUMMYFUNCTION("""COMPUTED_VALUE"""),"Ziponlilne")</f>
        <v>Ziponlilne</v>
      </c>
      <c r="G694" s="98" t="str">
        <f>IFERROR(__xludf.DUMMYFUNCTION("""COMPUTED_VALUE"""),"A4364264")</f>
        <v>A4364264</v>
      </c>
      <c r="H694" s="98" t="str">
        <f>IFERROR(__xludf.DUMMYFUNCTION("""COMPUTED_VALUE"""),"Asked Some Details")</f>
        <v>Asked Some Details</v>
      </c>
      <c r="I694" s="98" t="str">
        <f>IFERROR(__xludf.DUMMYFUNCTION("""COMPUTED_VALUE"""),"Jaffna")</f>
        <v>Jaffna</v>
      </c>
      <c r="J694" s="98" t="str">
        <f>IFERROR(__xludf.DUMMYFUNCTION("""COMPUTED_VALUE"""),"Out For Delivery")</f>
        <v>Out For Delivery</v>
      </c>
      <c r="K694" s="98" t="str">
        <f>IFERROR(__xludf.DUMMYFUNCTION("""COMPUTED_VALUE"""),"Domestic")</f>
        <v>Domestic</v>
      </c>
      <c r="L694" s="98" t="str">
        <f>IFERROR(__xludf.DUMMYFUNCTION("""COMPUTED_VALUE"""),"Disconected The Line")</f>
        <v>Disconected The Line</v>
      </c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>
      <c r="A695" s="82"/>
      <c r="B695" s="106" t="str">
        <f>IFERROR(__xludf.DUMMYFUNCTION("""COMPUTED_VALUE"""),"971")</f>
        <v>971</v>
      </c>
      <c r="C695" s="106" t="str">
        <f>IFERROR(__xludf.DUMMYFUNCTION("""COMPUTED_VALUE"""),"Lakshani")</f>
        <v>Lakshani</v>
      </c>
      <c r="D695" s="106" t="str">
        <f>IFERROR(__xludf.DUMMYFUNCTION("""COMPUTED_VALUE"""),"761419742")</f>
        <v>761419742</v>
      </c>
      <c r="E695" s="106" t="str">
        <f>IFERROR(__xludf.DUMMYFUNCTION("""COMPUTED_VALUE"""),"Y")</f>
        <v>Y</v>
      </c>
      <c r="F695" s="106" t="str">
        <f>IFERROR(__xludf.DUMMYFUNCTION("""COMPUTED_VALUE"""),"Carter Skin Care")</f>
        <v>Carter Skin Care</v>
      </c>
      <c r="G695" s="106" t="str">
        <f>IFERROR(__xludf.DUMMYFUNCTION("""COMPUTED_VALUE"""),"A4051542")</f>
        <v>A4051542</v>
      </c>
      <c r="H695" s="106" t="str">
        <f>IFERROR(__xludf.DUMMYFUNCTION("""COMPUTED_VALUE"""),"No Proper Details")</f>
        <v>No Proper Details</v>
      </c>
      <c r="I695" s="106" t="str">
        <f>IFERROR(__xludf.DUMMYFUNCTION("""COMPUTED_VALUE"""),"Dambulla")</f>
        <v>Dambulla</v>
      </c>
      <c r="J695" s="106" t="str">
        <f>IFERROR(__xludf.DUMMYFUNCTION("""COMPUTED_VALUE"""),"Returned To Branch Rescheduled")</f>
        <v>Returned To Branch Rescheduled</v>
      </c>
      <c r="K695" s="106" t="str">
        <f>IFERROR(__xludf.DUMMYFUNCTION("""COMPUTED_VALUE"""),"Key Accounts")</f>
        <v>Key Accounts</v>
      </c>
      <c r="L695" s="106" t="str">
        <f>IFERROR(__xludf.DUMMYFUNCTION("""COMPUTED_VALUE"""),"Marketing Number Given")</f>
        <v>Marketing Number Given</v>
      </c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>
      <c r="A696" s="82"/>
      <c r="B696" s="98" t="str">
        <f>IFERROR(__xludf.DUMMYFUNCTION("""COMPUTED_VALUE"""),"972")</f>
        <v>972</v>
      </c>
      <c r="C696" s="98" t="str">
        <f>IFERROR(__xludf.DUMMYFUNCTION("""COMPUTED_VALUE"""),"Mandari")</f>
        <v>Mandari</v>
      </c>
      <c r="D696" s="98" t="str">
        <f>IFERROR(__xludf.DUMMYFUNCTION("""COMPUTED_VALUE"""),"701967913")</f>
        <v>701967913</v>
      </c>
      <c r="E696" s="98" t="str">
        <f>IFERROR(__xludf.DUMMYFUNCTION("""COMPUTED_VALUE"""),"N")</f>
        <v>N</v>
      </c>
      <c r="F696" s="108" t="str">
        <f>IFERROR(__xludf.DUMMYFUNCTION("""COMPUTED_VALUE"""),"Helloherb.Lk")</f>
        <v>Helloherb.Lk</v>
      </c>
      <c r="G696" s="98" t="str">
        <f>IFERROR(__xludf.DUMMYFUNCTION("""COMPUTED_VALUE"""),"BE082366")</f>
        <v>BE082366</v>
      </c>
      <c r="H696" s="98" t="str">
        <f>IFERROR(__xludf.DUMMYFUNCTION("""COMPUTED_VALUE"""),"Arrange To Deliver Today /Top Urgent")</f>
        <v>Arrange To Deliver Today /Top Urgent</v>
      </c>
      <c r="I696" s="98" t="str">
        <f>IFERROR(__xludf.DUMMYFUNCTION("""COMPUTED_VALUE"""),"Ja-Ela")</f>
        <v>Ja-Ela</v>
      </c>
      <c r="J696" s="98" t="str">
        <f>IFERROR(__xludf.DUMMYFUNCTION("""COMPUTED_VALUE"""),"Out For Delivery")</f>
        <v>Out For Delivery</v>
      </c>
      <c r="K696" s="98" t="str">
        <f>IFERROR(__xludf.DUMMYFUNCTION("""COMPUTED_VALUE"""),"Customer Care")</f>
        <v>Customer Care</v>
      </c>
      <c r="L696" s="98" t="str">
        <f>IFERROR(__xludf.DUMMYFUNCTION("""COMPUTED_VALUE"""),"Return Item")</f>
        <v>Return Item</v>
      </c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>
      <c r="A697" s="82"/>
      <c r="B697" s="106" t="str">
        <f>IFERROR(__xludf.DUMMYFUNCTION("""COMPUTED_VALUE"""),"973")</f>
        <v>973</v>
      </c>
      <c r="C697" s="106" t="str">
        <f>IFERROR(__xludf.DUMMYFUNCTION("""COMPUTED_VALUE"""),"Jeni")</f>
        <v>Jeni</v>
      </c>
      <c r="D697" s="106" t="str">
        <f>IFERROR(__xludf.DUMMYFUNCTION("""COMPUTED_VALUE"""),"760053626")</f>
        <v>760053626</v>
      </c>
      <c r="E697" s="106" t="str">
        <f>IFERROR(__xludf.DUMMYFUNCTION("""COMPUTED_VALUE"""),"Y")</f>
        <v>Y</v>
      </c>
      <c r="F697" s="106" t="str">
        <f>IFERROR(__xludf.DUMMYFUNCTION("""COMPUTED_VALUE"""),"Dorado")</f>
        <v>Dorado</v>
      </c>
      <c r="G697" s="106" t="str">
        <f>IFERROR(__xludf.DUMMYFUNCTION("""COMPUTED_VALUE"""),"A4051539")</f>
        <v>A4051539</v>
      </c>
      <c r="H697" s="106" t="str">
        <f>IFERROR(__xludf.DUMMYFUNCTION("""COMPUTED_VALUE"""),"Customer Want Return This Order")</f>
        <v>Customer Want Return This Order</v>
      </c>
      <c r="I697" s="106" t="str">
        <f>IFERROR(__xludf.DUMMYFUNCTION("""COMPUTED_VALUE"""),"Mathugama")</f>
        <v>Mathugama</v>
      </c>
      <c r="J697" s="106" t="str">
        <f>IFERROR(__xludf.DUMMYFUNCTION("""COMPUTED_VALUE"""),"Returned To Branch Rescheduled")</f>
        <v>Returned To Branch Rescheduled</v>
      </c>
      <c r="K697" s="106" t="str">
        <f>IFERROR(__xludf.DUMMYFUNCTION("""COMPUTED_VALUE"""),"Branch Operations")</f>
        <v>Branch Operations</v>
      </c>
      <c r="L697" s="106" t="str">
        <f>IFERROR(__xludf.DUMMYFUNCTION("""COMPUTED_VALUE"""),"Check And Call Back")</f>
        <v>Check And Call Back</v>
      </c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>
      <c r="A698" s="82"/>
      <c r="B698" s="98" t="str">
        <f>IFERROR(__xludf.DUMMYFUNCTION("""COMPUTED_VALUE"""),"974")</f>
        <v>974</v>
      </c>
      <c r="C698" s="98" t="str">
        <f>IFERROR(__xludf.DUMMYFUNCTION("""COMPUTED_VALUE"""),"Lakshani")</f>
        <v>Lakshani</v>
      </c>
      <c r="D698" s="98" t="str">
        <f>IFERROR(__xludf.DUMMYFUNCTION("""COMPUTED_VALUE"""),"701952286")</f>
        <v>701952286</v>
      </c>
      <c r="E698" s="98" t="str">
        <f>IFERROR(__xludf.DUMMYFUNCTION("""COMPUTED_VALUE"""),"N")</f>
        <v>N</v>
      </c>
      <c r="F698" s="98" t="str">
        <f>IFERROR(__xludf.DUMMYFUNCTION("""COMPUTED_VALUE"""),"Dd Holding")</f>
        <v>Dd Holding</v>
      </c>
      <c r="G698" s="98" t="str">
        <f>IFERROR(__xludf.DUMMYFUNCTION("""COMPUTED_VALUE"""),"BE095939")</f>
        <v>BE095939</v>
      </c>
      <c r="H698" s="98" t="str">
        <f>IFERROR(__xludf.DUMMYFUNCTION("""COMPUTED_VALUE"""),"Re Deliver Tomorrow")</f>
        <v>Re Deliver Tomorrow</v>
      </c>
      <c r="I698" s="98" t="str">
        <f>IFERROR(__xludf.DUMMYFUNCTION("""COMPUTED_VALUE"""),"Wennappuwa")</f>
        <v>Wennappuwa</v>
      </c>
      <c r="J698" s="98" t="str">
        <f>IFERROR(__xludf.DUMMYFUNCTION("""COMPUTED_VALUE"""),"Returned To Branch Failed To Deliver")</f>
        <v>Returned To Branch Failed To Deliver</v>
      </c>
      <c r="K698" s="98" t="str">
        <f>IFERROR(__xludf.DUMMYFUNCTION("""COMPUTED_VALUE"""),"Domestic")</f>
        <v>Domestic</v>
      </c>
      <c r="L698" s="98" t="str">
        <f>IFERROR(__xludf.DUMMYFUNCTION("""COMPUTED_VALUE"""),"Given Incharge Number")</f>
        <v>Given Incharge Number</v>
      </c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>
      <c r="A699" s="82"/>
      <c r="B699" s="106" t="str">
        <f>IFERROR(__xludf.DUMMYFUNCTION("""COMPUTED_VALUE"""),"975")</f>
        <v>975</v>
      </c>
      <c r="C699" s="106" t="str">
        <f>IFERROR(__xludf.DUMMYFUNCTION("""COMPUTED_VALUE"""),"Mandari")</f>
        <v>Mandari</v>
      </c>
      <c r="D699" s="106" t="str">
        <f>IFERROR(__xludf.DUMMYFUNCTION("""COMPUTED_VALUE"""),"769061669")</f>
        <v>769061669</v>
      </c>
      <c r="E699" s="106" t="str">
        <f>IFERROR(__xludf.DUMMYFUNCTION("""COMPUTED_VALUE"""),"Y")</f>
        <v>Y</v>
      </c>
      <c r="F699" s="106" t="str">
        <f>IFERROR(__xludf.DUMMYFUNCTION("""COMPUTED_VALUE"""),"Bhashi Products")</f>
        <v>Bhashi Products</v>
      </c>
      <c r="G699" s="106" t="str">
        <f>IFERROR(__xludf.DUMMYFUNCTION("""COMPUTED_VALUE"""),"BE133979")</f>
        <v>BE133979</v>
      </c>
      <c r="H699" s="106" t="str">
        <f>IFERROR(__xludf.DUMMYFUNCTION("""COMPUTED_VALUE"""),"Urgent Today")</f>
        <v>Urgent Today</v>
      </c>
      <c r="I699" s="106" t="str">
        <f>IFERROR(__xludf.DUMMYFUNCTION("""COMPUTED_VALUE"""),"Ratmalana")</f>
        <v>Ratmalana</v>
      </c>
      <c r="J699" s="106" t="str">
        <f>IFERROR(__xludf.DUMMYFUNCTION("""COMPUTED_VALUE"""),"Returned To Branch Rescheduled")</f>
        <v>Returned To Branch Rescheduled</v>
      </c>
      <c r="K699" s="106" t="str">
        <f>IFERROR(__xludf.DUMMYFUNCTION("""COMPUTED_VALUE"""),"Branch Operations")</f>
        <v>Branch Operations</v>
      </c>
      <c r="L699" s="106" t="str">
        <f>IFERROR(__xludf.DUMMYFUNCTION("""COMPUTED_VALUE"""),"Done")</f>
        <v>Done</v>
      </c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>
      <c r="A700" s="82"/>
      <c r="B700" s="98" t="str">
        <f>IFERROR(__xludf.DUMMYFUNCTION("""COMPUTED_VALUE"""),"976")</f>
        <v>976</v>
      </c>
      <c r="C700" s="98" t="str">
        <f>IFERROR(__xludf.DUMMYFUNCTION("""COMPUTED_VALUE"""),"Umesha")</f>
        <v>Umesha</v>
      </c>
      <c r="D700" s="98" t="str">
        <f>IFERROR(__xludf.DUMMYFUNCTION("""COMPUTED_VALUE"""),"776059873")</f>
        <v>776059873</v>
      </c>
      <c r="E700" s="98" t="str">
        <f>IFERROR(__xludf.DUMMYFUNCTION("""COMPUTED_VALUE"""),"Y")</f>
        <v>Y</v>
      </c>
      <c r="F700" s="98" t="str">
        <f>IFERROR(__xludf.DUMMYFUNCTION("""COMPUTED_VALUE"""),"Winpro Holdings")</f>
        <v>Winpro Holdings</v>
      </c>
      <c r="G700" s="98" t="str">
        <f>IFERROR(__xludf.DUMMYFUNCTION("""COMPUTED_VALUE"""),"BE083066")</f>
        <v>BE083066</v>
      </c>
      <c r="H700" s="98" t="str">
        <f>IFERROR(__xludf.DUMMYFUNCTION("""COMPUTED_VALUE"""),"Not Responded")</f>
        <v>Not Responded</v>
      </c>
      <c r="I700" s="98" t="str">
        <f>IFERROR(__xludf.DUMMYFUNCTION("""COMPUTED_VALUE"""),"Trincomalee")</f>
        <v>Trincomalee</v>
      </c>
      <c r="J700" s="98" t="str">
        <f>IFERROR(__xludf.DUMMYFUNCTION("""COMPUTED_VALUE"""),"Received At Destination")</f>
        <v>Received At Destination</v>
      </c>
      <c r="K700" s="98" t="str">
        <f>IFERROR(__xludf.DUMMYFUNCTION("""COMPUTED_VALUE"""),"Customer Care")</f>
        <v>Customer Care</v>
      </c>
      <c r="L700" s="98" t="str">
        <f>IFERROR(__xludf.DUMMYFUNCTION("""COMPUTED_VALUE"""),"Disconnected")</f>
        <v>Disconnected</v>
      </c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>
      <c r="A701" s="82"/>
      <c r="B701" s="106" t="str">
        <f>IFERROR(__xludf.DUMMYFUNCTION("""COMPUTED_VALUE"""),"977")</f>
        <v>977</v>
      </c>
      <c r="C701" s="106" t="str">
        <f>IFERROR(__xludf.DUMMYFUNCTION("""COMPUTED_VALUE"""),"Malik")</f>
        <v>Malik</v>
      </c>
      <c r="D701" s="106" t="str">
        <f>IFERROR(__xludf.DUMMYFUNCTION("""COMPUTED_VALUE"""),"742747520")</f>
        <v>742747520</v>
      </c>
      <c r="E701" s="106" t="str">
        <f>IFERROR(__xludf.DUMMYFUNCTION("""COMPUTED_VALUE"""),"N")</f>
        <v>N</v>
      </c>
      <c r="F701" s="107" t="str">
        <f>IFERROR(__xludf.DUMMYFUNCTION("""COMPUTED_VALUE"""),"Salehub.Lk")</f>
        <v>Salehub.Lk</v>
      </c>
      <c r="G701" s="106" t="str">
        <f>IFERROR(__xludf.DUMMYFUNCTION("""COMPUTED_VALUE"""),"BA766368")</f>
        <v>BA766368</v>
      </c>
      <c r="H701" s="106" t="str">
        <f>IFERROR(__xludf.DUMMYFUNCTION("""COMPUTED_VALUE"""),"Order Status")</f>
        <v>Order Status</v>
      </c>
      <c r="I701" s="106" t="str">
        <f>IFERROR(__xludf.DUMMYFUNCTION("""COMPUTED_VALUE"""),"Thalawathugoda")</f>
        <v>Thalawathugoda</v>
      </c>
      <c r="J701" s="106" t="str">
        <f>IFERROR(__xludf.DUMMYFUNCTION("""COMPUTED_VALUE"""),"Returned To Branch Failed To Deliver")</f>
        <v>Returned To Branch Failed To Deliver</v>
      </c>
      <c r="K701" s="106" t="str">
        <f>IFERROR(__xludf.DUMMYFUNCTION("""COMPUTED_VALUE"""),"Sales")</f>
        <v>Sales</v>
      </c>
      <c r="L701" s="106" t="str">
        <f>IFERROR(__xludf.DUMMYFUNCTION("""COMPUTED_VALUE"""),"Informed Branch")</f>
        <v>Informed Branch</v>
      </c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>
      <c r="A702" s="82"/>
      <c r="B702" s="98" t="str">
        <f>IFERROR(__xludf.DUMMYFUNCTION("""COMPUTED_VALUE"""),"978")</f>
        <v>978</v>
      </c>
      <c r="C702" s="98" t="str">
        <f>IFERROR(__xludf.DUMMYFUNCTION("""COMPUTED_VALUE"""),"Malik")</f>
        <v>Malik</v>
      </c>
      <c r="D702" s="98" t="str">
        <f>IFERROR(__xludf.DUMMYFUNCTION("""COMPUTED_VALUE"""),"702672294")</f>
        <v>702672294</v>
      </c>
      <c r="E702" s="98" t="str">
        <f>IFERROR(__xludf.DUMMYFUNCTION("""COMPUTED_VALUE"""),"N")</f>
        <v>N</v>
      </c>
      <c r="F702" s="98" t="str">
        <f>IFERROR(__xludf.DUMMYFUNCTION("""COMPUTED_VALUE"""),"Kw Holdings")</f>
        <v>Kw Holdings</v>
      </c>
      <c r="G702" s="98" t="str">
        <f>IFERROR(__xludf.DUMMYFUNCTION("""COMPUTED_VALUE"""),"BE079034")</f>
        <v>BE079034</v>
      </c>
      <c r="H702" s="98" t="str">
        <f>IFERROR(__xludf.DUMMYFUNCTION("""COMPUTED_VALUE"""),"Metro Branch Number")</f>
        <v>Metro Branch Number</v>
      </c>
      <c r="I702" s="98" t="str">
        <f>IFERROR(__xludf.DUMMYFUNCTION("""COMPUTED_VALUE"""),"Colombo Metro")</f>
        <v>Colombo Metro</v>
      </c>
      <c r="J702" s="98" t="str">
        <f>IFERROR(__xludf.DUMMYFUNCTION("""COMPUTED_VALUE"""),"Delivered")</f>
        <v>Delivered</v>
      </c>
      <c r="K702" s="98" t="str">
        <f>IFERROR(__xludf.DUMMYFUNCTION("""COMPUTED_VALUE"""),"Branch Operations")</f>
        <v>Branch Operations</v>
      </c>
      <c r="L702" s="98" t="str">
        <f>IFERROR(__xludf.DUMMYFUNCTION("""COMPUTED_VALUE"""),"Informed Branch Number Via A Whatsapp")</f>
        <v>Informed Branch Number Via A Whatsapp</v>
      </c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>
      <c r="A703" s="82"/>
      <c r="B703" s="106" t="str">
        <f>IFERROR(__xludf.DUMMYFUNCTION("""COMPUTED_VALUE"""),"979")</f>
        <v>979</v>
      </c>
      <c r="C703" s="106" t="str">
        <f>IFERROR(__xludf.DUMMYFUNCTION("""COMPUTED_VALUE"""),"Jeni")</f>
        <v>Jeni</v>
      </c>
      <c r="D703" s="106" t="str">
        <f>IFERROR(__xludf.DUMMYFUNCTION("""COMPUTED_VALUE"""),"776784319")</f>
        <v>776784319</v>
      </c>
      <c r="E703" s="106" t="str">
        <f>IFERROR(__xludf.DUMMYFUNCTION("""COMPUTED_VALUE"""),"N")</f>
        <v>N</v>
      </c>
      <c r="F703" s="106" t="str">
        <f>IFERROR(__xludf.DUMMYFUNCTION("""COMPUTED_VALUE"""),"Kanro Enterprises")</f>
        <v>Kanro Enterprises</v>
      </c>
      <c r="G703" s="106" t="str">
        <f>IFERROR(__xludf.DUMMYFUNCTION("""COMPUTED_VALUE"""),"A4409255")</f>
        <v>A4409255</v>
      </c>
      <c r="H703" s="106" t="str">
        <f>IFERROR(__xludf.DUMMYFUNCTION("""COMPUTED_VALUE"""),"Arrange To Deliver Today / Top Urgant")</f>
        <v>Arrange To Deliver Today / Top Urgant</v>
      </c>
      <c r="I703" s="106" t="str">
        <f>IFERROR(__xludf.DUMMYFUNCTION("""COMPUTED_VALUE"""),"Kurunegala")</f>
        <v>Kurunegala</v>
      </c>
      <c r="J703" s="106" t="str">
        <f>IFERROR(__xludf.DUMMYFUNCTION("""COMPUTED_VALUE"""),"Dispatched To Destination")</f>
        <v>Dispatched To Destination</v>
      </c>
      <c r="K703" s="106" t="str">
        <f>IFERROR(__xludf.DUMMYFUNCTION("""COMPUTED_VALUE"""),"Sales")</f>
        <v>Sales</v>
      </c>
      <c r="L703" s="106" t="str">
        <f>IFERROR(__xludf.DUMMYFUNCTION("""COMPUTED_VALUE"""),"Cant Find Client Number")</f>
        <v>Cant Find Client Number</v>
      </c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>
      <c r="A704" s="82"/>
      <c r="B704" s="98" t="str">
        <f>IFERROR(__xludf.DUMMYFUNCTION("""COMPUTED_VALUE"""),"980")</f>
        <v>980</v>
      </c>
      <c r="C704" s="98" t="str">
        <f>IFERROR(__xludf.DUMMYFUNCTION("""COMPUTED_VALUE"""),"Mandari")</f>
        <v>Mandari</v>
      </c>
      <c r="D704" s="98" t="str">
        <f>IFERROR(__xludf.DUMMYFUNCTION("""COMPUTED_VALUE"""),"777268174")</f>
        <v>777268174</v>
      </c>
      <c r="E704" s="98" t="str">
        <f>IFERROR(__xludf.DUMMYFUNCTION("""COMPUTED_VALUE"""),"Y")</f>
        <v>Y</v>
      </c>
      <c r="F704" s="108" t="str">
        <f>IFERROR(__xludf.DUMMYFUNCTION("""COMPUTED_VALUE"""),"Onelink.Lk")</f>
        <v>Onelink.Lk</v>
      </c>
      <c r="G704" s="98" t="str">
        <f>IFERROR(__xludf.DUMMYFUNCTION("""COMPUTED_VALUE"""),"A3536683")</f>
        <v>A3536683</v>
      </c>
      <c r="H704" s="98" t="str">
        <f>IFERROR(__xludf.DUMMYFUNCTION("""COMPUTED_VALUE"""),"Req Tamil Agent")</f>
        <v>Req Tamil Agent</v>
      </c>
      <c r="I704" s="98" t="str">
        <f>IFERROR(__xludf.DUMMYFUNCTION("""COMPUTED_VALUE"""),"Ja-Ela")</f>
        <v>Ja-Ela</v>
      </c>
      <c r="J704" s="98" t="str">
        <f>IFERROR(__xludf.DUMMYFUNCTION("""COMPUTED_VALUE"""),"Received At Destination")</f>
        <v>Received At Destination</v>
      </c>
      <c r="K704" s="98" t="str">
        <f>IFERROR(__xludf.DUMMYFUNCTION("""COMPUTED_VALUE"""),"Branch Operations")</f>
        <v>Branch Operations</v>
      </c>
      <c r="L704" s="98" t="str">
        <f>IFERROR(__xludf.DUMMYFUNCTION("""COMPUTED_VALUE"""),"Informed Genzo Amandi")</f>
        <v>Informed Genzo Amandi</v>
      </c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>
      <c r="A705" s="82"/>
      <c r="B705" s="106" t="str">
        <f>IFERROR(__xludf.DUMMYFUNCTION("""COMPUTED_VALUE"""),"981")</f>
        <v>981</v>
      </c>
      <c r="C705" s="106" t="str">
        <f>IFERROR(__xludf.DUMMYFUNCTION("""COMPUTED_VALUE"""),"Umesha")</f>
        <v>Umesha</v>
      </c>
      <c r="D705" s="106" t="str">
        <f>IFERROR(__xludf.DUMMYFUNCTION("""COMPUTED_VALUE"""),"760486453")</f>
        <v>760486453</v>
      </c>
      <c r="E705" s="106" t="str">
        <f>IFERROR(__xludf.DUMMYFUNCTION("""COMPUTED_VALUE"""),"Y")</f>
        <v>Y</v>
      </c>
      <c r="F705" s="106" t="str">
        <f>IFERROR(__xludf.DUMMYFUNCTION("""COMPUTED_VALUE"""),"Mahaovita Hela Osu")</f>
        <v>Mahaovita Hela Osu</v>
      </c>
      <c r="G705" s="106" t="str">
        <f>IFERROR(__xludf.DUMMYFUNCTION("""COMPUTED_VALUE"""),"BE094811")</f>
        <v>BE094811</v>
      </c>
      <c r="H705" s="106" t="str">
        <f>IFERROR(__xludf.DUMMYFUNCTION("""COMPUTED_VALUE"""),"Still Processing")</f>
        <v>Still Processing</v>
      </c>
      <c r="I705" s="106" t="str">
        <f>IFERROR(__xludf.DUMMYFUNCTION("""COMPUTED_VALUE"""),"Dambulla")</f>
        <v>Dambulla</v>
      </c>
      <c r="J705" s="106" t="str">
        <f>IFERROR(__xludf.DUMMYFUNCTION("""COMPUTED_VALUE"""),"Returned To Branch Rescheduled")</f>
        <v>Returned To Branch Rescheduled</v>
      </c>
      <c r="K705" s="106" t="str">
        <f>IFERROR(__xludf.DUMMYFUNCTION("""COMPUTED_VALUE"""),"Customer Care")</f>
        <v>Customer Care</v>
      </c>
      <c r="L705" s="106" t="str">
        <f>IFERROR(__xludf.DUMMYFUNCTION("""COMPUTED_VALUE"""),"Delivered")</f>
        <v>Delivered</v>
      </c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>
      <c r="A706" s="82"/>
      <c r="B706" s="98" t="str">
        <f>IFERROR(__xludf.DUMMYFUNCTION("""COMPUTED_VALUE"""),"982")</f>
        <v>982</v>
      </c>
      <c r="C706" s="98" t="str">
        <f>IFERROR(__xludf.DUMMYFUNCTION("""COMPUTED_VALUE"""),"Lakshani")</f>
        <v>Lakshani</v>
      </c>
      <c r="D706" s="98" t="str">
        <f>IFERROR(__xludf.DUMMYFUNCTION("""COMPUTED_VALUE"""),"777874374")</f>
        <v>777874374</v>
      </c>
      <c r="E706" s="98" t="str">
        <f>IFERROR(__xludf.DUMMYFUNCTION("""COMPUTED_VALUE"""),"N")</f>
        <v>N</v>
      </c>
      <c r="F706" s="98" t="str">
        <f>IFERROR(__xludf.DUMMYFUNCTION("""COMPUTED_VALUE"""),"D Mine Shop")</f>
        <v>D Mine Shop</v>
      </c>
      <c r="G706" s="98" t="str">
        <f>IFERROR(__xludf.DUMMYFUNCTION("""COMPUTED_VALUE"""),"BE129344")</f>
        <v>BE129344</v>
      </c>
      <c r="H706" s="98" t="str">
        <f>IFERROR(__xludf.DUMMYFUNCTION("""COMPUTED_VALUE"""),"Delivery Today")</f>
        <v>Delivery Today</v>
      </c>
      <c r="I706" s="98" t="str">
        <f>IFERROR(__xludf.DUMMYFUNCTION("""COMPUTED_VALUE"""),"Dambulla")</f>
        <v>Dambulla</v>
      </c>
      <c r="J706" s="98" t="str">
        <f>IFERROR(__xludf.DUMMYFUNCTION("""COMPUTED_VALUE"""),"Processing")</f>
        <v>Processing</v>
      </c>
      <c r="K706" s="98" t="str">
        <f>IFERROR(__xludf.DUMMYFUNCTION("""COMPUTED_VALUE"""),"Return")</f>
        <v>Return</v>
      </c>
      <c r="L706" s="98" t="str">
        <f>IFERROR(__xludf.DUMMYFUNCTION("""COMPUTED_VALUE"""),"Call Transfered To Branh And Informed To Them")</f>
        <v>Call Transfered To Branh And Informed To Them</v>
      </c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>
      <c r="A707" s="82"/>
      <c r="B707" s="106" t="str">
        <f>IFERROR(__xludf.DUMMYFUNCTION("""COMPUTED_VALUE"""),"983")</f>
        <v>983</v>
      </c>
      <c r="C707" s="106" t="str">
        <f>IFERROR(__xludf.DUMMYFUNCTION("""COMPUTED_VALUE"""),"Mandari")</f>
        <v>Mandari</v>
      </c>
      <c r="D707" s="106" t="str">
        <f>IFERROR(__xludf.DUMMYFUNCTION("""COMPUTED_VALUE"""),"738635270")</f>
        <v>738635270</v>
      </c>
      <c r="E707" s="106" t="str">
        <f>IFERROR(__xludf.DUMMYFUNCTION("""COMPUTED_VALUE"""),"N")</f>
        <v>N</v>
      </c>
      <c r="F707" s="106" t="str">
        <f>IFERROR(__xludf.DUMMYFUNCTION("""COMPUTED_VALUE"""),"Mr. Vitamin Online Store")</f>
        <v>Mr. Vitamin Online Store</v>
      </c>
      <c r="G707" s="106" t="str">
        <f>IFERROR(__xludf.DUMMYFUNCTION("""COMPUTED_VALUE"""),"A4248931")</f>
        <v>A4248931</v>
      </c>
      <c r="H707" s="106" t="str">
        <f>IFERROR(__xludf.DUMMYFUNCTION("""COMPUTED_VALUE"""),"Customer Want Return This Order")</f>
        <v>Customer Want Return This Order</v>
      </c>
      <c r="I707" s="106" t="str">
        <f>IFERROR(__xludf.DUMMYFUNCTION("""COMPUTED_VALUE"""),"Baddagama")</f>
        <v>Baddagama</v>
      </c>
      <c r="J707" s="106"/>
      <c r="K707" s="106" t="str">
        <f>IFERROR(__xludf.DUMMYFUNCTION("""COMPUTED_VALUE"""),"Branch Operations")</f>
        <v>Branch Operations</v>
      </c>
      <c r="L707" s="106" t="str">
        <f>IFERROR(__xludf.DUMMYFUNCTION("""COMPUTED_VALUE"""),"Its Delivered /Cant Back Return This Order")</f>
        <v>Its Delivered /Cant Back Return This Order</v>
      </c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>
      <c r="A708" s="82"/>
      <c r="B708" s="98" t="str">
        <f>IFERROR(__xludf.DUMMYFUNCTION("""COMPUTED_VALUE"""),"984")</f>
        <v>984</v>
      </c>
      <c r="C708" s="98" t="str">
        <f>IFERROR(__xludf.DUMMYFUNCTION("""COMPUTED_VALUE"""),"Umesha")</f>
        <v>Umesha</v>
      </c>
      <c r="D708" s="98" t="str">
        <f>IFERROR(__xludf.DUMMYFUNCTION("""COMPUTED_VALUE"""),"777595849")</f>
        <v>777595849</v>
      </c>
      <c r="E708" s="98" t="str">
        <f>IFERROR(__xludf.DUMMYFUNCTION("""COMPUTED_VALUE"""),"N")</f>
        <v>N</v>
      </c>
      <c r="F708" s="98" t="str">
        <f>IFERROR(__xludf.DUMMYFUNCTION("""COMPUTED_VALUE"""),"Winpro Holdings")</f>
        <v>Winpro Holdings</v>
      </c>
      <c r="G708" s="98" t="str">
        <f>IFERROR(__xludf.DUMMYFUNCTION("""COMPUTED_VALUE"""),"BE007011 ")</f>
        <v>BE007011 </v>
      </c>
      <c r="H708" s="98" t="str">
        <f>IFERROR(__xludf.DUMMYFUNCTION("""COMPUTED_VALUE"""),"Re Delivery")</f>
        <v>Re Delivery</v>
      </c>
      <c r="I708" s="98" t="str">
        <f>IFERROR(__xludf.DUMMYFUNCTION("""COMPUTED_VALUE"""),"Nittambuwa")</f>
        <v>Nittambuwa</v>
      </c>
      <c r="J708" s="98" t="str">
        <f>IFERROR(__xludf.DUMMYFUNCTION("""COMPUTED_VALUE"""),"Returned To Branch Rescheduled")</f>
        <v>Returned To Branch Rescheduled</v>
      </c>
      <c r="K708" s="98" t="str">
        <f>IFERROR(__xludf.DUMMYFUNCTION("""COMPUTED_VALUE"""),"Domestic")</f>
        <v>Domestic</v>
      </c>
      <c r="L708" s="98" t="str">
        <f>IFERROR(__xludf.DUMMYFUNCTION("""COMPUTED_VALUE"""),"Return Item")</f>
        <v>Return Item</v>
      </c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>
      <c r="A709" s="82"/>
      <c r="B709" s="106" t="str">
        <f>IFERROR(__xludf.DUMMYFUNCTION("""COMPUTED_VALUE"""),"985")</f>
        <v>985</v>
      </c>
      <c r="C709" s="106" t="str">
        <f>IFERROR(__xludf.DUMMYFUNCTION("""COMPUTED_VALUE"""),"Mandari")</f>
        <v>Mandari</v>
      </c>
      <c r="D709" s="106" t="str">
        <f>IFERROR(__xludf.DUMMYFUNCTION("""COMPUTED_VALUE"""),"706924934")</f>
        <v>706924934</v>
      </c>
      <c r="E709" s="106" t="str">
        <f>IFERROR(__xludf.DUMMYFUNCTION("""COMPUTED_VALUE"""),"N")</f>
        <v>N</v>
      </c>
      <c r="F709" s="106" t="str">
        <f>IFERROR(__xludf.DUMMYFUNCTION("""COMPUTED_VALUE"""),"Futurefind Marketing")</f>
        <v>Futurefind Marketing</v>
      </c>
      <c r="G709" s="106" t="str">
        <f>IFERROR(__xludf.DUMMYFUNCTION("""COMPUTED_VALUE"""),"A1106495")</f>
        <v>A1106495</v>
      </c>
      <c r="H709" s="106" t="str">
        <f>IFERROR(__xludf.DUMMYFUNCTION("""COMPUTED_VALUE"""),"Customer Request -Deliver On Friday")</f>
        <v>Customer Request -Deliver On Friday</v>
      </c>
      <c r="I709" s="106" t="str">
        <f>IFERROR(__xludf.DUMMYFUNCTION("""COMPUTED_VALUE"""),"Ratmalana")</f>
        <v>Ratmalana</v>
      </c>
      <c r="J709" s="106" t="str">
        <f>IFERROR(__xludf.DUMMYFUNCTION("""COMPUTED_VALUE"""),"Returned To Branch Failed To Deliver")</f>
        <v>Returned To Branch Failed To Deliver</v>
      </c>
      <c r="K709" s="106" t="str">
        <f>IFERROR(__xludf.DUMMYFUNCTION("""COMPUTED_VALUE"""),"Customer Care")</f>
        <v>Customer Care</v>
      </c>
      <c r="L709" s="106" t="str">
        <f>IFERROR(__xludf.DUMMYFUNCTION("""COMPUTED_VALUE"""),"Already Branch Put Return To Ho Update")</f>
        <v>Already Branch Put Return To Ho Update</v>
      </c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>
      <c r="A710" s="82"/>
      <c r="B710" s="98" t="str">
        <f>IFERROR(__xludf.DUMMYFUNCTION("""COMPUTED_VALUE"""),"986")</f>
        <v>986</v>
      </c>
      <c r="C710" s="98" t="str">
        <f>IFERROR(__xludf.DUMMYFUNCTION("""COMPUTED_VALUE"""),"Jeni")</f>
        <v>Jeni</v>
      </c>
      <c r="D710" s="98" t="str">
        <f>IFERROR(__xludf.DUMMYFUNCTION("""COMPUTED_VALUE"""),"791173030")</f>
        <v>791173030</v>
      </c>
      <c r="E710" s="98" t="str">
        <f>IFERROR(__xludf.DUMMYFUNCTION("""COMPUTED_VALUE"""),"Y")</f>
        <v>Y</v>
      </c>
      <c r="F710" s="98" t="str">
        <f>IFERROR(__xludf.DUMMYFUNCTION("""COMPUTED_VALUE"""),"Alpha.Com(Pvt)Ltd")</f>
        <v>Alpha.Com(Pvt)Ltd</v>
      </c>
      <c r="G710" s="98" t="str">
        <f>IFERROR(__xludf.DUMMYFUNCTION("""COMPUTED_VALUE"""),"A3149166")</f>
        <v>A3149166</v>
      </c>
      <c r="H710" s="98" t="str">
        <f>IFERROR(__xludf.DUMMYFUNCTION("""COMPUTED_VALUE"""),"Some Details / Return To Client")</f>
        <v>Some Details / Return To Client</v>
      </c>
      <c r="I710" s="98" t="str">
        <f>IFERROR(__xludf.DUMMYFUNCTION("""COMPUTED_VALUE"""),"Ratmalana")</f>
        <v>Ratmalana</v>
      </c>
      <c r="J710" s="98" t="str">
        <f>IFERROR(__xludf.DUMMYFUNCTION("""COMPUTED_VALUE"""),"Returned To Branch Rescheduled")</f>
        <v>Returned To Branch Rescheduled</v>
      </c>
      <c r="K710" s="98" t="str">
        <f>IFERROR(__xludf.DUMMYFUNCTION("""COMPUTED_VALUE"""),"Customer Care")</f>
        <v>Customer Care</v>
      </c>
      <c r="L710" s="98" t="str">
        <f>IFERROR(__xludf.DUMMYFUNCTION("""COMPUTED_VALUE"""),"Customer No Answer")</f>
        <v>Customer No Answer</v>
      </c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>
      <c r="A711" s="82"/>
      <c r="B711" s="106" t="str">
        <f>IFERROR(__xludf.DUMMYFUNCTION("""COMPUTED_VALUE"""),"987")</f>
        <v>987</v>
      </c>
      <c r="C711" s="106" t="str">
        <f>IFERROR(__xludf.DUMMYFUNCTION("""COMPUTED_VALUE"""),"Lakshani")</f>
        <v>Lakshani</v>
      </c>
      <c r="D711" s="106" t="str">
        <f>IFERROR(__xludf.DUMMYFUNCTION("""COMPUTED_VALUE"""),"779026215")</f>
        <v>779026215</v>
      </c>
      <c r="E711" s="106" t="str">
        <f>IFERROR(__xludf.DUMMYFUNCTION("""COMPUTED_VALUE"""),"N")</f>
        <v>N</v>
      </c>
      <c r="F711" s="106" t="str">
        <f>IFERROR(__xludf.DUMMYFUNCTION("""COMPUTED_VALUE"""),"Samanali Products")</f>
        <v>Samanali Products</v>
      </c>
      <c r="G711" s="106" t="str">
        <f>IFERROR(__xludf.DUMMYFUNCTION("""COMPUTED_VALUE"""),"BE010314")</f>
        <v>BE010314</v>
      </c>
      <c r="H711" s="106" t="str">
        <f>IFERROR(__xludf.DUMMYFUNCTION("""COMPUTED_VALUE"""),"Answerd &amp; Cut The Line")</f>
        <v>Answerd &amp; Cut The Line</v>
      </c>
      <c r="I711" s="106" t="str">
        <f>IFERROR(__xludf.DUMMYFUNCTION("""COMPUTED_VALUE"""),"Colombo Metro")</f>
        <v>Colombo Metro</v>
      </c>
      <c r="J711" s="106" t="str">
        <f>IFERROR(__xludf.DUMMYFUNCTION("""COMPUTED_VALUE"""),"Returned To Branch Rescheduled")</f>
        <v>Returned To Branch Rescheduled</v>
      </c>
      <c r="K711" s="106" t="str">
        <f>IFERROR(__xludf.DUMMYFUNCTION("""COMPUTED_VALUE"""),"Customer Care")</f>
        <v>Customer Care</v>
      </c>
      <c r="L711" s="106" t="str">
        <f>IFERROR(__xludf.DUMMYFUNCTION("""COMPUTED_VALUE"""),"Not Responding")</f>
        <v>Not Responding</v>
      </c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>
      <c r="A712" s="82"/>
      <c r="B712" s="98" t="str">
        <f>IFERROR(__xludf.DUMMYFUNCTION("""COMPUTED_VALUE"""),"988")</f>
        <v>988</v>
      </c>
      <c r="C712" s="98" t="str">
        <f>IFERROR(__xludf.DUMMYFUNCTION("""COMPUTED_VALUE"""),"Umesha")</f>
        <v>Umesha</v>
      </c>
      <c r="D712" s="98" t="str">
        <f>IFERROR(__xludf.DUMMYFUNCTION("""COMPUTED_VALUE"""),"769357268")</f>
        <v>769357268</v>
      </c>
      <c r="E712" s="98" t="str">
        <f>IFERROR(__xludf.DUMMYFUNCTION("""COMPUTED_VALUE"""),"N")</f>
        <v>N</v>
      </c>
      <c r="F712" s="98" t="str">
        <f>IFERROR(__xludf.DUMMYFUNCTION("""COMPUTED_VALUE"""),"Bella Flower")</f>
        <v>Bella Flower</v>
      </c>
      <c r="G712" s="98" t="str">
        <f>IFERROR(__xludf.DUMMYFUNCTION("""COMPUTED_VALUE"""),"BE083066")</f>
        <v>BE083066</v>
      </c>
      <c r="H712" s="98" t="str">
        <f>IFERROR(__xludf.DUMMYFUNCTION("""COMPUTED_VALUE"""),"Re Deliver")</f>
        <v>Re Deliver</v>
      </c>
      <c r="I712" s="98" t="str">
        <f>IFERROR(__xludf.DUMMYFUNCTION("""COMPUTED_VALUE"""),"Horana")</f>
        <v>Horana</v>
      </c>
      <c r="J712" s="98" t="str">
        <f>IFERROR(__xludf.DUMMYFUNCTION("""COMPUTED_VALUE"""),"Re-Delivery")</f>
        <v>Re-Delivery</v>
      </c>
      <c r="K712" s="98" t="str">
        <f>IFERROR(__xludf.DUMMYFUNCTION("""COMPUTED_VALUE"""),"Customer Care")</f>
        <v>Customer Care</v>
      </c>
      <c r="L712" s="98" t="str">
        <f>IFERROR(__xludf.DUMMYFUNCTION("""COMPUTED_VALUE"""),"Customer No Answer")</f>
        <v>Customer No Answer</v>
      </c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>
      <c r="A713" s="82"/>
      <c r="B713" s="106" t="str">
        <f>IFERROR(__xludf.DUMMYFUNCTION("""COMPUTED_VALUE"""),"989")</f>
        <v>989</v>
      </c>
      <c r="C713" s="106" t="str">
        <f>IFERROR(__xludf.DUMMYFUNCTION("""COMPUTED_VALUE"""),"Jeni")</f>
        <v>Jeni</v>
      </c>
      <c r="D713" s="106" t="str">
        <f>IFERROR(__xludf.DUMMYFUNCTION("""COMPUTED_VALUE"""),"773490515")</f>
        <v>773490515</v>
      </c>
      <c r="E713" s="106" t="str">
        <f>IFERROR(__xludf.DUMMYFUNCTION("""COMPUTED_VALUE"""),"N")</f>
        <v>N</v>
      </c>
      <c r="F713" s="106" t="str">
        <f>IFERROR(__xludf.DUMMYFUNCTION("""COMPUTED_VALUE"""),"Quick Mart.Lk")</f>
        <v>Quick Mart.Lk</v>
      </c>
      <c r="G713" s="106" t="str">
        <f>IFERROR(__xludf.DUMMYFUNCTION("""COMPUTED_VALUE"""),"A3794234")</f>
        <v>A3794234</v>
      </c>
      <c r="H713" s="106" t="str">
        <f>IFERROR(__xludf.DUMMYFUNCTION("""COMPUTED_VALUE"""),"Kadawatha Branch Location")</f>
        <v>Kadawatha Branch Location</v>
      </c>
      <c r="I713" s="106" t="str">
        <f>IFERROR(__xludf.DUMMYFUNCTION("""COMPUTED_VALUE"""),"Mathugama")</f>
        <v>Mathugama</v>
      </c>
      <c r="J713" s="106" t="str">
        <f>IFERROR(__xludf.DUMMYFUNCTION("""COMPUTED_VALUE"""),"Returned To Branch Failed To Deliver")</f>
        <v>Returned To Branch Failed To Deliver</v>
      </c>
      <c r="K713" s="106" t="str">
        <f>IFERROR(__xludf.DUMMYFUNCTION("""COMPUTED_VALUE"""),"Return")</f>
        <v>Return</v>
      </c>
      <c r="L713" s="106" t="str">
        <f>IFERROR(__xludf.DUMMYFUNCTION("""COMPUTED_VALUE"""),"Call Wrapped")</f>
        <v>Call Wrapped</v>
      </c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>
      <c r="A714" s="82"/>
      <c r="B714" s="98" t="str">
        <f>IFERROR(__xludf.DUMMYFUNCTION("""COMPUTED_VALUE"""),"990")</f>
        <v>990</v>
      </c>
      <c r="C714" s="98" t="str">
        <f>IFERROR(__xludf.DUMMYFUNCTION("""COMPUTED_VALUE"""),"Mandari")</f>
        <v>Mandari</v>
      </c>
      <c r="D714" s="98" t="str">
        <f>IFERROR(__xludf.DUMMYFUNCTION("""COMPUTED_VALUE"""),"710761576")</f>
        <v>710761576</v>
      </c>
      <c r="E714" s="98" t="str">
        <f>IFERROR(__xludf.DUMMYFUNCTION("""COMPUTED_VALUE"""),"Y")</f>
        <v>Y</v>
      </c>
      <c r="F714" s="98" t="str">
        <f>IFERROR(__xludf.DUMMYFUNCTION("""COMPUTED_VALUE"""),"76 629 5793")</f>
        <v>76 629 5793</v>
      </c>
      <c r="G714" s="98" t="str">
        <f>IFERROR(__xludf.DUMMYFUNCTION("""COMPUTED_VALUE"""),"BE081169")</f>
        <v>BE081169</v>
      </c>
      <c r="H714" s="98" t="str">
        <f>IFERROR(__xludf.DUMMYFUNCTION("""COMPUTED_VALUE"""),"Urgent Today")</f>
        <v>Urgent Today</v>
      </c>
      <c r="I714" s="98" t="str">
        <f>IFERROR(__xludf.DUMMYFUNCTION("""COMPUTED_VALUE"""),"Pilimathlawa")</f>
        <v>Pilimathlawa</v>
      </c>
      <c r="J714" s="98" t="str">
        <f>IFERROR(__xludf.DUMMYFUNCTION("""COMPUTED_VALUE"""),"Out For Delivery")</f>
        <v>Out For Delivery</v>
      </c>
      <c r="K714" s="98" t="str">
        <f>IFERROR(__xludf.DUMMYFUNCTION("""COMPUTED_VALUE"""),"Key Accounts")</f>
        <v>Key Accounts</v>
      </c>
      <c r="L714" s="98" t="str">
        <f>IFERROR(__xludf.DUMMYFUNCTION("""COMPUTED_VALUE"""),"Given Details")</f>
        <v>Given Details</v>
      </c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>
      <c r="A715" s="82"/>
      <c r="B715" s="106" t="str">
        <f>IFERROR(__xludf.DUMMYFUNCTION("""COMPUTED_VALUE"""),"991")</f>
        <v>991</v>
      </c>
      <c r="C715" s="106" t="str">
        <f>IFERROR(__xludf.DUMMYFUNCTION("""COMPUTED_VALUE"""),"Mandari")</f>
        <v>Mandari</v>
      </c>
      <c r="D715" s="106" t="str">
        <f>IFERROR(__xludf.DUMMYFUNCTION("""COMPUTED_VALUE"""),"739238331")</f>
        <v>739238331</v>
      </c>
      <c r="E715" s="106" t="str">
        <f>IFERROR(__xludf.DUMMYFUNCTION("""COMPUTED_VALUE"""),"N")</f>
        <v>N</v>
      </c>
      <c r="F715" s="106" t="str">
        <f>IFERROR(__xludf.DUMMYFUNCTION("""COMPUTED_VALUE"""),"Swasthi")</f>
        <v>Swasthi</v>
      </c>
      <c r="G715" s="106" t="str">
        <f>IFERROR(__xludf.DUMMYFUNCTION("""COMPUTED_VALUE"""),"A3373703")</f>
        <v>A3373703</v>
      </c>
      <c r="H715" s="106" t="str">
        <f>IFERROR(__xludf.DUMMYFUNCTION("""COMPUTED_VALUE"""),"Cod Issuse")</f>
        <v>Cod Issuse</v>
      </c>
      <c r="I715" s="106" t="str">
        <f>IFERROR(__xludf.DUMMYFUNCTION("""COMPUTED_VALUE"""),"Pilimathlawa")</f>
        <v>Pilimathlawa</v>
      </c>
      <c r="J715" s="106" t="str">
        <f>IFERROR(__xludf.DUMMYFUNCTION("""COMPUTED_VALUE"""),"Delivered")</f>
        <v>Delivered</v>
      </c>
      <c r="K715" s="106" t="str">
        <f>IFERROR(__xludf.DUMMYFUNCTION("""COMPUTED_VALUE"""),"Branch Operations")</f>
        <v>Branch Operations</v>
      </c>
      <c r="L715" s="106" t="str">
        <f>IFERROR(__xludf.DUMMYFUNCTION("""COMPUTED_VALUE"""),"Done")</f>
        <v>Done</v>
      </c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>
      <c r="A716" s="82"/>
      <c r="B716" s="98" t="str">
        <f>IFERROR(__xludf.DUMMYFUNCTION("""COMPUTED_VALUE"""),"992")</f>
        <v>992</v>
      </c>
      <c r="C716" s="98" t="str">
        <f>IFERROR(__xludf.DUMMYFUNCTION("""COMPUTED_VALUE"""),"Jeni")</f>
        <v>Jeni</v>
      </c>
      <c r="D716" s="98" t="str">
        <f>IFERROR(__xludf.DUMMYFUNCTION("""COMPUTED_VALUE"""),"770305314")</f>
        <v>770305314</v>
      </c>
      <c r="E716" s="98" t="str">
        <f>IFERROR(__xludf.DUMMYFUNCTION("""COMPUTED_VALUE"""),"Y")</f>
        <v>Y</v>
      </c>
      <c r="F716" s="98" t="str">
        <f>IFERROR(__xludf.DUMMYFUNCTION("""COMPUTED_VALUE"""),"D Mine Shop")</f>
        <v>D Mine Shop</v>
      </c>
      <c r="G716" s="98" t="str">
        <f>IFERROR(__xludf.DUMMYFUNCTION("""COMPUTED_VALUE"""),"BD910852")</f>
        <v>BD910852</v>
      </c>
      <c r="H716" s="98" t="str">
        <f>IFERROR(__xludf.DUMMYFUNCTION("""COMPUTED_VALUE"""),"Cant Find Tracking No")</f>
        <v>Cant Find Tracking No</v>
      </c>
      <c r="I716" s="98" t="str">
        <f>IFERROR(__xludf.DUMMYFUNCTION("""COMPUTED_VALUE"""),"Rajagiriya")</f>
        <v>Rajagiriya</v>
      </c>
      <c r="J716" s="98" t="str">
        <f>IFERROR(__xludf.DUMMYFUNCTION("""COMPUTED_VALUE"""),"Delivered")</f>
        <v>Delivered</v>
      </c>
      <c r="K716" s="98" t="str">
        <f>IFERROR(__xludf.DUMMYFUNCTION("""COMPUTED_VALUE"""),"Customer Care")</f>
        <v>Customer Care</v>
      </c>
      <c r="L716" s="98" t="str">
        <f>IFERROR(__xludf.DUMMYFUNCTION("""COMPUTED_VALUE"""),"Call Transfer Return Department")</f>
        <v>Call Transfer Return Department</v>
      </c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>
      <c r="A717" s="82"/>
      <c r="B717" s="106" t="str">
        <f>IFERROR(__xludf.DUMMYFUNCTION("""COMPUTED_VALUE"""),"993")</f>
        <v>993</v>
      </c>
      <c r="C717" s="106" t="str">
        <f>IFERROR(__xludf.DUMMYFUNCTION("""COMPUTED_VALUE"""),"Mandari")</f>
        <v>Mandari</v>
      </c>
      <c r="D717" s="106" t="str">
        <f>IFERROR(__xludf.DUMMYFUNCTION("""COMPUTED_VALUE"""),"765779370")</f>
        <v>765779370</v>
      </c>
      <c r="E717" s="106" t="str">
        <f>IFERROR(__xludf.DUMMYFUNCTION("""COMPUTED_VALUE"""),"Y")</f>
        <v>Y</v>
      </c>
      <c r="F717" s="106" t="str">
        <f>IFERROR(__xludf.DUMMYFUNCTION("""COMPUTED_VALUE"""),"Cutie Gifts")</f>
        <v>Cutie Gifts</v>
      </c>
      <c r="G717" s="106" t="str">
        <f>IFERROR(__xludf.DUMMYFUNCTION("""COMPUTED_VALUE"""),"BE134651")</f>
        <v>BE134651</v>
      </c>
      <c r="H717" s="106" t="str">
        <f>IFERROR(__xludf.DUMMYFUNCTION("""COMPUTED_VALUE"""),"Req Jeni")</f>
        <v>Req Jeni</v>
      </c>
      <c r="I717" s="106" t="str">
        <f>IFERROR(__xludf.DUMMYFUNCTION("""COMPUTED_VALUE"""),"Puttalam")</f>
        <v>Puttalam</v>
      </c>
      <c r="J717" s="106" t="str">
        <f>IFERROR(__xludf.DUMMYFUNCTION("""COMPUTED_VALUE"""),"Received At Destination")</f>
        <v>Received At Destination</v>
      </c>
      <c r="K717" s="106" t="str">
        <f>IFERROR(__xludf.DUMMYFUNCTION("""COMPUTED_VALUE"""),"Customer Care")</f>
        <v>Customer Care</v>
      </c>
      <c r="L717" s="106" t="str">
        <f>IFERROR(__xludf.DUMMYFUNCTION("""COMPUTED_VALUE"""),"Informed Branch Incharge Via A Whatsapp")</f>
        <v>Informed Branch Incharge Via A Whatsapp</v>
      </c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>
      <c r="A718" s="82"/>
      <c r="B718" s="98" t="str">
        <f>IFERROR(__xludf.DUMMYFUNCTION("""COMPUTED_VALUE"""),"994")</f>
        <v>994</v>
      </c>
      <c r="C718" s="98" t="str">
        <f>IFERROR(__xludf.DUMMYFUNCTION("""COMPUTED_VALUE"""),"Umesha")</f>
        <v>Umesha</v>
      </c>
      <c r="D718" s="98" t="str">
        <f>IFERROR(__xludf.DUMMYFUNCTION("""COMPUTED_VALUE"""),"719991233")</f>
        <v>719991233</v>
      </c>
      <c r="E718" s="98" t="str">
        <f>IFERROR(__xludf.DUMMYFUNCTION("""COMPUTED_VALUE"""),"N")</f>
        <v>N</v>
      </c>
      <c r="F718" s="98" t="str">
        <f>IFERROR(__xludf.DUMMYFUNCTION("""COMPUTED_VALUE"""),"Thiyora Boutique")</f>
        <v>Thiyora Boutique</v>
      </c>
      <c r="G718" s="98" t="str">
        <f>IFERROR(__xludf.DUMMYFUNCTION("""COMPUTED_VALUE"""),"BE108407")</f>
        <v>BE108407</v>
      </c>
      <c r="H718" s="98" t="str">
        <f>IFERROR(__xludf.DUMMYFUNCTION("""COMPUTED_VALUE"""),"Arrange To Deliver Tomorrow / Top Urgant")</f>
        <v>Arrange To Deliver Tomorrow / Top Urgant</v>
      </c>
      <c r="I718" s="98" t="str">
        <f>IFERROR(__xludf.DUMMYFUNCTION("""COMPUTED_VALUE"""),"Jaffna")</f>
        <v>Jaffna</v>
      </c>
      <c r="J718" s="98" t="str">
        <f>IFERROR(__xludf.DUMMYFUNCTION("""COMPUTED_VALUE"""),"Received At Destination")</f>
        <v>Received At Destination</v>
      </c>
      <c r="K718" s="98" t="str">
        <f>IFERROR(__xludf.DUMMYFUNCTION("""COMPUTED_VALUE"""),"Branch Operations")</f>
        <v>Branch Operations</v>
      </c>
      <c r="L718" s="98" t="str">
        <f>IFERROR(__xludf.DUMMYFUNCTION("""COMPUTED_VALUE"""),"Done")</f>
        <v>Done</v>
      </c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>
      <c r="A719" s="82"/>
      <c r="B719" s="106" t="str">
        <f>IFERROR(__xludf.DUMMYFUNCTION("""COMPUTED_VALUE"""),"995")</f>
        <v>995</v>
      </c>
      <c r="C719" s="106" t="str">
        <f>IFERROR(__xludf.DUMMYFUNCTION("""COMPUTED_VALUE"""),"Umesha")</f>
        <v>Umesha</v>
      </c>
      <c r="D719" s="106" t="str">
        <f>IFERROR(__xludf.DUMMYFUNCTION("""COMPUTED_VALUE"""),"794963357")</f>
        <v>794963357</v>
      </c>
      <c r="E719" s="106" t="str">
        <f>IFERROR(__xludf.DUMMYFUNCTION("""COMPUTED_VALUE"""),"Y")</f>
        <v>Y</v>
      </c>
      <c r="F719" s="106" t="str">
        <f>IFERROR(__xludf.DUMMYFUNCTION("""COMPUTED_VALUE"""),"Ceylon Ayura")</f>
        <v>Ceylon Ayura</v>
      </c>
      <c r="G719" s="106" t="str">
        <f>IFERROR(__xludf.DUMMYFUNCTION("""COMPUTED_VALUE"""),"WD383528")</f>
        <v>WD383528</v>
      </c>
      <c r="H719" s="106" t="str">
        <f>IFERROR(__xludf.DUMMYFUNCTION("""COMPUTED_VALUE"""),"Arrange To Deliver Today")</f>
        <v>Arrange To Deliver Today</v>
      </c>
      <c r="I719" s="106" t="str">
        <f>IFERROR(__xludf.DUMMYFUNCTION("""COMPUTED_VALUE"""),"Ratmalana")</f>
        <v>Ratmalana</v>
      </c>
      <c r="J719" s="106" t="str">
        <f>IFERROR(__xludf.DUMMYFUNCTION("""COMPUTED_VALUE"""),"Returned To Client")</f>
        <v>Returned To Client</v>
      </c>
      <c r="K719" s="106" t="str">
        <f>IFERROR(__xludf.DUMMYFUNCTION("""COMPUTED_VALUE"""),"Return")</f>
        <v>Return</v>
      </c>
      <c r="L719" s="106" t="str">
        <f>IFERROR(__xludf.DUMMYFUNCTION("""COMPUTED_VALUE"""),"Done")</f>
        <v>Done</v>
      </c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>
      <c r="A720" s="82"/>
      <c r="B720" s="98" t="str">
        <f>IFERROR(__xludf.DUMMYFUNCTION("""COMPUTED_VALUE"""),"996")</f>
        <v>996</v>
      </c>
      <c r="C720" s="98" t="str">
        <f>IFERROR(__xludf.DUMMYFUNCTION("""COMPUTED_VALUE"""),"Lakshani")</f>
        <v>Lakshani</v>
      </c>
      <c r="D720" s="98" t="str">
        <f>IFERROR(__xludf.DUMMYFUNCTION("""COMPUTED_VALUE"""),"719991233")</f>
        <v>719991233</v>
      </c>
      <c r="E720" s="98" t="str">
        <f>IFERROR(__xludf.DUMMYFUNCTION("""COMPUTED_VALUE"""),"Y")</f>
        <v>Y</v>
      </c>
      <c r="F720" s="98" t="str">
        <f>IFERROR(__xludf.DUMMYFUNCTION("""COMPUTED_VALUE"""),"Mona'S Closet")</f>
        <v>Mona'S Closet</v>
      </c>
      <c r="G720" s="98" t="str">
        <f>IFERROR(__xludf.DUMMYFUNCTION("""COMPUTED_VALUE"""),"BE010314")</f>
        <v>BE010314</v>
      </c>
      <c r="H720" s="98" t="str">
        <f>IFERROR(__xludf.DUMMYFUNCTION("""COMPUTED_VALUE"""),"Re Deliver")</f>
        <v>Re Deliver</v>
      </c>
      <c r="I720" s="98" t="str">
        <f>IFERROR(__xludf.DUMMYFUNCTION("""COMPUTED_VALUE"""),"Rajagiriya")</f>
        <v>Rajagiriya</v>
      </c>
      <c r="J720" s="98" t="str">
        <f>IFERROR(__xludf.DUMMYFUNCTION("""COMPUTED_VALUE"""),"Returned To Branch Rescheduled")</f>
        <v>Returned To Branch Rescheduled</v>
      </c>
      <c r="K720" s="98" t="str">
        <f>IFERROR(__xludf.DUMMYFUNCTION("""COMPUTED_VALUE"""),"Customer Care")</f>
        <v>Customer Care</v>
      </c>
      <c r="L720" s="98" t="str">
        <f>IFERROR(__xludf.DUMMYFUNCTION("""COMPUTED_VALUE"""),"Customer Said Check And Call Back")</f>
        <v>Customer Said Check And Call Back</v>
      </c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>
      <c r="A721" s="82"/>
      <c r="B721" s="106" t="str">
        <f>IFERROR(__xludf.DUMMYFUNCTION("""COMPUTED_VALUE"""),"997")</f>
        <v>997</v>
      </c>
      <c r="C721" s="106" t="str">
        <f>IFERROR(__xludf.DUMMYFUNCTION("""COMPUTED_VALUE"""),"Umesha")</f>
        <v>Umesha</v>
      </c>
      <c r="D721" s="106" t="str">
        <f>IFERROR(__xludf.DUMMYFUNCTION("""COMPUTED_VALUE"""),"774868808")</f>
        <v>774868808</v>
      </c>
      <c r="E721" s="106" t="str">
        <f>IFERROR(__xludf.DUMMYFUNCTION("""COMPUTED_VALUE"""),"Y")</f>
        <v>Y</v>
      </c>
      <c r="F721" s="106" t="str">
        <f>IFERROR(__xludf.DUMMYFUNCTION("""COMPUTED_VALUE"""),"702")</f>
        <v>702</v>
      </c>
      <c r="G721" s="106" t="str">
        <f>IFERROR(__xludf.DUMMYFUNCTION("""COMPUTED_VALUE"""),"BE056181")</f>
        <v>BE056181</v>
      </c>
      <c r="H721" s="106" t="str">
        <f>IFERROR(__xludf.DUMMYFUNCTION("""COMPUTED_VALUE"""),"New Register")</f>
        <v>New Register</v>
      </c>
      <c r="I721" s="106" t="str">
        <f>IFERROR(__xludf.DUMMYFUNCTION("""COMPUTED_VALUE"""),"Kandy")</f>
        <v>Kandy</v>
      </c>
      <c r="J721" s="106" t="str">
        <f>IFERROR(__xludf.DUMMYFUNCTION("""COMPUTED_VALUE"""),"Returned To Client")</f>
        <v>Returned To Client</v>
      </c>
      <c r="K721" s="106" t="str">
        <f>IFERROR(__xludf.DUMMYFUNCTION("""COMPUTED_VALUE"""),"Customer Care")</f>
        <v>Customer Care</v>
      </c>
      <c r="L721" s="106" t="str">
        <f>IFERROR(__xludf.DUMMYFUNCTION("""COMPUTED_VALUE"""),"Informed Cline")</f>
        <v>Informed Cline</v>
      </c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>
      <c r="A722" s="82"/>
      <c r="B722" s="98" t="str">
        <f>IFERROR(__xludf.DUMMYFUNCTION("""COMPUTED_VALUE"""),"998")</f>
        <v>998</v>
      </c>
      <c r="C722" s="98" t="str">
        <f>IFERROR(__xludf.DUMMYFUNCTION("""COMPUTED_VALUE"""),"Malik")</f>
        <v>Malik</v>
      </c>
      <c r="D722" s="98" t="str">
        <f>IFERROR(__xludf.DUMMYFUNCTION("""COMPUTED_VALUE"""),"760053626")</f>
        <v>760053626</v>
      </c>
      <c r="E722" s="98" t="str">
        <f>IFERROR(__xludf.DUMMYFUNCTION("""COMPUTED_VALUE"""),"N")</f>
        <v>N</v>
      </c>
      <c r="F722" s="98" t="str">
        <f>IFERROR(__xludf.DUMMYFUNCTION("""COMPUTED_VALUE"""),"Win Lanka")</f>
        <v>Win Lanka</v>
      </c>
      <c r="G722" s="98" t="str">
        <f>IFERROR(__xludf.DUMMYFUNCTION("""COMPUTED_VALUE"""),"A4387801")</f>
        <v>A4387801</v>
      </c>
      <c r="H722" s="98" t="str">
        <f>IFERROR(__xludf.DUMMYFUNCTION("""COMPUTED_VALUE"""),"Re Deliver")</f>
        <v>Re Deliver</v>
      </c>
      <c r="I722" s="98" t="str">
        <f>IFERROR(__xludf.DUMMYFUNCTION("""COMPUTED_VALUE"""),"Ambalangoda")</f>
        <v>Ambalangoda</v>
      </c>
      <c r="J722" s="98" t="str">
        <f>IFERROR(__xludf.DUMMYFUNCTION("""COMPUTED_VALUE"""),"Out For Delivery")</f>
        <v>Out For Delivery</v>
      </c>
      <c r="K722" s="98" t="str">
        <f>IFERROR(__xludf.DUMMYFUNCTION("""COMPUTED_VALUE"""),"Customer Care")</f>
        <v>Customer Care</v>
      </c>
      <c r="L722" s="98" t="str">
        <f>IFERROR(__xludf.DUMMYFUNCTION("""COMPUTED_VALUE"""),"Informed Genzo Team")</f>
        <v>Informed Genzo Team</v>
      </c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>
      <c r="A723" s="82"/>
      <c r="B723" s="106" t="str">
        <f>IFERROR(__xludf.DUMMYFUNCTION("""COMPUTED_VALUE"""),"999")</f>
        <v>999</v>
      </c>
      <c r="C723" s="106" t="str">
        <f>IFERROR(__xludf.DUMMYFUNCTION("""COMPUTED_VALUE"""),"Umesha")</f>
        <v>Umesha</v>
      </c>
      <c r="D723" s="106" t="str">
        <f>IFERROR(__xludf.DUMMYFUNCTION("""COMPUTED_VALUE"""),"779449477")</f>
        <v>779449477</v>
      </c>
      <c r="E723" s="106" t="str">
        <f>IFERROR(__xludf.DUMMYFUNCTION("""COMPUTED_VALUE"""),"N")</f>
        <v>N</v>
      </c>
      <c r="F723" s="106" t="str">
        <f>IFERROR(__xludf.DUMMYFUNCTION("""COMPUTED_VALUE"""),"Sr Center")</f>
        <v>Sr Center</v>
      </c>
      <c r="G723" s="106" t="str">
        <f>IFERROR(__xludf.DUMMYFUNCTION("""COMPUTED_VALUE"""),"A4470093")</f>
        <v>A4470093</v>
      </c>
      <c r="H723" s="106" t="str">
        <f>IFERROR(__xludf.DUMMYFUNCTION("""COMPUTED_VALUE"""),"Monaragala Branch No")</f>
        <v>Monaragala Branch No</v>
      </c>
      <c r="I723" s="106" t="str">
        <f>IFERROR(__xludf.DUMMYFUNCTION("""COMPUTED_VALUE"""),"Jaffna")</f>
        <v>Jaffna</v>
      </c>
      <c r="J723" s="106" t="str">
        <f>IFERROR(__xludf.DUMMYFUNCTION("""COMPUTED_VALUE"""),"Processing")</f>
        <v>Processing</v>
      </c>
      <c r="K723" s="106" t="str">
        <f>IFERROR(__xludf.DUMMYFUNCTION("""COMPUTED_VALUE"""),"Return")</f>
        <v>Return</v>
      </c>
      <c r="L723" s="106" t="str">
        <f>IFERROR(__xludf.DUMMYFUNCTION("""COMPUTED_VALUE"""),"Informed Genzo Nethmi")</f>
        <v>Informed Genzo Nethmi</v>
      </c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>
      <c r="A724" s="82"/>
      <c r="B724" s="98" t="str">
        <f>IFERROR(__xludf.DUMMYFUNCTION("""COMPUTED_VALUE"""),"1000")</f>
        <v>1000</v>
      </c>
      <c r="C724" s="98" t="str">
        <f>IFERROR(__xludf.DUMMYFUNCTION("""COMPUTED_VALUE"""),"Lakshani")</f>
        <v>Lakshani</v>
      </c>
      <c r="D724" s="98" t="str">
        <f>IFERROR(__xludf.DUMMYFUNCTION("""COMPUTED_VALUE"""),"772648277")</f>
        <v>772648277</v>
      </c>
      <c r="E724" s="98" t="str">
        <f>IFERROR(__xludf.DUMMYFUNCTION("""COMPUTED_VALUE"""),"N")</f>
        <v>N</v>
      </c>
      <c r="F724" s="108" t="str">
        <f>IFERROR(__xludf.DUMMYFUNCTION("""COMPUTED_VALUE"""),"Tropical.Lk")</f>
        <v>Tropical.Lk</v>
      </c>
      <c r="G724" s="98" t="str">
        <f>IFERROR(__xludf.DUMMYFUNCTION("""COMPUTED_VALUE"""),"WD336453")</f>
        <v>WD336453</v>
      </c>
      <c r="H724" s="98" t="str">
        <f>IFERROR(__xludf.DUMMYFUNCTION("""COMPUTED_VALUE"""),"Customer Req Open The Package")</f>
        <v>Customer Req Open The Package</v>
      </c>
      <c r="I724" s="98" t="str">
        <f>IFERROR(__xludf.DUMMYFUNCTION("""COMPUTED_VALUE"""),"Kahawatta")</f>
        <v>Kahawatta</v>
      </c>
      <c r="J724" s="98" t="str">
        <f>IFERROR(__xludf.DUMMYFUNCTION("""COMPUTED_VALUE"""),"Returned To Branch Rescheduled")</f>
        <v>Returned To Branch Rescheduled</v>
      </c>
      <c r="K724" s="98" t="str">
        <f>IFERROR(__xludf.DUMMYFUNCTION("""COMPUTED_VALUE"""),"Return")</f>
        <v>Return</v>
      </c>
      <c r="L724" s="98" t="str">
        <f>IFERROR(__xludf.DUMMYFUNCTION("""COMPUTED_VALUE"""),"Informed Branch Number Via A Whatsapp")</f>
        <v>Informed Branch Number Via A Whatsapp</v>
      </c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>
      <c r="A725" s="82"/>
      <c r="B725" s="106" t="str">
        <f>IFERROR(__xludf.DUMMYFUNCTION("""COMPUTED_VALUE"""),"1001")</f>
        <v>1001</v>
      </c>
      <c r="C725" s="106" t="str">
        <f>IFERROR(__xludf.DUMMYFUNCTION("""COMPUTED_VALUE"""),"Umesha")</f>
        <v>Umesha</v>
      </c>
      <c r="D725" s="106" t="str">
        <f>IFERROR(__xludf.DUMMYFUNCTION("""COMPUTED_VALUE"""),"706924934")</f>
        <v>706924934</v>
      </c>
      <c r="E725" s="106" t="str">
        <f>IFERROR(__xludf.DUMMYFUNCTION("""COMPUTED_VALUE"""),"Y")</f>
        <v>Y</v>
      </c>
      <c r="F725" s="106" t="str">
        <f>IFERROR(__xludf.DUMMYFUNCTION("""COMPUTED_VALUE"""),"77 956 2259")</f>
        <v>77 956 2259</v>
      </c>
      <c r="G725" s="106" t="str">
        <f>IFERROR(__xludf.DUMMYFUNCTION("""COMPUTED_VALUE"""),"BA767712")</f>
        <v>BA767712</v>
      </c>
      <c r="H725" s="106" t="str">
        <f>IFERROR(__xludf.DUMMYFUNCTION("""COMPUTED_VALUE"""),"Urgent Today")</f>
        <v>Urgent Today</v>
      </c>
      <c r="I725" s="106" t="str">
        <f>IFERROR(__xludf.DUMMYFUNCTION("""COMPUTED_VALUE"""),"Horana")</f>
        <v>Horana</v>
      </c>
      <c r="J725" s="106" t="str">
        <f>IFERROR(__xludf.DUMMYFUNCTION("""COMPUTED_VALUE"""),"Returned To Branch Rescheduled")</f>
        <v>Returned To Branch Rescheduled</v>
      </c>
      <c r="K725" s="106" t="str">
        <f>IFERROR(__xludf.DUMMYFUNCTION("""COMPUTED_VALUE"""),"Customer Care")</f>
        <v>Customer Care</v>
      </c>
      <c r="L725" s="106" t="str">
        <f>IFERROR(__xludf.DUMMYFUNCTION("""COMPUTED_VALUE"""),"Disconnected")</f>
        <v>Disconnected</v>
      </c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>
      <c r="A726" s="82"/>
      <c r="B726" s="98" t="str">
        <f>IFERROR(__xludf.DUMMYFUNCTION("""COMPUTED_VALUE"""),"1002")</f>
        <v>1002</v>
      </c>
      <c r="C726" s="98" t="str">
        <f>IFERROR(__xludf.DUMMYFUNCTION("""COMPUTED_VALUE"""),"Lakshani")</f>
        <v>Lakshani</v>
      </c>
      <c r="D726" s="98" t="str">
        <f>IFERROR(__xludf.DUMMYFUNCTION("""COMPUTED_VALUE"""),"730807114")</f>
        <v>730807114</v>
      </c>
      <c r="E726" s="98" t="str">
        <f>IFERROR(__xludf.DUMMYFUNCTION("""COMPUTED_VALUE"""),"Y")</f>
        <v>Y</v>
      </c>
      <c r="F726" s="98" t="str">
        <f>IFERROR(__xludf.DUMMYFUNCTION("""COMPUTED_VALUE"""),"Tiny Tush Diapers")</f>
        <v>Tiny Tush Diapers</v>
      </c>
      <c r="G726" s="98" t="str">
        <f>IFERROR(__xludf.DUMMYFUNCTION("""COMPUTED_VALUE"""),"BE065549")</f>
        <v>BE065549</v>
      </c>
      <c r="H726" s="98" t="str">
        <f>IFERROR(__xludf.DUMMYFUNCTION("""COMPUTED_VALUE"""),"Customer Want Return This Package/ Already Informed/Remark Issue")</f>
        <v>Customer Want Return This Package/ Already Informed/Remark Issue</v>
      </c>
      <c r="I726" s="98" t="str">
        <f>IFERROR(__xludf.DUMMYFUNCTION("""COMPUTED_VALUE"""),"Horana")</f>
        <v>Horana</v>
      </c>
      <c r="J726" s="98" t="str">
        <f>IFERROR(__xludf.DUMMYFUNCTION("""COMPUTED_VALUE"""),"Returned To Branch Rescheduled")</f>
        <v>Returned To Branch Rescheduled</v>
      </c>
      <c r="K726" s="98" t="str">
        <f>IFERROR(__xludf.DUMMYFUNCTION("""COMPUTED_VALUE"""),"Branch Operations")</f>
        <v>Branch Operations</v>
      </c>
      <c r="L726" s="98" t="str">
        <f>IFERROR(__xludf.DUMMYFUNCTION("""COMPUTED_VALUE"""),"Done")</f>
        <v>Done</v>
      </c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>
      <c r="A727" s="82"/>
      <c r="B727" s="106" t="str">
        <f>IFERROR(__xludf.DUMMYFUNCTION("""COMPUTED_VALUE"""),"1003")</f>
        <v>1003</v>
      </c>
      <c r="C727" s="106" t="str">
        <f>IFERROR(__xludf.DUMMYFUNCTION("""COMPUTED_VALUE"""),"Malik")</f>
        <v>Malik</v>
      </c>
      <c r="D727" s="106" t="str">
        <f>IFERROR(__xludf.DUMMYFUNCTION("""COMPUTED_VALUE"""),"711704542")</f>
        <v>711704542</v>
      </c>
      <c r="E727" s="106" t="str">
        <f>IFERROR(__xludf.DUMMYFUNCTION("""COMPUTED_VALUE"""),"Y")</f>
        <v>Y</v>
      </c>
      <c r="F727" s="106" t="str">
        <f>IFERROR(__xludf.DUMMYFUNCTION("""COMPUTED_VALUE"""),"Angel Attic")</f>
        <v>Angel Attic</v>
      </c>
      <c r="G727" s="106" t="str">
        <f>IFERROR(__xludf.DUMMYFUNCTION("""COMPUTED_VALUE"""),"A4456089")</f>
        <v>A4456089</v>
      </c>
      <c r="H727" s="106" t="str">
        <f>IFERROR(__xludf.DUMMYFUNCTION("""COMPUTED_VALUE"""),"Order Status")</f>
        <v>Order Status</v>
      </c>
      <c r="I727" s="106" t="str">
        <f>IFERROR(__xludf.DUMMYFUNCTION("""COMPUTED_VALUE"""),"Thalawathugoda")</f>
        <v>Thalawathugoda</v>
      </c>
      <c r="J727" s="106" t="str">
        <f>IFERROR(__xludf.DUMMYFUNCTION("""COMPUTED_VALUE"""),"Delivered")</f>
        <v>Delivered</v>
      </c>
      <c r="K727" s="106" t="str">
        <f>IFERROR(__xludf.DUMMYFUNCTION("""COMPUTED_VALUE"""),"Recovery")</f>
        <v>Recovery</v>
      </c>
      <c r="L727" s="106" t="str">
        <f>IFERROR(__xludf.DUMMYFUNCTION("""COMPUTED_VALUE"""),"Disconnected")</f>
        <v>Disconnected</v>
      </c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>
      <c r="A728" s="82"/>
      <c r="B728" s="98" t="str">
        <f>IFERROR(__xludf.DUMMYFUNCTION("""COMPUTED_VALUE"""),"1004")</f>
        <v>1004</v>
      </c>
      <c r="C728" s="98" t="str">
        <f>IFERROR(__xludf.DUMMYFUNCTION("""COMPUTED_VALUE"""),"Mandari")</f>
        <v>Mandari</v>
      </c>
      <c r="D728" s="98" t="str">
        <f>IFERROR(__xludf.DUMMYFUNCTION("""COMPUTED_VALUE"""),"755865990")</f>
        <v>755865990</v>
      </c>
      <c r="E728" s="98" t="str">
        <f>IFERROR(__xludf.DUMMYFUNCTION("""COMPUTED_VALUE"""),"Y")</f>
        <v>Y</v>
      </c>
      <c r="F728" s="98" t="str">
        <f>IFERROR(__xludf.DUMMYFUNCTION("""COMPUTED_VALUE"""),"Trendify")</f>
        <v>Trendify</v>
      </c>
      <c r="G728" s="98" t="str">
        <f>IFERROR(__xludf.DUMMYFUNCTION("""COMPUTED_VALUE"""),"A4586721")</f>
        <v>A4586721</v>
      </c>
      <c r="H728" s="98" t="str">
        <f>IFERROR(__xludf.DUMMYFUNCTION("""COMPUTED_VALUE"""),"Asked Some Details")</f>
        <v>Asked Some Details</v>
      </c>
      <c r="I728" s="98" t="str">
        <f>IFERROR(__xludf.DUMMYFUNCTION("""COMPUTED_VALUE"""),"Horana")</f>
        <v>Horana</v>
      </c>
      <c r="J728" s="98" t="str">
        <f>IFERROR(__xludf.DUMMYFUNCTION("""COMPUTED_VALUE"""),"Delivered")</f>
        <v>Delivered</v>
      </c>
      <c r="K728" s="98" t="str">
        <f>IFERROR(__xludf.DUMMYFUNCTION("""COMPUTED_VALUE"""),"Branch Operations")</f>
        <v>Branch Operations</v>
      </c>
      <c r="L728" s="98" t="str">
        <f>IFERROR(__xludf.DUMMYFUNCTION("""COMPUTED_VALUE"""),"Details Given")</f>
        <v>Details Given</v>
      </c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>
      <c r="A729" s="82"/>
      <c r="B729" s="106" t="str">
        <f>IFERROR(__xludf.DUMMYFUNCTION("""COMPUTED_VALUE"""),"1005")</f>
        <v>1005</v>
      </c>
      <c r="C729" s="106" t="str">
        <f>IFERROR(__xludf.DUMMYFUNCTION("""COMPUTED_VALUE"""),"Jeni")</f>
        <v>Jeni</v>
      </c>
      <c r="D729" s="106" t="str">
        <f>IFERROR(__xludf.DUMMYFUNCTION("""COMPUTED_VALUE"""),"710524767")</f>
        <v>710524767</v>
      </c>
      <c r="E729" s="106" t="str">
        <f>IFERROR(__xludf.DUMMYFUNCTION("""COMPUTED_VALUE"""),"N")</f>
        <v>N</v>
      </c>
      <c r="F729" s="106" t="str">
        <f>IFERROR(__xludf.DUMMYFUNCTION("""COMPUTED_VALUE"""),"Rooby Marketing")</f>
        <v>Rooby Marketing</v>
      </c>
      <c r="G729" s="106" t="str">
        <f>IFERROR(__xludf.DUMMYFUNCTION("""COMPUTED_VALUE"""),"A4599362")</f>
        <v>A4599362</v>
      </c>
      <c r="H729" s="106" t="str">
        <f>IFERROR(__xludf.DUMMYFUNCTION("""COMPUTED_VALUE"""),"Urgent Today")</f>
        <v>Urgent Today</v>
      </c>
      <c r="I729" s="106" t="str">
        <f>IFERROR(__xludf.DUMMYFUNCTION("""COMPUTED_VALUE"""),"Kahawatta")</f>
        <v>Kahawatta</v>
      </c>
      <c r="J729" s="106" t="str">
        <f>IFERROR(__xludf.DUMMYFUNCTION("""COMPUTED_VALUE"""),"Dispatched To Destination")</f>
        <v>Dispatched To Destination</v>
      </c>
      <c r="K729" s="106" t="str">
        <f>IFERROR(__xludf.DUMMYFUNCTION("""COMPUTED_VALUE"""),"Customer Care")</f>
        <v>Customer Care</v>
      </c>
      <c r="L729" s="106" t="str">
        <f>IFERROR(__xludf.DUMMYFUNCTION("""COMPUTED_VALUE"""),"Done")</f>
        <v>Done</v>
      </c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>
      <c r="A730" s="82"/>
      <c r="B730" s="98" t="str">
        <f>IFERROR(__xludf.DUMMYFUNCTION("""COMPUTED_VALUE"""),"1006")</f>
        <v>1006</v>
      </c>
      <c r="C730" s="98" t="str">
        <f>IFERROR(__xludf.DUMMYFUNCTION("""COMPUTED_VALUE"""),"Umesha")</f>
        <v>Umesha</v>
      </c>
      <c r="D730" s="98" t="str">
        <f>IFERROR(__xludf.DUMMYFUNCTION("""COMPUTED_VALUE"""),"722590507")</f>
        <v>722590507</v>
      </c>
      <c r="E730" s="98" t="str">
        <f>IFERROR(__xludf.DUMMYFUNCTION("""COMPUTED_VALUE"""),"Y")</f>
        <v>Y</v>
      </c>
      <c r="F730" s="98" t="str">
        <f>IFERROR(__xludf.DUMMYFUNCTION("""COMPUTED_VALUE"""),"72 244 8617")</f>
        <v>72 244 8617</v>
      </c>
      <c r="G730" s="98" t="str">
        <f>IFERROR(__xludf.DUMMYFUNCTION("""COMPUTED_VALUE"""),"A4432282")</f>
        <v>A4432282</v>
      </c>
      <c r="H730" s="98" t="str">
        <f>IFERROR(__xludf.DUMMYFUNCTION("""COMPUTED_VALUE"""),"Re Deliver")</f>
        <v>Re Deliver</v>
      </c>
      <c r="I730" s="98" t="str">
        <f>IFERROR(__xludf.DUMMYFUNCTION("""COMPUTED_VALUE"""),"Nuwara Eliya")</f>
        <v>Nuwara Eliya</v>
      </c>
      <c r="J730" s="98" t="str">
        <f>IFERROR(__xludf.DUMMYFUNCTION("""COMPUTED_VALUE"""),"Received At Destination")</f>
        <v>Received At Destination</v>
      </c>
      <c r="K730" s="98" t="str">
        <f>IFERROR(__xludf.DUMMYFUNCTION("""COMPUTED_VALUE"""),"Customer Care")</f>
        <v>Customer Care</v>
      </c>
      <c r="L730" s="98" t="str">
        <f>IFERROR(__xludf.DUMMYFUNCTION("""COMPUTED_VALUE"""),"Informed Genzo Nethmi")</f>
        <v>Informed Genzo Nethmi</v>
      </c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>
      <c r="A731" s="82"/>
      <c r="B731" s="106" t="str">
        <f>IFERROR(__xludf.DUMMYFUNCTION("""COMPUTED_VALUE"""),"1007")</f>
        <v>1007</v>
      </c>
      <c r="C731" s="106" t="str">
        <f>IFERROR(__xludf.DUMMYFUNCTION("""COMPUTED_VALUE"""),"Jeni")</f>
        <v>Jeni</v>
      </c>
      <c r="D731" s="106" t="str">
        <f>IFERROR(__xludf.DUMMYFUNCTION("""COMPUTED_VALUE"""),"756931186")</f>
        <v>756931186</v>
      </c>
      <c r="E731" s="106" t="str">
        <f>IFERROR(__xludf.DUMMYFUNCTION("""COMPUTED_VALUE"""),"N")</f>
        <v>N</v>
      </c>
      <c r="F731" s="106" t="str">
        <f>IFERROR(__xludf.DUMMYFUNCTION("""COMPUTED_VALUE"""),"Shani Co.")</f>
        <v>Shani Co.</v>
      </c>
      <c r="G731" s="106" t="str">
        <f>IFERROR(__xludf.DUMMYFUNCTION("""COMPUTED_VALUE"""),"BE072786")</f>
        <v>BE072786</v>
      </c>
      <c r="H731" s="106" t="str">
        <f>IFERROR(__xludf.DUMMYFUNCTION("""COMPUTED_VALUE"""),"Cod Issuse")</f>
        <v>Cod Issuse</v>
      </c>
      <c r="I731" s="106" t="str">
        <f>IFERROR(__xludf.DUMMYFUNCTION("""COMPUTED_VALUE"""),"Kalutara")</f>
        <v>Kalutara</v>
      </c>
      <c r="J731" s="106" t="str">
        <f>IFERROR(__xludf.DUMMYFUNCTION("""COMPUTED_VALUE"""),"Out For Delivery")</f>
        <v>Out For Delivery</v>
      </c>
      <c r="K731" s="106" t="str">
        <f>IFERROR(__xludf.DUMMYFUNCTION("""COMPUTED_VALUE"""),"Customer Care")</f>
        <v>Customer Care</v>
      </c>
      <c r="L731" s="106" t="str">
        <f>IFERROR(__xludf.DUMMYFUNCTION("""COMPUTED_VALUE"""),"Done")</f>
        <v>Done</v>
      </c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>
      <c r="A732" s="82"/>
      <c r="B732" s="98" t="str">
        <f>IFERROR(__xludf.DUMMYFUNCTION("""COMPUTED_VALUE"""),"1008")</f>
        <v>1008</v>
      </c>
      <c r="C732" s="98" t="str">
        <f>IFERROR(__xludf.DUMMYFUNCTION("""COMPUTED_VALUE"""),"Lakshani")</f>
        <v>Lakshani</v>
      </c>
      <c r="D732" s="98" t="str">
        <f>IFERROR(__xludf.DUMMYFUNCTION("""COMPUTED_VALUE"""),"741693627")</f>
        <v>741693627</v>
      </c>
      <c r="E732" s="98" t="str">
        <f>IFERROR(__xludf.DUMMYFUNCTION("""COMPUTED_VALUE"""),"Y")</f>
        <v>Y</v>
      </c>
      <c r="F732" s="98" t="str">
        <f>IFERROR(__xludf.DUMMYFUNCTION("""COMPUTED_VALUE"""),"Miraci Holdings")</f>
        <v>Miraci Holdings</v>
      </c>
      <c r="G732" s="98" t="str">
        <f>IFERROR(__xludf.DUMMYFUNCTION("""COMPUTED_VALUE"""),"A1106394")</f>
        <v>A1106394</v>
      </c>
      <c r="H732" s="98" t="str">
        <f>IFERROR(__xludf.DUMMYFUNCTION("""COMPUTED_VALUE"""),"Customer Compline")</f>
        <v>Customer Compline</v>
      </c>
      <c r="I732" s="98" t="str">
        <f>IFERROR(__xludf.DUMMYFUNCTION("""COMPUTED_VALUE"""),"Mathugama")</f>
        <v>Mathugama</v>
      </c>
      <c r="J732" s="98" t="str">
        <f>IFERROR(__xludf.DUMMYFUNCTION("""COMPUTED_VALUE"""),"Received At Destination")</f>
        <v>Received At Destination</v>
      </c>
      <c r="K732" s="98" t="str">
        <f>IFERROR(__xludf.DUMMYFUNCTION("""COMPUTED_VALUE"""),"Customer Care")</f>
        <v>Customer Care</v>
      </c>
      <c r="L732" s="98" t="str">
        <f>IFERROR(__xludf.DUMMYFUNCTION("""COMPUTED_VALUE"""),"Disconeced The Line")</f>
        <v>Disconeced The Line</v>
      </c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>
      <c r="A733" s="82"/>
      <c r="B733" s="106" t="str">
        <f>IFERROR(__xludf.DUMMYFUNCTION("""COMPUTED_VALUE"""),"1009")</f>
        <v>1009</v>
      </c>
      <c r="C733" s="106" t="str">
        <f>IFERROR(__xludf.DUMMYFUNCTION("""COMPUTED_VALUE"""),"Jeni")</f>
        <v>Jeni</v>
      </c>
      <c r="D733" s="106" t="str">
        <f>IFERROR(__xludf.DUMMYFUNCTION("""COMPUTED_VALUE"""),"778101147")</f>
        <v>778101147</v>
      </c>
      <c r="E733" s="106" t="str">
        <f>IFERROR(__xludf.DUMMYFUNCTION("""COMPUTED_VALUE"""),"Y")</f>
        <v>Y</v>
      </c>
      <c r="F733" s="106" t="str">
        <f>IFERROR(__xludf.DUMMYFUNCTION("""COMPUTED_VALUE"""),"Kio Holdings")</f>
        <v>Kio Holdings</v>
      </c>
      <c r="G733" s="106" t="str">
        <f>IFERROR(__xludf.DUMMYFUNCTION("""COMPUTED_VALUE"""),"A4387801")</f>
        <v>A4387801</v>
      </c>
      <c r="H733" s="106" t="str">
        <f>IFERROR(__xludf.DUMMYFUNCTION("""COMPUTED_VALUE"""),"Order Status")</f>
        <v>Order Status</v>
      </c>
      <c r="I733" s="106" t="str">
        <f>IFERROR(__xludf.DUMMYFUNCTION("""COMPUTED_VALUE"""),"Colombo Metro")</f>
        <v>Colombo Metro</v>
      </c>
      <c r="J733" s="106" t="str">
        <f>IFERROR(__xludf.DUMMYFUNCTION("""COMPUTED_VALUE"""),"Returned To Branch Rescheduled")</f>
        <v>Returned To Branch Rescheduled</v>
      </c>
      <c r="K733" s="106" t="str">
        <f>IFERROR(__xludf.DUMMYFUNCTION("""COMPUTED_VALUE"""),"Customer Care")</f>
        <v>Customer Care</v>
      </c>
      <c r="L733" s="106" t="str">
        <f>IFERROR(__xludf.DUMMYFUNCTION("""COMPUTED_VALUE"""),"Details Given/ Info Branch Phone")</f>
        <v>Details Given/ Info Branch Phone</v>
      </c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>
      <c r="A734" s="82"/>
      <c r="B734" s="98" t="str">
        <f>IFERROR(__xludf.DUMMYFUNCTION("""COMPUTED_VALUE"""),"1010")</f>
        <v>1010</v>
      </c>
      <c r="C734" s="98" t="str">
        <f>IFERROR(__xludf.DUMMYFUNCTION("""COMPUTED_VALUE"""),"Jeni")</f>
        <v>Jeni</v>
      </c>
      <c r="D734" s="98" t="str">
        <f>IFERROR(__xludf.DUMMYFUNCTION("""COMPUTED_VALUE"""),"710074871")</f>
        <v>710074871</v>
      </c>
      <c r="E734" s="98" t="str">
        <f>IFERROR(__xludf.DUMMYFUNCTION("""COMPUTED_VALUE"""),"N")</f>
        <v>N</v>
      </c>
      <c r="F734" s="98" t="str">
        <f>IFERROR(__xludf.DUMMYFUNCTION("""COMPUTED_VALUE"""),"Infinity Woodstore")</f>
        <v>Infinity Woodstore</v>
      </c>
      <c r="G734" s="98" t="str">
        <f>IFERROR(__xludf.DUMMYFUNCTION("""COMPUTED_VALUE"""),"BE072786")</f>
        <v>BE072786</v>
      </c>
      <c r="H734" s="98" t="str">
        <f>IFERROR(__xludf.DUMMYFUNCTION("""COMPUTED_VALUE"""),"Arrange The Package")</f>
        <v>Arrange The Package</v>
      </c>
      <c r="I734" s="98" t="str">
        <f>IFERROR(__xludf.DUMMYFUNCTION("""COMPUTED_VALUE"""),"Kaduwela")</f>
        <v>Kaduwela</v>
      </c>
      <c r="J734" s="98" t="str">
        <f>IFERROR(__xludf.DUMMYFUNCTION("""COMPUTED_VALUE"""),"Returned To Client")</f>
        <v>Returned To Client</v>
      </c>
      <c r="K734" s="98" t="str">
        <f>IFERROR(__xludf.DUMMYFUNCTION("""COMPUTED_VALUE"""),"Customer Care")</f>
        <v>Customer Care</v>
      </c>
      <c r="L734" s="98" t="str">
        <f>IFERROR(__xludf.DUMMYFUNCTION("""COMPUTED_VALUE"""),"Done")</f>
        <v>Done</v>
      </c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>
      <c r="A735" s="82"/>
      <c r="B735" s="106" t="str">
        <f>IFERROR(__xludf.DUMMYFUNCTION("""COMPUTED_VALUE"""),"1011")</f>
        <v>1011</v>
      </c>
      <c r="C735" s="106" t="str">
        <f>IFERROR(__xludf.DUMMYFUNCTION("""COMPUTED_VALUE"""),"Lakshani")</f>
        <v>Lakshani</v>
      </c>
      <c r="D735" s="106" t="str">
        <f>IFERROR(__xludf.DUMMYFUNCTION("""COMPUTED_VALUE"""),"712311134")</f>
        <v>712311134</v>
      </c>
      <c r="E735" s="106" t="str">
        <f>IFERROR(__xludf.DUMMYFUNCTION("""COMPUTED_VALUE"""),"Y")</f>
        <v>Y</v>
      </c>
      <c r="F735" s="106" t="str">
        <f>IFERROR(__xludf.DUMMYFUNCTION("""COMPUTED_VALUE"""),"Win Lanka")</f>
        <v>Win Lanka</v>
      </c>
      <c r="G735" s="106" t="str">
        <f>IFERROR(__xludf.DUMMYFUNCTION("""COMPUTED_VALUE"""),"A4595241")</f>
        <v>A4595241</v>
      </c>
      <c r="H735" s="106" t="str">
        <f>IFERROR(__xludf.DUMMYFUNCTION("""COMPUTED_VALUE"""),"Some Details /Delivery")</f>
        <v>Some Details /Delivery</v>
      </c>
      <c r="I735" s="106" t="str">
        <f>IFERROR(__xludf.DUMMYFUNCTION("""COMPUTED_VALUE"""),"Kurunegala")</f>
        <v>Kurunegala</v>
      </c>
      <c r="J735" s="106" t="str">
        <f>IFERROR(__xludf.DUMMYFUNCTION("""COMPUTED_VALUE"""),"Returned To Branch Rescheduled")</f>
        <v>Returned To Branch Rescheduled</v>
      </c>
      <c r="K735" s="106" t="str">
        <f>IFERROR(__xludf.DUMMYFUNCTION("""COMPUTED_VALUE"""),"Branch Operations")</f>
        <v>Branch Operations</v>
      </c>
      <c r="L735" s="106" t="str">
        <f>IFERROR(__xludf.DUMMYFUNCTION("""COMPUTED_VALUE"""),"Informed Branch")</f>
        <v>Informed Branch</v>
      </c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>
      <c r="A736" s="82"/>
      <c r="B736" s="98" t="str">
        <f>IFERROR(__xludf.DUMMYFUNCTION("""COMPUTED_VALUE"""),"1012")</f>
        <v>1012</v>
      </c>
      <c r="C736" s="98" t="str">
        <f>IFERROR(__xludf.DUMMYFUNCTION("""COMPUTED_VALUE"""),"Jeni")</f>
        <v>Jeni</v>
      </c>
      <c r="D736" s="98" t="str">
        <f>IFERROR(__xludf.DUMMYFUNCTION("""COMPUTED_VALUE"""),"765462634")</f>
        <v>765462634</v>
      </c>
      <c r="E736" s="98" t="str">
        <f>IFERROR(__xludf.DUMMYFUNCTION("""COMPUTED_VALUE"""),"N")</f>
        <v>N</v>
      </c>
      <c r="F736" s="98" t="str">
        <f>IFERROR(__xludf.DUMMYFUNCTION("""COMPUTED_VALUE"""),"Faith Store")</f>
        <v>Faith Store</v>
      </c>
      <c r="G736" s="98" t="str">
        <f>IFERROR(__xludf.DUMMYFUNCTION("""COMPUTED_VALUE"""),"BE055923")</f>
        <v>BE055923</v>
      </c>
      <c r="H736" s="98" t="str">
        <f>IFERROR(__xludf.DUMMYFUNCTION("""COMPUTED_VALUE"""),"Cod Amount Mismatch")</f>
        <v>Cod Amount Mismatch</v>
      </c>
      <c r="I736" s="98" t="str">
        <f>IFERROR(__xludf.DUMMYFUNCTION("""COMPUTED_VALUE"""),"Ratnapura")</f>
        <v>Ratnapura</v>
      </c>
      <c r="J736" s="98" t="str">
        <f>IFERROR(__xludf.DUMMYFUNCTION("""COMPUTED_VALUE"""),"Received At Destination")</f>
        <v>Received At Destination</v>
      </c>
      <c r="K736" s="98" t="str">
        <f>IFERROR(__xludf.DUMMYFUNCTION("""COMPUTED_VALUE"""),"Branch Operations")</f>
        <v>Branch Operations</v>
      </c>
      <c r="L736" s="98" t="str">
        <f>IFERROR(__xludf.DUMMYFUNCTION("""COMPUTED_VALUE"""),"Done")</f>
        <v>Done</v>
      </c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>
      <c r="A737" s="82"/>
      <c r="B737" s="106" t="str">
        <f>IFERROR(__xludf.DUMMYFUNCTION("""COMPUTED_VALUE"""),"1013")</f>
        <v>1013</v>
      </c>
      <c r="C737" s="106" t="str">
        <f>IFERROR(__xludf.DUMMYFUNCTION("""COMPUTED_VALUE"""),"Jeni")</f>
        <v>Jeni</v>
      </c>
      <c r="D737" s="106" t="str">
        <f>IFERROR(__xludf.DUMMYFUNCTION("""COMPUTED_VALUE"""),"778694249")</f>
        <v>778694249</v>
      </c>
      <c r="E737" s="106" t="str">
        <f>IFERROR(__xludf.DUMMYFUNCTION("""COMPUTED_VALUE"""),"Y")</f>
        <v>Y</v>
      </c>
      <c r="F737" s="107" t="str">
        <f>IFERROR(__xludf.DUMMYFUNCTION("""COMPUTED_VALUE"""),"Plusmart.Lk")</f>
        <v>Plusmart.Lk</v>
      </c>
      <c r="G737" s="106" t="str">
        <f>IFERROR(__xludf.DUMMYFUNCTION("""COMPUTED_VALUE"""),"BE109206")</f>
        <v>BE109206</v>
      </c>
      <c r="H737" s="106" t="str">
        <f>IFERROR(__xludf.DUMMYFUNCTION("""COMPUTED_VALUE"""),"Re Deliver")</f>
        <v>Re Deliver</v>
      </c>
      <c r="I737" s="106" t="str">
        <f>IFERROR(__xludf.DUMMYFUNCTION("""COMPUTED_VALUE"""),"Wattala")</f>
        <v>Wattala</v>
      </c>
      <c r="J737" s="106" t="str">
        <f>IFERROR(__xludf.DUMMYFUNCTION("""COMPUTED_VALUE"""),"Received At Destination")</f>
        <v>Received At Destination</v>
      </c>
      <c r="K737" s="106" t="str">
        <f>IFERROR(__xludf.DUMMYFUNCTION("""COMPUTED_VALUE"""),"Branch Operations")</f>
        <v>Branch Operations</v>
      </c>
      <c r="L737" s="106" t="str">
        <f>IFERROR(__xludf.DUMMYFUNCTION("""COMPUTED_VALUE"""),"Informed Customer")</f>
        <v>Informed Customer</v>
      </c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>
      <c r="A738" s="82"/>
      <c r="B738" s="98" t="str">
        <f>IFERROR(__xludf.DUMMYFUNCTION("""COMPUTED_VALUE"""),"1014")</f>
        <v>1014</v>
      </c>
      <c r="C738" s="98" t="str">
        <f>IFERROR(__xludf.DUMMYFUNCTION("""COMPUTED_VALUE"""),"Umesha")</f>
        <v>Umesha</v>
      </c>
      <c r="D738" s="98" t="str">
        <f>IFERROR(__xludf.DUMMYFUNCTION("""COMPUTED_VALUE"""),"702337422")</f>
        <v>702337422</v>
      </c>
      <c r="E738" s="98" t="str">
        <f>IFERROR(__xludf.DUMMYFUNCTION("""COMPUTED_VALUE"""),"Y")</f>
        <v>Y</v>
      </c>
      <c r="F738" s="98" t="str">
        <f>IFERROR(__xludf.DUMMYFUNCTION("""COMPUTED_VALUE"""),"Sahasra Team")</f>
        <v>Sahasra Team</v>
      </c>
      <c r="G738" s="98" t="str">
        <f>IFERROR(__xludf.DUMMYFUNCTION("""COMPUTED_VALUE"""),"BE091724")</f>
        <v>BE091724</v>
      </c>
      <c r="H738" s="98" t="str">
        <f>IFERROR(__xludf.DUMMYFUNCTION("""COMPUTED_VALUE"""),"Arrange The Package")</f>
        <v>Arrange The Package</v>
      </c>
      <c r="I738" s="98" t="str">
        <f>IFERROR(__xludf.DUMMYFUNCTION("""COMPUTED_VALUE"""),"Colombo Metro")</f>
        <v>Colombo Metro</v>
      </c>
      <c r="J738" s="98" t="str">
        <f>IFERROR(__xludf.DUMMYFUNCTION("""COMPUTED_VALUE"""),"Returned To Ho")</f>
        <v>Returned To Ho</v>
      </c>
      <c r="K738" s="98" t="str">
        <f>IFERROR(__xludf.DUMMYFUNCTION("""COMPUTED_VALUE"""),"Customer Care")</f>
        <v>Customer Care</v>
      </c>
      <c r="L738" s="98" t="str">
        <f>IFERROR(__xludf.DUMMYFUNCTION("""COMPUTED_VALUE"""),"Customer No Answer")</f>
        <v>Customer No Answer</v>
      </c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>
      <c r="A739" s="82"/>
      <c r="B739" s="106" t="str">
        <f>IFERROR(__xludf.DUMMYFUNCTION("""COMPUTED_VALUE"""),"1015")</f>
        <v>1015</v>
      </c>
      <c r="C739" s="106" t="str">
        <f>IFERROR(__xludf.DUMMYFUNCTION("""COMPUTED_VALUE"""),"Malik")</f>
        <v>Malik</v>
      </c>
      <c r="D739" s="106" t="str">
        <f>IFERROR(__xludf.DUMMYFUNCTION("""COMPUTED_VALUE"""),"777314702")</f>
        <v>777314702</v>
      </c>
      <c r="E739" s="106" t="str">
        <f>IFERROR(__xludf.DUMMYFUNCTION("""COMPUTED_VALUE"""),"N")</f>
        <v>N</v>
      </c>
      <c r="F739" s="106" t="str">
        <f>IFERROR(__xludf.DUMMYFUNCTION("""COMPUTED_VALUE"""),"Happyfly")</f>
        <v>Happyfly</v>
      </c>
      <c r="G739" s="106" t="str">
        <f>IFERROR(__xludf.DUMMYFUNCTION("""COMPUTED_VALUE"""),"A4470093")</f>
        <v>A4470093</v>
      </c>
      <c r="H739" s="106" t="str">
        <f>IFERROR(__xludf.DUMMYFUNCTION("""COMPUTED_VALUE"""),"Branch Number List")</f>
        <v>Branch Number List</v>
      </c>
      <c r="I739" s="106" t="str">
        <f>IFERROR(__xludf.DUMMYFUNCTION("""COMPUTED_VALUE"""),"Padukka")</f>
        <v>Padukka</v>
      </c>
      <c r="J739" s="106" t="str">
        <f>IFERROR(__xludf.DUMMYFUNCTION("""COMPUTED_VALUE"""),"Returned To Branch Rescheduled")</f>
        <v>Returned To Branch Rescheduled</v>
      </c>
      <c r="K739" s="106" t="str">
        <f>IFERROR(__xludf.DUMMYFUNCTION("""COMPUTED_VALUE"""),"Customer Care")</f>
        <v>Customer Care</v>
      </c>
      <c r="L739" s="106" t="str">
        <f>IFERROR(__xludf.DUMMYFUNCTION("""COMPUTED_VALUE"""),"Marketing Number Given")</f>
        <v>Marketing Number Given</v>
      </c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>
      <c r="A740" s="82"/>
      <c r="B740" s="98" t="str">
        <f>IFERROR(__xludf.DUMMYFUNCTION("""COMPUTED_VALUE"""),"1016")</f>
        <v>1016</v>
      </c>
      <c r="C740" s="98" t="str">
        <f>IFERROR(__xludf.DUMMYFUNCTION("""COMPUTED_VALUE"""),"Lakshani")</f>
        <v>Lakshani</v>
      </c>
      <c r="D740" s="98" t="str">
        <f>IFERROR(__xludf.DUMMYFUNCTION("""COMPUTED_VALUE"""),"757840060")</f>
        <v>757840060</v>
      </c>
      <c r="E740" s="98" t="str">
        <f>IFERROR(__xludf.DUMMYFUNCTION("""COMPUTED_VALUE"""),"N")</f>
        <v>N</v>
      </c>
      <c r="F740" s="98" t="str">
        <f>IFERROR(__xludf.DUMMYFUNCTION("""COMPUTED_VALUE"""),"Sahasra Team")</f>
        <v>Sahasra Team</v>
      </c>
      <c r="G740" s="98" t="str">
        <f>IFERROR(__xludf.DUMMYFUNCTION("""COMPUTED_VALUE"""),"A4432497")</f>
        <v>A4432497</v>
      </c>
      <c r="H740" s="98" t="str">
        <f>IFERROR(__xludf.DUMMYFUNCTION("""COMPUTED_VALUE"""),"Call Wrapped")</f>
        <v>Call Wrapped</v>
      </c>
      <c r="I740" s="98" t="str">
        <f>IFERROR(__xludf.DUMMYFUNCTION("""COMPUTED_VALUE"""),"Colombo Metro")</f>
        <v>Colombo Metro</v>
      </c>
      <c r="J740" s="98" t="str">
        <f>IFERROR(__xludf.DUMMYFUNCTION("""COMPUTED_VALUE"""),"Re-Assign Rider")</f>
        <v>Re-Assign Rider</v>
      </c>
      <c r="K740" s="98" t="str">
        <f>IFERROR(__xludf.DUMMYFUNCTION("""COMPUTED_VALUE"""),"Customer Care")</f>
        <v>Customer Care</v>
      </c>
      <c r="L740" s="98" t="str">
        <f>IFERROR(__xludf.DUMMYFUNCTION("""COMPUTED_VALUE"""),"On Route")</f>
        <v>On Route</v>
      </c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>
      <c r="A741" s="82"/>
      <c r="B741" s="106" t="str">
        <f>IFERROR(__xludf.DUMMYFUNCTION("""COMPUTED_VALUE"""),"1017")</f>
        <v>1017</v>
      </c>
      <c r="C741" s="106" t="str">
        <f>IFERROR(__xludf.DUMMYFUNCTION("""COMPUTED_VALUE"""),"Jeni")</f>
        <v>Jeni</v>
      </c>
      <c r="D741" s="106" t="str">
        <f>IFERROR(__xludf.DUMMYFUNCTION("""COMPUTED_VALUE"""),"775126029")</f>
        <v>775126029</v>
      </c>
      <c r="E741" s="106" t="str">
        <f>IFERROR(__xludf.DUMMYFUNCTION("""COMPUTED_VALUE"""),"N")</f>
        <v>N</v>
      </c>
      <c r="F741" s="106" t="str">
        <f>IFERROR(__xludf.DUMMYFUNCTION("""COMPUTED_VALUE"""),"Herb Essence V2")</f>
        <v>Herb Essence V2</v>
      </c>
      <c r="G741" s="106" t="str">
        <f>IFERROR(__xludf.DUMMYFUNCTION("""COMPUTED_VALUE"""),"BA774767")</f>
        <v>BA774767</v>
      </c>
      <c r="H741" s="106" t="str">
        <f>IFERROR(__xludf.DUMMYFUNCTION("""COMPUTED_VALUE"""),"Didn'T Know The Tracking Number")</f>
        <v>Didn'T Know The Tracking Number</v>
      </c>
      <c r="I741" s="106" t="str">
        <f>IFERROR(__xludf.DUMMYFUNCTION("""COMPUTED_VALUE"""),"Kuliyapitiya")</f>
        <v>Kuliyapitiya</v>
      </c>
      <c r="J741" s="106" t="str">
        <f>IFERROR(__xludf.DUMMYFUNCTION("""COMPUTED_VALUE"""),"Returned To Branch Failed To Deliver")</f>
        <v>Returned To Branch Failed To Deliver</v>
      </c>
      <c r="K741" s="106" t="str">
        <f>IFERROR(__xludf.DUMMYFUNCTION("""COMPUTED_VALUE"""),"Branch Operations")</f>
        <v>Branch Operations</v>
      </c>
      <c r="L741" s="106" t="str">
        <f>IFERROR(__xludf.DUMMYFUNCTION("""COMPUTED_VALUE"""),"Informed Branch")</f>
        <v>Informed Branch</v>
      </c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>
      <c r="A742" s="82"/>
      <c r="B742" s="98" t="str">
        <f>IFERROR(__xludf.DUMMYFUNCTION("""COMPUTED_VALUE"""),"1018")</f>
        <v>1018</v>
      </c>
      <c r="C742" s="98" t="str">
        <f>IFERROR(__xludf.DUMMYFUNCTION("""COMPUTED_VALUE"""),"Lakshani")</f>
        <v>Lakshani</v>
      </c>
      <c r="D742" s="98" t="str">
        <f>IFERROR(__xludf.DUMMYFUNCTION("""COMPUTED_VALUE"""),"766979286")</f>
        <v>766979286</v>
      </c>
      <c r="E742" s="98" t="str">
        <f>IFERROR(__xludf.DUMMYFUNCTION("""COMPUTED_VALUE"""),"Y")</f>
        <v>Y</v>
      </c>
      <c r="F742" s="98" t="str">
        <f>IFERROR(__xludf.DUMMYFUNCTION("""COMPUTED_VALUE"""),"Swasthi")</f>
        <v>Swasthi</v>
      </c>
      <c r="G742" s="98" t="str">
        <f>IFERROR(__xludf.DUMMYFUNCTION("""COMPUTED_VALUE"""),"A4432175")</f>
        <v>A4432175</v>
      </c>
      <c r="H742" s="98" t="str">
        <f>IFERROR(__xludf.DUMMYFUNCTION("""COMPUTED_VALUE"""),"Metro Branch Number")</f>
        <v>Metro Branch Number</v>
      </c>
      <c r="I742" s="98" t="str">
        <f>IFERROR(__xludf.DUMMYFUNCTION("""COMPUTED_VALUE"""),"Colombo Metro")</f>
        <v>Colombo Metro</v>
      </c>
      <c r="J742" s="98" t="str">
        <f>IFERROR(__xludf.DUMMYFUNCTION("""COMPUTED_VALUE"""),"Returned To Branch Failed To Deliver")</f>
        <v>Returned To Branch Failed To Deliver</v>
      </c>
      <c r="K742" s="98" t="str">
        <f>IFERROR(__xludf.DUMMYFUNCTION("""COMPUTED_VALUE"""),"Customer Care")</f>
        <v>Customer Care</v>
      </c>
      <c r="L742" s="98" t="str">
        <f>IFERROR(__xludf.DUMMYFUNCTION("""COMPUTED_VALUE"""),"Done")</f>
        <v>Done</v>
      </c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>
      <c r="A743" s="82"/>
      <c r="B743" s="106" t="str">
        <f>IFERROR(__xludf.DUMMYFUNCTION("""COMPUTED_VALUE"""),"1019")</f>
        <v>1019</v>
      </c>
      <c r="C743" s="106" t="str">
        <f>IFERROR(__xludf.DUMMYFUNCTION("""COMPUTED_VALUE"""),"Lakshani")</f>
        <v>Lakshani</v>
      </c>
      <c r="D743" s="106" t="str">
        <f>IFERROR(__xludf.DUMMYFUNCTION("""COMPUTED_VALUE"""),"758432030")</f>
        <v>758432030</v>
      </c>
      <c r="E743" s="106" t="str">
        <f>IFERROR(__xludf.DUMMYFUNCTION("""COMPUTED_VALUE"""),"N")</f>
        <v>N</v>
      </c>
      <c r="F743" s="106" t="str">
        <f>IFERROR(__xludf.DUMMYFUNCTION("""COMPUTED_VALUE"""),"Lakshini Dilrukshi")</f>
        <v>Lakshini Dilrukshi</v>
      </c>
      <c r="G743" s="106" t="str">
        <f>IFERROR(__xludf.DUMMYFUNCTION("""COMPUTED_VALUE"""),"A1106394")</f>
        <v>A1106394</v>
      </c>
      <c r="H743" s="106" t="str">
        <f>IFERROR(__xludf.DUMMYFUNCTION("""COMPUTED_VALUE"""),"Call Wrapped")</f>
        <v>Call Wrapped</v>
      </c>
      <c r="I743" s="106" t="str">
        <f>IFERROR(__xludf.DUMMYFUNCTION("""COMPUTED_VALUE"""),"Colombo Metro")</f>
        <v>Colombo Metro</v>
      </c>
      <c r="J743" s="106" t="str">
        <f>IFERROR(__xludf.DUMMYFUNCTION("""COMPUTED_VALUE"""),"Delivered")</f>
        <v>Delivered</v>
      </c>
      <c r="K743" s="106" t="str">
        <f>IFERROR(__xludf.DUMMYFUNCTION("""COMPUTED_VALUE"""),"Customer Care")</f>
        <v>Customer Care</v>
      </c>
      <c r="L743" s="106" t="str">
        <f>IFERROR(__xludf.DUMMYFUNCTION("""COMPUTED_VALUE"""),"Done")</f>
        <v>Done</v>
      </c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>
      <c r="A744" s="82"/>
      <c r="B744" s="98" t="str">
        <f>IFERROR(__xludf.DUMMYFUNCTION("""COMPUTED_VALUE"""),"1020")</f>
        <v>1020</v>
      </c>
      <c r="C744" s="98" t="str">
        <f>IFERROR(__xludf.DUMMYFUNCTION("""COMPUTED_VALUE"""),"Jeni")</f>
        <v>Jeni</v>
      </c>
      <c r="D744" s="98" t="str">
        <f>IFERROR(__xludf.DUMMYFUNCTION("""COMPUTED_VALUE"""),"720108485")</f>
        <v>720108485</v>
      </c>
      <c r="E744" s="98" t="str">
        <f>IFERROR(__xludf.DUMMYFUNCTION("""COMPUTED_VALUE"""),"Y")</f>
        <v>Y</v>
      </c>
      <c r="F744" s="98" t="str">
        <f>IFERROR(__xludf.DUMMYFUNCTION("""COMPUTED_VALUE"""),"Neth Fashion Clothing")</f>
        <v>Neth Fashion Clothing</v>
      </c>
      <c r="G744" s="98" t="str">
        <f>IFERROR(__xludf.DUMMYFUNCTION("""COMPUTED_VALUE"""),"RA04229376")</f>
        <v>RA04229376</v>
      </c>
      <c r="H744" s="98" t="str">
        <f>IFERROR(__xludf.DUMMYFUNCTION("""COMPUTED_VALUE"""),"Order Status")</f>
        <v>Order Status</v>
      </c>
      <c r="I744" s="98" t="str">
        <f>IFERROR(__xludf.DUMMYFUNCTION("""COMPUTED_VALUE"""),"Colombo Metro")</f>
        <v>Colombo Metro</v>
      </c>
      <c r="J744" s="98" t="str">
        <f>IFERROR(__xludf.DUMMYFUNCTION("""COMPUTED_VALUE"""),"Returned To Branch Rescheduled")</f>
        <v>Returned To Branch Rescheduled</v>
      </c>
      <c r="K744" s="98" t="str">
        <f>IFERROR(__xludf.DUMMYFUNCTION("""COMPUTED_VALUE"""),"Customer Care")</f>
        <v>Customer Care</v>
      </c>
      <c r="L744" s="98" t="str">
        <f>IFERROR(__xludf.DUMMYFUNCTION("""COMPUTED_VALUE"""),"Tranfer Call")</f>
        <v>Tranfer Call</v>
      </c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>
      <c r="A745" s="82"/>
      <c r="B745" s="106" t="str">
        <f>IFERROR(__xludf.DUMMYFUNCTION("""COMPUTED_VALUE"""),"1021")</f>
        <v>1021</v>
      </c>
      <c r="C745" s="106" t="str">
        <f>IFERROR(__xludf.DUMMYFUNCTION("""COMPUTED_VALUE"""),"Mandari")</f>
        <v>Mandari</v>
      </c>
      <c r="D745" s="106" t="str">
        <f>IFERROR(__xludf.DUMMYFUNCTION("""COMPUTED_VALUE"""),"776346403")</f>
        <v>776346403</v>
      </c>
      <c r="E745" s="106" t="str">
        <f>IFERROR(__xludf.DUMMYFUNCTION("""COMPUTED_VALUE"""),"N")</f>
        <v>N</v>
      </c>
      <c r="F745" s="106" t="str">
        <f>IFERROR(__xludf.DUMMYFUNCTION("""COMPUTED_VALUE"""),"P &amp; S Help Investment Pvt(Ltd)")</f>
        <v>P &amp; S Help Investment Pvt(Ltd)</v>
      </c>
      <c r="G745" s="106" t="str">
        <f>IFERROR(__xludf.DUMMYFUNCTION("""COMPUTED_VALUE"""),"BA771537")</f>
        <v>BA771537</v>
      </c>
      <c r="H745" s="106" t="str">
        <f>IFERROR(__xludf.DUMMYFUNCTION("""COMPUTED_VALUE"""),"Arrange Delivery Today / Top Urgent")</f>
        <v>Arrange Delivery Today / Top Urgent</v>
      </c>
      <c r="I745" s="106" t="str">
        <f>IFERROR(__xludf.DUMMYFUNCTION("""COMPUTED_VALUE"""),"Ambalangoda")</f>
        <v>Ambalangoda</v>
      </c>
      <c r="J745" s="106" t="str">
        <f>IFERROR(__xludf.DUMMYFUNCTION("""COMPUTED_VALUE"""),"Returned To Branch Rescheduled")</f>
        <v>Returned To Branch Rescheduled</v>
      </c>
      <c r="K745" s="106" t="str">
        <f>IFERROR(__xludf.DUMMYFUNCTION("""COMPUTED_VALUE"""),"Customer Care")</f>
        <v>Customer Care</v>
      </c>
      <c r="L745" s="106" t="str">
        <f>IFERROR(__xludf.DUMMYFUNCTION("""COMPUTED_VALUE"""),"Informed Key Ecc")</f>
        <v>Informed Key Ecc</v>
      </c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>
      <c r="A746" s="82"/>
      <c r="B746" s="98" t="str">
        <f>IFERROR(__xludf.DUMMYFUNCTION("""COMPUTED_VALUE"""),"1022")</f>
        <v>1022</v>
      </c>
      <c r="C746" s="98" t="str">
        <f>IFERROR(__xludf.DUMMYFUNCTION("""COMPUTED_VALUE"""),"Umesha")</f>
        <v>Umesha</v>
      </c>
      <c r="D746" s="98" t="str">
        <f>IFERROR(__xludf.DUMMYFUNCTION("""COMPUTED_VALUE"""),"770765802")</f>
        <v>770765802</v>
      </c>
      <c r="E746" s="98" t="str">
        <f>IFERROR(__xludf.DUMMYFUNCTION("""COMPUTED_VALUE"""),"N")</f>
        <v>N</v>
      </c>
      <c r="F746" s="98" t="str">
        <f>IFERROR(__xludf.DUMMYFUNCTION("""COMPUTED_VALUE"""),"Megha 1 Palace (Pvt) Ltd")</f>
        <v>Megha 1 Palace (Pvt) Ltd</v>
      </c>
      <c r="G746" s="98" t="str">
        <f>IFERROR(__xludf.DUMMYFUNCTION("""COMPUTED_VALUE"""),"BE109206")</f>
        <v>BE109206</v>
      </c>
      <c r="H746" s="98" t="str">
        <f>IFERROR(__xludf.DUMMYFUNCTION("""COMPUTED_VALUE"""),"Answered")</f>
        <v>Answered</v>
      </c>
      <c r="I746" s="98" t="str">
        <f>IFERROR(__xludf.DUMMYFUNCTION("""COMPUTED_VALUE"""),"Pilimathlawa")</f>
        <v>Pilimathlawa</v>
      </c>
      <c r="J746" s="98" t="str">
        <f>IFERROR(__xludf.DUMMYFUNCTION("""COMPUTED_VALUE"""),"Returned To Branch Failed To Deliver")</f>
        <v>Returned To Branch Failed To Deliver</v>
      </c>
      <c r="K746" s="98" t="str">
        <f>IFERROR(__xludf.DUMMYFUNCTION("""COMPUTED_VALUE"""),"Branch Operations")</f>
        <v>Branch Operations</v>
      </c>
      <c r="L746" s="98" t="str">
        <f>IFERROR(__xludf.DUMMYFUNCTION("""COMPUTED_VALUE"""),"Informed Domestic Department")</f>
        <v>Informed Domestic Department</v>
      </c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>
      <c r="A747" s="82"/>
      <c r="B747" s="106" t="str">
        <f>IFERROR(__xludf.DUMMYFUNCTION("""COMPUTED_VALUE"""),"1023")</f>
        <v>1023</v>
      </c>
      <c r="C747" s="106" t="str">
        <f>IFERROR(__xludf.DUMMYFUNCTION("""COMPUTED_VALUE"""),"Umesha")</f>
        <v>Umesha</v>
      </c>
      <c r="D747" s="106" t="str">
        <f>IFERROR(__xludf.DUMMYFUNCTION("""COMPUTED_VALUE"""),"710607191")</f>
        <v>710607191</v>
      </c>
      <c r="E747" s="106" t="str">
        <f>IFERROR(__xludf.DUMMYFUNCTION("""COMPUTED_VALUE"""),"N")</f>
        <v>N</v>
      </c>
      <c r="F747" s="106" t="str">
        <f>IFERROR(__xludf.DUMMYFUNCTION("""COMPUTED_VALUE"""),"Faith Store")</f>
        <v>Faith Store</v>
      </c>
      <c r="G747" s="106" t="str">
        <f>IFERROR(__xludf.DUMMYFUNCTION("""COMPUTED_VALUE"""),"BE098496")</f>
        <v>BE098496</v>
      </c>
      <c r="H747" s="106" t="str">
        <f>IFERROR(__xludf.DUMMYFUNCTION("""COMPUTED_VALUE"""),"Re Deliver")</f>
        <v>Re Deliver</v>
      </c>
      <c r="I747" s="106" t="str">
        <f>IFERROR(__xludf.DUMMYFUNCTION("""COMPUTED_VALUE"""),"Panadura")</f>
        <v>Panadura</v>
      </c>
      <c r="J747" s="106" t="str">
        <f>IFERROR(__xludf.DUMMYFUNCTION("""COMPUTED_VALUE"""),"Returned To Branch Rescheduled")</f>
        <v>Returned To Branch Rescheduled</v>
      </c>
      <c r="K747" s="106" t="str">
        <f>IFERROR(__xludf.DUMMYFUNCTION("""COMPUTED_VALUE"""),"Customer Care")</f>
        <v>Customer Care</v>
      </c>
      <c r="L747" s="106" t="str">
        <f>IFERROR(__xludf.DUMMYFUNCTION("""COMPUTED_VALUE"""),"Call Transfered To Branh And Informed To Them")</f>
        <v>Call Transfered To Branh And Informed To Them</v>
      </c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>
      <c r="A748" s="82"/>
      <c r="B748" s="98" t="str">
        <f>IFERROR(__xludf.DUMMYFUNCTION("""COMPUTED_VALUE"""),"1024")</f>
        <v>1024</v>
      </c>
      <c r="C748" s="98" t="str">
        <f>IFERROR(__xludf.DUMMYFUNCTION("""COMPUTED_VALUE"""),"Umesha")</f>
        <v>Umesha</v>
      </c>
      <c r="D748" s="98" t="str">
        <f>IFERROR(__xludf.DUMMYFUNCTION("""COMPUTED_VALUE"""),"702337422")</f>
        <v>702337422</v>
      </c>
      <c r="E748" s="98" t="str">
        <f>IFERROR(__xludf.DUMMYFUNCTION("""COMPUTED_VALUE"""),"N")</f>
        <v>N</v>
      </c>
      <c r="F748" s="98" t="str">
        <f>IFERROR(__xludf.DUMMYFUNCTION("""COMPUTED_VALUE"""),"Lansa Express")</f>
        <v>Lansa Express</v>
      </c>
      <c r="G748" s="98" t="str">
        <f>IFERROR(__xludf.DUMMYFUNCTION("""COMPUTED_VALUE"""),"BE025902")</f>
        <v>BE025902</v>
      </c>
      <c r="H748" s="98" t="str">
        <f>IFERROR(__xludf.DUMMYFUNCTION("""COMPUTED_VALUE"""),"Arrange To Deliver Today")</f>
        <v>Arrange To Deliver Today</v>
      </c>
      <c r="I748" s="98" t="str">
        <f>IFERROR(__xludf.DUMMYFUNCTION("""COMPUTED_VALUE"""),"Ratmalana")</f>
        <v>Ratmalana</v>
      </c>
      <c r="J748" s="98" t="str">
        <f>IFERROR(__xludf.DUMMYFUNCTION("""COMPUTED_VALUE"""),"Returned To Branch Rescheduled")</f>
        <v>Returned To Branch Rescheduled</v>
      </c>
      <c r="K748" s="98" t="str">
        <f>IFERROR(__xludf.DUMMYFUNCTION("""COMPUTED_VALUE"""),"Sales")</f>
        <v>Sales</v>
      </c>
      <c r="L748" s="98" t="str">
        <f>IFERROR(__xludf.DUMMYFUNCTION("""COMPUTED_VALUE"""),"Done")</f>
        <v>Done</v>
      </c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>
      <c r="A749" s="82"/>
      <c r="B749" s="106" t="str">
        <f>IFERROR(__xludf.DUMMYFUNCTION("""COMPUTED_VALUE"""),"1025")</f>
        <v>1025</v>
      </c>
      <c r="C749" s="106" t="str">
        <f>IFERROR(__xludf.DUMMYFUNCTION("""COMPUTED_VALUE"""),"Mandari")</f>
        <v>Mandari</v>
      </c>
      <c r="D749" s="106" t="str">
        <f>IFERROR(__xludf.DUMMYFUNCTION("""COMPUTED_VALUE"""),"757715579")</f>
        <v>757715579</v>
      </c>
      <c r="E749" s="106" t="str">
        <f>IFERROR(__xludf.DUMMYFUNCTION("""COMPUTED_VALUE"""),"N")</f>
        <v>N</v>
      </c>
      <c r="F749" s="106" t="str">
        <f>IFERROR(__xludf.DUMMYFUNCTION("""COMPUTED_VALUE"""),"Alpha.Com(Pvt)Ltd")</f>
        <v>Alpha.Com(Pvt)Ltd</v>
      </c>
      <c r="G749" s="106" t="str">
        <f>IFERROR(__xludf.DUMMYFUNCTION("""COMPUTED_VALUE"""),"BE095939")</f>
        <v>BE095939</v>
      </c>
      <c r="H749" s="106" t="str">
        <f>IFERROR(__xludf.DUMMYFUNCTION("""COMPUTED_VALUE"""),"Re Deliver")</f>
        <v>Re Deliver</v>
      </c>
      <c r="I749" s="106" t="str">
        <f>IFERROR(__xludf.DUMMYFUNCTION("""COMPUTED_VALUE"""),"Colombo Metro")</f>
        <v>Colombo Metro</v>
      </c>
      <c r="J749" s="106" t="str">
        <f>IFERROR(__xludf.DUMMYFUNCTION("""COMPUTED_VALUE"""),"Re-Delivery")</f>
        <v>Re-Delivery</v>
      </c>
      <c r="K749" s="106" t="str">
        <f>IFERROR(__xludf.DUMMYFUNCTION("""COMPUTED_VALUE"""),"Branch Operations")</f>
        <v>Branch Operations</v>
      </c>
      <c r="L749" s="106" t="str">
        <f>IFERROR(__xludf.DUMMYFUNCTION("""COMPUTED_VALUE"""),"Done")</f>
        <v>Done</v>
      </c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>
      <c r="A750" s="82"/>
      <c r="B750" s="98" t="str">
        <f>IFERROR(__xludf.DUMMYFUNCTION("""COMPUTED_VALUE"""),"1026")</f>
        <v>1026</v>
      </c>
      <c r="C750" s="98" t="str">
        <f>IFERROR(__xludf.DUMMYFUNCTION("""COMPUTED_VALUE"""),"Jeni")</f>
        <v>Jeni</v>
      </c>
      <c r="D750" s="98" t="str">
        <f>IFERROR(__xludf.DUMMYFUNCTION("""COMPUTED_VALUE"""),"765792009")</f>
        <v>765792009</v>
      </c>
      <c r="E750" s="98" t="str">
        <f>IFERROR(__xludf.DUMMYFUNCTION("""COMPUTED_VALUE"""),"Y")</f>
        <v>Y</v>
      </c>
      <c r="F750" s="98" t="str">
        <f>IFERROR(__xludf.DUMMYFUNCTION("""COMPUTED_VALUE"""),"360° Online.Lk")</f>
        <v>360° Online.Lk</v>
      </c>
      <c r="G750" s="98" t="str">
        <f>IFERROR(__xludf.DUMMYFUNCTION("""COMPUTED_VALUE"""),"90815443")</f>
        <v>90815443</v>
      </c>
      <c r="H750" s="98" t="str">
        <f>IFERROR(__xludf.DUMMYFUNCTION("""COMPUTED_VALUE"""),"Arrange To Deliver Today / Top Urgant")</f>
        <v>Arrange To Deliver Today / Top Urgant</v>
      </c>
      <c r="I750" s="98" t="str">
        <f>IFERROR(__xludf.DUMMYFUNCTION("""COMPUTED_VALUE"""),"Rajagiriya")</f>
        <v>Rajagiriya</v>
      </c>
      <c r="J750" s="98" t="str">
        <f>IFERROR(__xludf.DUMMYFUNCTION("""COMPUTED_VALUE"""),"Received At Destination")</f>
        <v>Received At Destination</v>
      </c>
      <c r="K750" s="98" t="str">
        <f>IFERROR(__xludf.DUMMYFUNCTION("""COMPUTED_VALUE"""),"Sales")</f>
        <v>Sales</v>
      </c>
      <c r="L750" s="98" t="str">
        <f>IFERROR(__xludf.DUMMYFUNCTION("""COMPUTED_VALUE"""),"Informed Genzo Team")</f>
        <v>Informed Genzo Team</v>
      </c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>
      <c r="A751" s="82"/>
      <c r="B751" s="106" t="str">
        <f>IFERROR(__xludf.DUMMYFUNCTION("""COMPUTED_VALUE"""),"1027")</f>
        <v>1027</v>
      </c>
      <c r="C751" s="106" t="str">
        <f>IFERROR(__xludf.DUMMYFUNCTION("""COMPUTED_VALUE"""),"Umesha")</f>
        <v>Umesha</v>
      </c>
      <c r="D751" s="106" t="str">
        <f>IFERROR(__xludf.DUMMYFUNCTION("""COMPUTED_VALUE"""),"775329387")</f>
        <v>775329387</v>
      </c>
      <c r="E751" s="106" t="str">
        <f>IFERROR(__xludf.DUMMYFUNCTION("""COMPUTED_VALUE"""),"Y")</f>
        <v>Y</v>
      </c>
      <c r="F751" s="107" t="str">
        <f>IFERROR(__xludf.DUMMYFUNCTION("""COMPUTED_VALUE"""),"Subito.Lk")</f>
        <v>Subito.Lk</v>
      </c>
      <c r="G751" s="106" t="str">
        <f>IFERROR(__xludf.DUMMYFUNCTION("""COMPUTED_VALUE"""),"BD470027")</f>
        <v>BD470027</v>
      </c>
      <c r="H751" s="106" t="str">
        <f>IFERROR(__xludf.DUMMYFUNCTION("""COMPUTED_VALUE"""),"Re Deliver")</f>
        <v>Re Deliver</v>
      </c>
      <c r="I751" s="106" t="str">
        <f>IFERROR(__xludf.DUMMYFUNCTION("""COMPUTED_VALUE"""),"Ambalangoda")</f>
        <v>Ambalangoda</v>
      </c>
      <c r="J751" s="106" t="str">
        <f>IFERROR(__xludf.DUMMYFUNCTION("""COMPUTED_VALUE"""),"Returned To Branch Rescheduled")</f>
        <v>Returned To Branch Rescheduled</v>
      </c>
      <c r="K751" s="106" t="str">
        <f>IFERROR(__xludf.DUMMYFUNCTION("""COMPUTED_VALUE"""),"Customer Care")</f>
        <v>Customer Care</v>
      </c>
      <c r="L751" s="106" t="str">
        <f>IFERROR(__xludf.DUMMYFUNCTION("""COMPUTED_VALUE"""),"Call Transfer Sales Department")</f>
        <v>Call Transfer Sales Department</v>
      </c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>
      <c r="A752" s="82"/>
      <c r="B752" s="98" t="str">
        <f>IFERROR(__xludf.DUMMYFUNCTION("""COMPUTED_VALUE"""),"1028")</f>
        <v>1028</v>
      </c>
      <c r="C752" s="98" t="str">
        <f>IFERROR(__xludf.DUMMYFUNCTION("""COMPUTED_VALUE"""),"Jeni")</f>
        <v>Jeni</v>
      </c>
      <c r="D752" s="98" t="str">
        <f>IFERROR(__xludf.DUMMYFUNCTION("""COMPUTED_VALUE"""),"760053626")</f>
        <v>760053626</v>
      </c>
      <c r="E752" s="98" t="str">
        <f>IFERROR(__xludf.DUMMYFUNCTION("""COMPUTED_VALUE"""),"Y")</f>
        <v>Y</v>
      </c>
      <c r="F752" s="108" t="str">
        <f>IFERROR(__xludf.DUMMYFUNCTION("""COMPUTED_VALUE"""),"Shopymore.Lk")</f>
        <v>Shopymore.Lk</v>
      </c>
      <c r="G752" s="98" t="str">
        <f>IFERROR(__xludf.DUMMYFUNCTION("""COMPUTED_VALUE"""),"BD910852")</f>
        <v>BD910852</v>
      </c>
      <c r="H752" s="98" t="str">
        <f>IFERROR(__xludf.DUMMYFUNCTION("""COMPUTED_VALUE"""),"Re Deliver")</f>
        <v>Re Deliver</v>
      </c>
      <c r="I752" s="98" t="str">
        <f>IFERROR(__xludf.DUMMYFUNCTION("""COMPUTED_VALUE"""),"Kandy")</f>
        <v>Kandy</v>
      </c>
      <c r="J752" s="98" t="str">
        <f>IFERROR(__xludf.DUMMYFUNCTION("""COMPUTED_VALUE"""),"Received At Destination")</f>
        <v>Received At Destination</v>
      </c>
      <c r="K752" s="98" t="str">
        <f>IFERROR(__xludf.DUMMYFUNCTION("""COMPUTED_VALUE"""),"Customer Care")</f>
        <v>Customer Care</v>
      </c>
      <c r="L752" s="98" t="str">
        <f>IFERROR(__xludf.DUMMYFUNCTION("""COMPUTED_VALUE"""),"Details Given")</f>
        <v>Details Given</v>
      </c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>
      <c r="A753" s="82"/>
      <c r="B753" s="106" t="str">
        <f>IFERROR(__xludf.DUMMYFUNCTION("""COMPUTED_VALUE"""),"1029")</f>
        <v>1029</v>
      </c>
      <c r="C753" s="106" t="str">
        <f>IFERROR(__xludf.DUMMYFUNCTION("""COMPUTED_VALUE"""),"Umesha")</f>
        <v>Umesha</v>
      </c>
      <c r="D753" s="106" t="str">
        <f>IFERROR(__xludf.DUMMYFUNCTION("""COMPUTED_VALUE"""),"712311134")</f>
        <v>712311134</v>
      </c>
      <c r="E753" s="106" t="str">
        <f>IFERROR(__xludf.DUMMYFUNCTION("""COMPUTED_VALUE"""),"N")</f>
        <v>N</v>
      </c>
      <c r="F753" s="106" t="str">
        <f>IFERROR(__xludf.DUMMYFUNCTION("""COMPUTED_VALUE"""),"Alpha.Com(Pvt)Ltd")</f>
        <v>Alpha.Com(Pvt)Ltd</v>
      </c>
      <c r="G753" s="106" t="str">
        <f>IFERROR(__xludf.DUMMYFUNCTION("""COMPUTED_VALUE"""),"BE098496")</f>
        <v>BE098496</v>
      </c>
      <c r="H753" s="106" t="str">
        <f>IFERROR(__xludf.DUMMYFUNCTION("""COMPUTED_VALUE"""),"Arrange To Deliver Today / Top Urgant")</f>
        <v>Arrange To Deliver Today / Top Urgant</v>
      </c>
      <c r="I753" s="106" t="str">
        <f>IFERROR(__xludf.DUMMYFUNCTION("""COMPUTED_VALUE"""),"Colombo Metro")</f>
        <v>Colombo Metro</v>
      </c>
      <c r="J753" s="106" t="str">
        <f>IFERROR(__xludf.DUMMYFUNCTION("""COMPUTED_VALUE"""),"Returned To Branch Failed To Deliver")</f>
        <v>Returned To Branch Failed To Deliver</v>
      </c>
      <c r="K753" s="106" t="str">
        <f>IFERROR(__xludf.DUMMYFUNCTION("""COMPUTED_VALUE"""),"Customer Care")</f>
        <v>Customer Care</v>
      </c>
      <c r="L753" s="106" t="str">
        <f>IFERROR(__xludf.DUMMYFUNCTION("""COMPUTED_VALUE"""),"Informed Deepika Genzo")</f>
        <v>Informed Deepika Genzo</v>
      </c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>
      <c r="A754" s="82"/>
      <c r="B754" s="98" t="str">
        <f>IFERROR(__xludf.DUMMYFUNCTION("""COMPUTED_VALUE"""),"1030")</f>
        <v>1030</v>
      </c>
      <c r="C754" s="98" t="str">
        <f>IFERROR(__xludf.DUMMYFUNCTION("""COMPUTED_VALUE"""),"Jeni")</f>
        <v>Jeni</v>
      </c>
      <c r="D754" s="98" t="str">
        <f>IFERROR(__xludf.DUMMYFUNCTION("""COMPUTED_VALUE"""),"742747520")</f>
        <v>742747520</v>
      </c>
      <c r="E754" s="98" t="str">
        <f>IFERROR(__xludf.DUMMYFUNCTION("""COMPUTED_VALUE"""),"Y")</f>
        <v>Y</v>
      </c>
      <c r="F754" s="98" t="str">
        <f>IFERROR(__xludf.DUMMYFUNCTION("""COMPUTED_VALUE"""),"Ceylon Store")</f>
        <v>Ceylon Store</v>
      </c>
      <c r="G754" s="98" t="str">
        <f>IFERROR(__xludf.DUMMYFUNCTION("""COMPUTED_VALUE"""),"BE134651")</f>
        <v>BE134651</v>
      </c>
      <c r="H754" s="98" t="str">
        <f>IFERROR(__xludf.DUMMYFUNCTION("""COMPUTED_VALUE"""),"No Proper Details")</f>
        <v>No Proper Details</v>
      </c>
      <c r="I754" s="98" t="str">
        <f>IFERROR(__xludf.DUMMYFUNCTION("""COMPUTED_VALUE"""),"Thalawathugoda")</f>
        <v>Thalawathugoda</v>
      </c>
      <c r="J754" s="98" t="str">
        <f>IFERROR(__xludf.DUMMYFUNCTION("""COMPUTED_VALUE"""),"Received At Destination")</f>
        <v>Received At Destination</v>
      </c>
      <c r="K754" s="98" t="str">
        <f>IFERROR(__xludf.DUMMYFUNCTION("""COMPUTED_VALUE"""),"Branch Operations")</f>
        <v>Branch Operations</v>
      </c>
      <c r="L754" s="98" t="str">
        <f>IFERROR(__xludf.DUMMYFUNCTION("""COMPUTED_VALUE"""),"Done")</f>
        <v>Done</v>
      </c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>
      <c r="A755" s="82"/>
      <c r="B755" s="106" t="str">
        <f>IFERROR(__xludf.DUMMYFUNCTION("""COMPUTED_VALUE"""),"1031")</f>
        <v>1031</v>
      </c>
      <c r="C755" s="106" t="str">
        <f>IFERROR(__xludf.DUMMYFUNCTION("""COMPUTED_VALUE"""),"Umesha")</f>
        <v>Umesha</v>
      </c>
      <c r="D755" s="106" t="str">
        <f>IFERROR(__xludf.DUMMYFUNCTION("""COMPUTED_VALUE"""),"760189186")</f>
        <v>760189186</v>
      </c>
      <c r="E755" s="106" t="str">
        <f>IFERROR(__xludf.DUMMYFUNCTION("""COMPUTED_VALUE"""),"N")</f>
        <v>N</v>
      </c>
      <c r="F755" s="106" t="str">
        <f>IFERROR(__xludf.DUMMYFUNCTION("""COMPUTED_VALUE"""),"C&amp;L Markerting")</f>
        <v>C&amp;L Markerting</v>
      </c>
      <c r="G755" s="106" t="str">
        <f>IFERROR(__xludf.DUMMYFUNCTION("""COMPUTED_VALUE"""),"BE083066")</f>
        <v>BE083066</v>
      </c>
      <c r="H755" s="106" t="str">
        <f>IFERROR(__xludf.DUMMYFUNCTION("""COMPUTED_VALUE"""),"Client Want Return This Order")</f>
        <v>Client Want Return This Order</v>
      </c>
      <c r="I755" s="106" t="str">
        <f>IFERROR(__xludf.DUMMYFUNCTION("""COMPUTED_VALUE"""),"Dambulla")</f>
        <v>Dambulla</v>
      </c>
      <c r="J755" s="106" t="str">
        <f>IFERROR(__xludf.DUMMYFUNCTION("""COMPUTED_VALUE"""),"Out For Delivery")</f>
        <v>Out For Delivery</v>
      </c>
      <c r="K755" s="106" t="str">
        <f>IFERROR(__xludf.DUMMYFUNCTION("""COMPUTED_VALUE"""),"Customer Care")</f>
        <v>Customer Care</v>
      </c>
      <c r="L755" s="106" t="str">
        <f>IFERROR(__xludf.DUMMYFUNCTION("""COMPUTED_VALUE"""),"Done")</f>
        <v>Done</v>
      </c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>
      <c r="A756" s="82"/>
      <c r="B756" s="98" t="str">
        <f>IFERROR(__xludf.DUMMYFUNCTION("""COMPUTED_VALUE"""),"1032")</f>
        <v>1032</v>
      </c>
      <c r="C756" s="98" t="str">
        <f>IFERROR(__xludf.DUMMYFUNCTION("""COMPUTED_VALUE"""),"Jeni")</f>
        <v>Jeni</v>
      </c>
      <c r="D756" s="98" t="str">
        <f>IFERROR(__xludf.DUMMYFUNCTION("""COMPUTED_VALUE"""),"733226739")</f>
        <v>733226739</v>
      </c>
      <c r="E756" s="98" t="str">
        <f>IFERROR(__xludf.DUMMYFUNCTION("""COMPUTED_VALUE"""),"N")</f>
        <v>N</v>
      </c>
      <c r="F756" s="98" t="str">
        <f>IFERROR(__xludf.DUMMYFUNCTION("""COMPUTED_VALUE"""),"C&amp;L Markerting")</f>
        <v>C&amp;L Markerting</v>
      </c>
      <c r="G756" s="98" t="str">
        <f>IFERROR(__xludf.DUMMYFUNCTION("""COMPUTED_VALUE"""),"BE096306")</f>
        <v>BE096306</v>
      </c>
      <c r="H756" s="98" t="str">
        <f>IFERROR(__xludf.DUMMYFUNCTION("""COMPUTED_VALUE"""),"Asked Some Details")</f>
        <v>Asked Some Details</v>
      </c>
      <c r="I756" s="98" t="str">
        <f>IFERROR(__xludf.DUMMYFUNCTION("""COMPUTED_VALUE"""),"Kandy")</f>
        <v>Kandy</v>
      </c>
      <c r="J756" s="98" t="str">
        <f>IFERROR(__xludf.DUMMYFUNCTION("""COMPUTED_VALUE"""),"Re-Delivery")</f>
        <v>Re-Delivery</v>
      </c>
      <c r="K756" s="98" t="str">
        <f>IFERROR(__xludf.DUMMYFUNCTION("""COMPUTED_VALUE"""),"Branch Operations")</f>
        <v>Branch Operations</v>
      </c>
      <c r="L756" s="98" t="str">
        <f>IFERROR(__xludf.DUMMYFUNCTION("""COMPUTED_VALUE"""),"Number Given")</f>
        <v>Number Given</v>
      </c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>
      <c r="A757" s="82"/>
      <c r="B757" s="106" t="str">
        <f>IFERROR(__xludf.DUMMYFUNCTION("""COMPUTED_VALUE"""),"1033")</f>
        <v>1033</v>
      </c>
      <c r="C757" s="106" t="str">
        <f>IFERROR(__xludf.DUMMYFUNCTION("""COMPUTED_VALUE"""),"Malik")</f>
        <v>Malik</v>
      </c>
      <c r="D757" s="106" t="str">
        <f>IFERROR(__xludf.DUMMYFUNCTION("""COMPUTED_VALUE"""),"705815614")</f>
        <v>705815614</v>
      </c>
      <c r="E757" s="106" t="str">
        <f>IFERROR(__xludf.DUMMYFUNCTION("""COMPUTED_VALUE"""),"N")</f>
        <v>N</v>
      </c>
      <c r="F757" s="106" t="str">
        <f>IFERROR(__xludf.DUMMYFUNCTION("""COMPUTED_VALUE"""),"Neth Fashion Clothing")</f>
        <v>Neth Fashion Clothing</v>
      </c>
      <c r="G757" s="106" t="str">
        <f>IFERROR(__xludf.DUMMYFUNCTION("""COMPUTED_VALUE"""),"A4713289")</f>
        <v>A4713289</v>
      </c>
      <c r="H757" s="106" t="str">
        <f>IFERROR(__xludf.DUMMYFUNCTION("""COMPUTED_VALUE"""),"Vacancy Call/ Askto Connect Hr")</f>
        <v>Vacancy Call/ Askto Connect Hr</v>
      </c>
      <c r="I757" s="106" t="str">
        <f>IFERROR(__xludf.DUMMYFUNCTION("""COMPUTED_VALUE"""),"Mahiyanganaya")</f>
        <v>Mahiyanganaya</v>
      </c>
      <c r="J757" s="106" t="str">
        <f>IFERROR(__xludf.DUMMYFUNCTION("""COMPUTED_VALUE"""),"Out For Delivery")</f>
        <v>Out For Delivery</v>
      </c>
      <c r="K757" s="106" t="str">
        <f>IFERROR(__xludf.DUMMYFUNCTION("""COMPUTED_VALUE"""),"Customer Care")</f>
        <v>Customer Care</v>
      </c>
      <c r="L757" s="106" t="str">
        <f>IFERROR(__xludf.DUMMYFUNCTION("""COMPUTED_VALUE"""),"Informed Branch")</f>
        <v>Informed Branch</v>
      </c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>
      <c r="A758" s="82"/>
      <c r="B758" s="98" t="str">
        <f>IFERROR(__xludf.DUMMYFUNCTION("""COMPUTED_VALUE"""),"1034")</f>
        <v>1034</v>
      </c>
      <c r="C758" s="98" t="str">
        <f>IFERROR(__xludf.DUMMYFUNCTION("""COMPUTED_VALUE"""),"Mandari")</f>
        <v>Mandari</v>
      </c>
      <c r="D758" s="98" t="str">
        <f>IFERROR(__xludf.DUMMYFUNCTION("""COMPUTED_VALUE"""),"779019892")</f>
        <v>779019892</v>
      </c>
      <c r="E758" s="98" t="str">
        <f>IFERROR(__xludf.DUMMYFUNCTION("""COMPUTED_VALUE"""),"N")</f>
        <v>N</v>
      </c>
      <c r="F758" s="98" t="str">
        <f>IFERROR(__xludf.DUMMYFUNCTION("""COMPUTED_VALUE"""),"Dv Clothing")</f>
        <v>Dv Clothing</v>
      </c>
      <c r="G758" s="98" t="str">
        <f>IFERROR(__xludf.DUMMYFUNCTION("""COMPUTED_VALUE"""),"BE091724")</f>
        <v>BE091724</v>
      </c>
      <c r="H758" s="98" t="str">
        <f>IFERROR(__xludf.DUMMYFUNCTION("""COMPUTED_VALUE"""),"Avissawela Branch Number")</f>
        <v>Avissawela Branch Number</v>
      </c>
      <c r="I758" s="98" t="str">
        <f>IFERROR(__xludf.DUMMYFUNCTION("""COMPUTED_VALUE"""),"Negombo")</f>
        <v>Negombo</v>
      </c>
      <c r="J758" s="98" t="str">
        <f>IFERROR(__xludf.DUMMYFUNCTION("""COMPUTED_VALUE"""),"Out For Delivery")</f>
        <v>Out For Delivery</v>
      </c>
      <c r="K758" s="98" t="str">
        <f>IFERROR(__xludf.DUMMYFUNCTION("""COMPUTED_VALUE"""),"Customer Care")</f>
        <v>Customer Care</v>
      </c>
      <c r="L758" s="98" t="str">
        <f>IFERROR(__xludf.DUMMYFUNCTION("""COMPUTED_VALUE"""),"Informed Branch Number Via A Whatsapp")</f>
        <v>Informed Branch Number Via A Whatsapp</v>
      </c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>
      <c r="A759" s="82"/>
      <c r="B759" s="106" t="str">
        <f>IFERROR(__xludf.DUMMYFUNCTION("""COMPUTED_VALUE"""),"1035")</f>
        <v>1035</v>
      </c>
      <c r="C759" s="106" t="str">
        <f>IFERROR(__xludf.DUMMYFUNCTION("""COMPUTED_VALUE"""),"Umesha")</f>
        <v>Umesha</v>
      </c>
      <c r="D759" s="106" t="str">
        <f>IFERROR(__xludf.DUMMYFUNCTION("""COMPUTED_VALUE"""),"747434846")</f>
        <v>747434846</v>
      </c>
      <c r="E759" s="106" t="str">
        <f>IFERROR(__xludf.DUMMYFUNCTION("""COMPUTED_VALUE"""),"Y")</f>
        <v>Y</v>
      </c>
      <c r="F759" s="106" t="str">
        <f>IFERROR(__xludf.DUMMYFUNCTION("""COMPUTED_VALUE"""),"Florenza Blooms")</f>
        <v>Florenza Blooms</v>
      </c>
      <c r="G759" s="106" t="str">
        <f>IFERROR(__xludf.DUMMYFUNCTION("""COMPUTED_VALUE"""),"A4456082")</f>
        <v>A4456082</v>
      </c>
      <c r="H759" s="106" t="str">
        <f>IFERROR(__xludf.DUMMYFUNCTION("""COMPUTED_VALUE"""),"Cant Find Tracking No")</f>
        <v>Cant Find Tracking No</v>
      </c>
      <c r="I759" s="106" t="str">
        <f>IFERROR(__xludf.DUMMYFUNCTION("""COMPUTED_VALUE"""),"Ratnapura")</f>
        <v>Ratnapura</v>
      </c>
      <c r="J759" s="106" t="str">
        <f>IFERROR(__xludf.DUMMYFUNCTION("""COMPUTED_VALUE"""),"Delivered")</f>
        <v>Delivered</v>
      </c>
      <c r="K759" s="106" t="str">
        <f>IFERROR(__xludf.DUMMYFUNCTION("""COMPUTED_VALUE"""),"Customer Care")</f>
        <v>Customer Care</v>
      </c>
      <c r="L759" s="106" t="str">
        <f>IFERROR(__xludf.DUMMYFUNCTION("""COMPUTED_VALUE"""),"Info Branch")</f>
        <v>Info Branch</v>
      </c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>
      <c r="A760" s="82"/>
      <c r="B760" s="98" t="str">
        <f>IFERROR(__xludf.DUMMYFUNCTION("""COMPUTED_VALUE"""),"1036")</f>
        <v>1036</v>
      </c>
      <c r="C760" s="98" t="str">
        <f>IFERROR(__xludf.DUMMYFUNCTION("""COMPUTED_VALUE"""),"Mandari")</f>
        <v>Mandari</v>
      </c>
      <c r="D760" s="98" t="str">
        <f>IFERROR(__xludf.DUMMYFUNCTION("""COMPUTED_VALUE"""),"778694249")</f>
        <v>778694249</v>
      </c>
      <c r="E760" s="98" t="str">
        <f>IFERROR(__xludf.DUMMYFUNCTION("""COMPUTED_VALUE"""),"N")</f>
        <v>N</v>
      </c>
      <c r="F760" s="98" t="str">
        <f>IFERROR(__xludf.DUMMYFUNCTION("""COMPUTED_VALUE"""),"Uvi Cosmetics By Iresha")</f>
        <v>Uvi Cosmetics By Iresha</v>
      </c>
      <c r="G760" s="98" t="str">
        <f>IFERROR(__xludf.DUMMYFUNCTION("""COMPUTED_VALUE"""),"A3716658")</f>
        <v>A3716658</v>
      </c>
      <c r="H760" s="98" t="str">
        <f>IFERROR(__xludf.DUMMYFUNCTION("""COMPUTED_VALUE"""),"English Call")</f>
        <v>English Call</v>
      </c>
      <c r="I760" s="98" t="str">
        <f>IFERROR(__xludf.DUMMYFUNCTION("""COMPUTED_VALUE"""),"Kahatagasdigiliya")</f>
        <v>Kahatagasdigiliya</v>
      </c>
      <c r="J760" s="98" t="str">
        <f>IFERROR(__xludf.DUMMYFUNCTION("""COMPUTED_VALUE"""),"Returned To Branch Rescheduled")</f>
        <v>Returned To Branch Rescheduled</v>
      </c>
      <c r="K760" s="98" t="str">
        <f>IFERROR(__xludf.DUMMYFUNCTION("""COMPUTED_VALUE"""),"Branch Operations")</f>
        <v>Branch Operations</v>
      </c>
      <c r="L760" s="98" t="str">
        <f>IFERROR(__xludf.DUMMYFUNCTION("""COMPUTED_VALUE"""),"Ask To Call Back With Proper Details")</f>
        <v>Ask To Call Back With Proper Details</v>
      </c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>
      <c r="A761" s="82"/>
      <c r="B761" s="106" t="str">
        <f>IFERROR(__xludf.DUMMYFUNCTION("""COMPUTED_VALUE"""),"1037")</f>
        <v>1037</v>
      </c>
      <c r="C761" s="106" t="str">
        <f>IFERROR(__xludf.DUMMYFUNCTION("""COMPUTED_VALUE"""),"Malik")</f>
        <v>Malik</v>
      </c>
      <c r="D761" s="106" t="str">
        <f>IFERROR(__xludf.DUMMYFUNCTION("""COMPUTED_VALUE"""),"772853693")</f>
        <v>772853693</v>
      </c>
      <c r="E761" s="106" t="str">
        <f>IFERROR(__xludf.DUMMYFUNCTION("""COMPUTED_VALUE"""),"Y")</f>
        <v>Y</v>
      </c>
      <c r="F761" s="106" t="str">
        <f>IFERROR(__xludf.DUMMYFUNCTION("""COMPUTED_VALUE"""),"Miraci Holdings")</f>
        <v>Miraci Holdings</v>
      </c>
      <c r="G761" s="106" t="str">
        <f>IFERROR(__xludf.DUMMYFUNCTION("""COMPUTED_VALUE"""),"BE094811")</f>
        <v>BE094811</v>
      </c>
      <c r="H761" s="106" t="str">
        <f>IFERROR(__xludf.DUMMYFUNCTION("""COMPUTED_VALUE"""),"Ask Nilesha")</f>
        <v>Ask Nilesha</v>
      </c>
      <c r="I761" s="106" t="str">
        <f>IFERROR(__xludf.DUMMYFUNCTION("""COMPUTED_VALUE"""),"Kandy")</f>
        <v>Kandy</v>
      </c>
      <c r="J761" s="106" t="str">
        <f>IFERROR(__xludf.DUMMYFUNCTION("""COMPUTED_VALUE"""),"Received At Destination")</f>
        <v>Received At Destination</v>
      </c>
      <c r="K761" s="106" t="str">
        <f>IFERROR(__xludf.DUMMYFUNCTION("""COMPUTED_VALUE"""),"Branch Operations")</f>
        <v>Branch Operations</v>
      </c>
      <c r="L761" s="106" t="str">
        <f>IFERROR(__xludf.DUMMYFUNCTION("""COMPUTED_VALUE"""),"Done")</f>
        <v>Done</v>
      </c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>
      <c r="A762" s="82"/>
      <c r="B762" s="98" t="str">
        <f>IFERROR(__xludf.DUMMYFUNCTION("""COMPUTED_VALUE"""),"1038")</f>
        <v>1038</v>
      </c>
      <c r="C762" s="98" t="str">
        <f>IFERROR(__xludf.DUMMYFUNCTION("""COMPUTED_VALUE"""),"Umesha")</f>
        <v>Umesha</v>
      </c>
      <c r="D762" s="98" t="str">
        <f>IFERROR(__xludf.DUMMYFUNCTION("""COMPUTED_VALUE"""),"751580385")</f>
        <v>751580385</v>
      </c>
      <c r="E762" s="98" t="str">
        <f>IFERROR(__xludf.DUMMYFUNCTION("""COMPUTED_VALUE"""),"Y")</f>
        <v>Y</v>
      </c>
      <c r="F762" s="98" t="str">
        <f>IFERROR(__xludf.DUMMYFUNCTION("""COMPUTED_VALUE"""),"Ceylon Store")</f>
        <v>Ceylon Store</v>
      </c>
      <c r="G762" s="98" t="str">
        <f>IFERROR(__xludf.DUMMYFUNCTION("""COMPUTED_VALUE"""),"BA764795")</f>
        <v>BA764795</v>
      </c>
      <c r="H762" s="98" t="str">
        <f>IFERROR(__xludf.DUMMYFUNCTION("""COMPUTED_VALUE"""),"Order Status")</f>
        <v>Order Status</v>
      </c>
      <c r="I762" s="98" t="str">
        <f>IFERROR(__xludf.DUMMYFUNCTION("""COMPUTED_VALUE"""),"Homagama")</f>
        <v>Homagama</v>
      </c>
      <c r="J762" s="98" t="str">
        <f>IFERROR(__xludf.DUMMYFUNCTION("""COMPUTED_VALUE"""),"Received At Destination")</f>
        <v>Received At Destination</v>
      </c>
      <c r="K762" s="98" t="str">
        <f>IFERROR(__xludf.DUMMYFUNCTION("""COMPUTED_VALUE"""),"Sales")</f>
        <v>Sales</v>
      </c>
      <c r="L762" s="98" t="str">
        <f>IFERROR(__xludf.DUMMYFUNCTION("""COMPUTED_VALUE"""),"Informed Branch")</f>
        <v>Informed Branch</v>
      </c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>
      <c r="A763" s="82"/>
      <c r="B763" s="106" t="str">
        <f>IFERROR(__xludf.DUMMYFUNCTION("""COMPUTED_VALUE"""),"1039")</f>
        <v>1039</v>
      </c>
      <c r="C763" s="106" t="str">
        <f>IFERROR(__xludf.DUMMYFUNCTION("""COMPUTED_VALUE"""),"Umesha")</f>
        <v>Umesha</v>
      </c>
      <c r="D763" s="106" t="str">
        <f>IFERROR(__xludf.DUMMYFUNCTION("""COMPUTED_VALUE"""),"778978202")</f>
        <v>778978202</v>
      </c>
      <c r="E763" s="106" t="str">
        <f>IFERROR(__xludf.DUMMYFUNCTION("""COMPUTED_VALUE"""),"Y")</f>
        <v>Y</v>
      </c>
      <c r="F763" s="106" t="str">
        <f>IFERROR(__xludf.DUMMYFUNCTION("""COMPUTED_VALUE"""),"Veerasundara")</f>
        <v>Veerasundara</v>
      </c>
      <c r="G763" s="106" t="str">
        <f>IFERROR(__xludf.DUMMYFUNCTION("""COMPUTED_VALUE"""),"BE075435")</f>
        <v>BE075435</v>
      </c>
      <c r="H763" s="106" t="str">
        <f>IFERROR(__xludf.DUMMYFUNCTION("""COMPUTED_VALUE"""),"Urgent Return Package")</f>
        <v>Urgent Return Package</v>
      </c>
      <c r="I763" s="106" t="str">
        <f>IFERROR(__xludf.DUMMYFUNCTION("""COMPUTED_VALUE"""),"Rajagiriya")</f>
        <v>Rajagiriya</v>
      </c>
      <c r="J763" s="106" t="str">
        <f>IFERROR(__xludf.DUMMYFUNCTION("""COMPUTED_VALUE"""),"Received At Destination")</f>
        <v>Received At Destination</v>
      </c>
      <c r="K763" s="106" t="str">
        <f>IFERROR(__xludf.DUMMYFUNCTION("""COMPUTED_VALUE"""),"Branch Operations")</f>
        <v>Branch Operations</v>
      </c>
      <c r="L763" s="106" t="str">
        <f>IFERROR(__xludf.DUMMYFUNCTION("""COMPUTED_VALUE"""),"Call Transfer Jeni")</f>
        <v>Call Transfer Jeni</v>
      </c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>
      <c r="A764" s="82"/>
      <c r="B764" s="98" t="str">
        <f>IFERROR(__xludf.DUMMYFUNCTION("""COMPUTED_VALUE"""),"1040")</f>
        <v>1040</v>
      </c>
      <c r="C764" s="98" t="str">
        <f>IFERROR(__xludf.DUMMYFUNCTION("""COMPUTED_VALUE"""),"Lakshani")</f>
        <v>Lakshani</v>
      </c>
      <c r="D764" s="98" t="str">
        <f>IFERROR(__xludf.DUMMYFUNCTION("""COMPUTED_VALUE"""),"741693627")</f>
        <v>741693627</v>
      </c>
      <c r="E764" s="98" t="str">
        <f>IFERROR(__xludf.DUMMYFUNCTION("""COMPUTED_VALUE"""),"Y")</f>
        <v>Y</v>
      </c>
      <c r="F764" s="98" t="str">
        <f>IFERROR(__xludf.DUMMYFUNCTION("""COMPUTED_VALUE"""),"Dolly'Fashion")</f>
        <v>Dolly'Fashion</v>
      </c>
      <c r="G764" s="98" t="str">
        <f>IFERROR(__xludf.DUMMYFUNCTION("""COMPUTED_VALUE"""),"A4622607")</f>
        <v>A4622607</v>
      </c>
      <c r="H764" s="98" t="str">
        <f>IFERROR(__xludf.DUMMYFUNCTION("""COMPUTED_VALUE"""),"Metro Branch Number")</f>
        <v>Metro Branch Number</v>
      </c>
      <c r="I764" s="98" t="str">
        <f>IFERROR(__xludf.DUMMYFUNCTION("""COMPUTED_VALUE"""),"Wattala")</f>
        <v>Wattala</v>
      </c>
      <c r="J764" s="98" t="str">
        <f>IFERROR(__xludf.DUMMYFUNCTION("""COMPUTED_VALUE"""),"Returned To Branch Failed To Deliver")</f>
        <v>Returned To Branch Failed To Deliver</v>
      </c>
      <c r="K764" s="98" t="str">
        <f>IFERROR(__xludf.DUMMYFUNCTION("""COMPUTED_VALUE"""),"Branch Operations")</f>
        <v>Branch Operations</v>
      </c>
      <c r="L764" s="98" t="str">
        <f>IFERROR(__xludf.DUMMYFUNCTION("""COMPUTED_VALUE"""),"Given No")</f>
        <v>Given No</v>
      </c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>
      <c r="A765" s="82"/>
      <c r="B765" s="106" t="str">
        <f>IFERROR(__xludf.DUMMYFUNCTION("""COMPUTED_VALUE"""),"1041")</f>
        <v>1041</v>
      </c>
      <c r="C765" s="106" t="str">
        <f>IFERROR(__xludf.DUMMYFUNCTION("""COMPUTED_VALUE"""),"Lakshani")</f>
        <v>Lakshani</v>
      </c>
      <c r="D765" s="106" t="str">
        <f>IFERROR(__xludf.DUMMYFUNCTION("""COMPUTED_VALUE"""),"757069733")</f>
        <v>757069733</v>
      </c>
      <c r="E765" s="106" t="str">
        <f>IFERROR(__xludf.DUMMYFUNCTION("""COMPUTED_VALUE"""),"N")</f>
        <v>N</v>
      </c>
      <c r="F765" s="106" t="str">
        <f>IFERROR(__xludf.DUMMYFUNCTION("""COMPUTED_VALUE"""),"Neha Skin")</f>
        <v>Neha Skin</v>
      </c>
      <c r="G765" s="106" t="str">
        <f>IFERROR(__xludf.DUMMYFUNCTION("""COMPUTED_VALUE"""),"WD246578")</f>
        <v>WD246578</v>
      </c>
      <c r="H765" s="106" t="str">
        <f>IFERROR(__xludf.DUMMYFUNCTION("""COMPUTED_VALUE"""),"Gampha Branch Number")</f>
        <v>Gampha Branch Number</v>
      </c>
      <c r="I765" s="106" t="str">
        <f>IFERROR(__xludf.DUMMYFUNCTION("""COMPUTED_VALUE"""),"Pilimathlawa")</f>
        <v>Pilimathlawa</v>
      </c>
      <c r="J765" s="106" t="str">
        <f>IFERROR(__xludf.DUMMYFUNCTION("""COMPUTED_VALUE"""),"Returned To Branch Failed To Deliver")</f>
        <v>Returned To Branch Failed To Deliver</v>
      </c>
      <c r="K765" s="106" t="str">
        <f>IFERROR(__xludf.DUMMYFUNCTION("""COMPUTED_VALUE"""),"Branch Operations")</f>
        <v>Branch Operations</v>
      </c>
      <c r="L765" s="106" t="str">
        <f>IFERROR(__xludf.DUMMYFUNCTION("""COMPUTED_VALUE"""),"Done")</f>
        <v>Done</v>
      </c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>
      <c r="A766" s="82"/>
      <c r="B766" s="98" t="str">
        <f>IFERROR(__xludf.DUMMYFUNCTION("""COMPUTED_VALUE"""),"1042")</f>
        <v>1042</v>
      </c>
      <c r="C766" s="98" t="str">
        <f>IFERROR(__xludf.DUMMYFUNCTION("""COMPUTED_VALUE"""),"Malik")</f>
        <v>Malik</v>
      </c>
      <c r="D766" s="98" t="str">
        <f>IFERROR(__xludf.DUMMYFUNCTION("""COMPUTED_VALUE"""),"768804852")</f>
        <v>768804852</v>
      </c>
      <c r="E766" s="98" t="str">
        <f>IFERROR(__xludf.DUMMYFUNCTION("""COMPUTED_VALUE"""),"N")</f>
        <v>N</v>
      </c>
      <c r="F766" s="98" t="str">
        <f>IFERROR(__xludf.DUMMYFUNCTION("""COMPUTED_VALUE"""),"Ziponlilne")</f>
        <v>Ziponlilne</v>
      </c>
      <c r="G766" s="98" t="str">
        <f>IFERROR(__xludf.DUMMYFUNCTION("""COMPUTED_VALUE"""),"BA770261")</f>
        <v>BA770261</v>
      </c>
      <c r="H766" s="98" t="str">
        <f>IFERROR(__xludf.DUMMYFUNCTION("""COMPUTED_VALUE"""),"Some Details /Delivery")</f>
        <v>Some Details /Delivery</v>
      </c>
      <c r="I766" s="98" t="str">
        <f>IFERROR(__xludf.DUMMYFUNCTION("""COMPUTED_VALUE"""),"Nittambuwa")</f>
        <v>Nittambuwa</v>
      </c>
      <c r="J766" s="98" t="str">
        <f>IFERROR(__xludf.DUMMYFUNCTION("""COMPUTED_VALUE"""),"Returned To Branch Failed To Deliver")</f>
        <v>Returned To Branch Failed To Deliver</v>
      </c>
      <c r="K766" s="98" t="str">
        <f>IFERROR(__xludf.DUMMYFUNCTION("""COMPUTED_VALUE"""),"Branch Operations")</f>
        <v>Branch Operations</v>
      </c>
      <c r="L766" s="98" t="str">
        <f>IFERROR(__xludf.DUMMYFUNCTION("""COMPUTED_VALUE"""),"Informed Genzo Team")</f>
        <v>Informed Genzo Team</v>
      </c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>
      <c r="A767" s="82"/>
      <c r="B767" s="106" t="str">
        <f>IFERROR(__xludf.DUMMYFUNCTION("""COMPUTED_VALUE"""),"1043")</f>
        <v>1043</v>
      </c>
      <c r="C767" s="106" t="str">
        <f>IFERROR(__xludf.DUMMYFUNCTION("""COMPUTED_VALUE"""),"Mandari")</f>
        <v>Mandari</v>
      </c>
      <c r="D767" s="106" t="str">
        <f>IFERROR(__xludf.DUMMYFUNCTION("""COMPUTED_VALUE"""),"773770294")</f>
        <v>773770294</v>
      </c>
      <c r="E767" s="106" t="str">
        <f>IFERROR(__xludf.DUMMYFUNCTION("""COMPUTED_VALUE"""),"N")</f>
        <v>N</v>
      </c>
      <c r="F767" s="106" t="str">
        <f>IFERROR(__xludf.DUMMYFUNCTION("""COMPUTED_VALUE"""),"Ceylon Ayura")</f>
        <v>Ceylon Ayura</v>
      </c>
      <c r="G767" s="106" t="str">
        <f>IFERROR(__xludf.DUMMYFUNCTION("""COMPUTED_VALUE"""),"BE104870")</f>
        <v>BE104870</v>
      </c>
      <c r="H767" s="106" t="str">
        <f>IFERROR(__xludf.DUMMYFUNCTION("""COMPUTED_VALUE"""),"Some Details")</f>
        <v>Some Details</v>
      </c>
      <c r="I767" s="106" t="str">
        <f>IFERROR(__xludf.DUMMYFUNCTION("""COMPUTED_VALUE"""),"Colombo Metro")</f>
        <v>Colombo Metro</v>
      </c>
      <c r="J767" s="106" t="str">
        <f>IFERROR(__xludf.DUMMYFUNCTION("""COMPUTED_VALUE"""),"Out For Delivery")</f>
        <v>Out For Delivery</v>
      </c>
      <c r="K767" s="106" t="str">
        <f>IFERROR(__xludf.DUMMYFUNCTION("""COMPUTED_VALUE"""),"Branch Operations")</f>
        <v>Branch Operations</v>
      </c>
      <c r="L767" s="106" t="str">
        <f>IFERROR(__xludf.DUMMYFUNCTION("""COMPUTED_VALUE"""),"Done")</f>
        <v>Done</v>
      </c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>
      <c r="A768" s="82"/>
      <c r="B768" s="98" t="str">
        <f>IFERROR(__xludf.DUMMYFUNCTION("""COMPUTED_VALUE"""),"1044")</f>
        <v>1044</v>
      </c>
      <c r="C768" s="98" t="str">
        <f>IFERROR(__xludf.DUMMYFUNCTION("""COMPUTED_VALUE"""),"Jeni")</f>
        <v>Jeni</v>
      </c>
      <c r="D768" s="98" t="str">
        <f>IFERROR(__xludf.DUMMYFUNCTION("""COMPUTED_VALUE"""),"760486453")</f>
        <v>760486453</v>
      </c>
      <c r="E768" s="98" t="str">
        <f>IFERROR(__xludf.DUMMYFUNCTION("""COMPUTED_VALUE"""),"N")</f>
        <v>N</v>
      </c>
      <c r="F768" s="108" t="str">
        <f>IFERROR(__xludf.DUMMYFUNCTION("""COMPUTED_VALUE"""),"Netwave.Lk")</f>
        <v>Netwave.Lk</v>
      </c>
      <c r="G768" s="98" t="str">
        <f>IFERROR(__xludf.DUMMYFUNCTION("""COMPUTED_VALUE"""),"BE108403")</f>
        <v>BE108403</v>
      </c>
      <c r="H768" s="98" t="str">
        <f>IFERROR(__xludf.DUMMYFUNCTION("""COMPUTED_VALUE"""),"Arrange The Package")</f>
        <v>Arrange The Package</v>
      </c>
      <c r="I768" s="98" t="str">
        <f>IFERROR(__xludf.DUMMYFUNCTION("""COMPUTED_VALUE"""),"Kahawatta")</f>
        <v>Kahawatta</v>
      </c>
      <c r="J768" s="98" t="str">
        <f>IFERROR(__xludf.DUMMYFUNCTION("""COMPUTED_VALUE"""),"Returned To Branch Failed To Deliver")</f>
        <v>Returned To Branch Failed To Deliver</v>
      </c>
      <c r="K768" s="98" t="str">
        <f>IFERROR(__xludf.DUMMYFUNCTION("""COMPUTED_VALUE"""),"Customer Care")</f>
        <v>Customer Care</v>
      </c>
      <c r="L768" s="98" t="str">
        <f>IFERROR(__xludf.DUMMYFUNCTION("""COMPUTED_VALUE"""),"Ask To Call Back With Proper Details")</f>
        <v>Ask To Call Back With Proper Details</v>
      </c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>
      <c r="A769" s="82"/>
      <c r="B769" s="106" t="str">
        <f>IFERROR(__xludf.DUMMYFUNCTION("""COMPUTED_VALUE"""),"1045")</f>
        <v>1045</v>
      </c>
      <c r="C769" s="106" t="str">
        <f>IFERROR(__xludf.DUMMYFUNCTION("""COMPUTED_VALUE"""),"Malik")</f>
        <v>Malik</v>
      </c>
      <c r="D769" s="106" t="str">
        <f>IFERROR(__xludf.DUMMYFUNCTION("""COMPUTED_VALUE"""),"763770209")</f>
        <v>763770209</v>
      </c>
      <c r="E769" s="106" t="str">
        <f>IFERROR(__xludf.DUMMYFUNCTION("""COMPUTED_VALUE"""),"Y")</f>
        <v>Y</v>
      </c>
      <c r="F769" s="106" t="str">
        <f>IFERROR(__xludf.DUMMYFUNCTION("""COMPUTED_VALUE"""),"Faith Store")</f>
        <v>Faith Store</v>
      </c>
      <c r="G769" s="106" t="str">
        <f>IFERROR(__xludf.DUMMYFUNCTION("""COMPUTED_VALUE"""),"BA751144")</f>
        <v>BA751144</v>
      </c>
      <c r="H769" s="106" t="str">
        <f>IFERROR(__xludf.DUMMYFUNCTION("""COMPUTED_VALUE"""),"Re Deliver")</f>
        <v>Re Deliver</v>
      </c>
      <c r="I769" s="106" t="str">
        <f>IFERROR(__xludf.DUMMYFUNCTION("""COMPUTED_VALUE"""),"Thalawathugoda")</f>
        <v>Thalawathugoda</v>
      </c>
      <c r="J769" s="106" t="str">
        <f>IFERROR(__xludf.DUMMYFUNCTION("""COMPUTED_VALUE"""),"Returned To Branch Failed To Deliver")</f>
        <v>Returned To Branch Failed To Deliver</v>
      </c>
      <c r="K769" s="106" t="str">
        <f>IFERROR(__xludf.DUMMYFUNCTION("""COMPUTED_VALUE"""),"Branch Operations")</f>
        <v>Branch Operations</v>
      </c>
      <c r="L769" s="106" t="str">
        <f>IFERROR(__xludf.DUMMYFUNCTION("""COMPUTED_VALUE"""),"Disconected The Line")</f>
        <v>Disconected The Line</v>
      </c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>
      <c r="A770" s="82"/>
      <c r="B770" s="98" t="str">
        <f>IFERROR(__xludf.DUMMYFUNCTION("""COMPUTED_VALUE"""),"1046")</f>
        <v>1046</v>
      </c>
      <c r="C770" s="98" t="str">
        <f>IFERROR(__xludf.DUMMYFUNCTION("""COMPUTED_VALUE"""),"Umesha")</f>
        <v>Umesha</v>
      </c>
      <c r="D770" s="98" t="str">
        <f>IFERROR(__xludf.DUMMYFUNCTION("""COMPUTED_VALUE"""),"773896655")</f>
        <v>773896655</v>
      </c>
      <c r="E770" s="98" t="str">
        <f>IFERROR(__xludf.DUMMYFUNCTION("""COMPUTED_VALUE"""),"Y")</f>
        <v>Y</v>
      </c>
      <c r="F770" s="98" t="str">
        <f>IFERROR(__xludf.DUMMYFUNCTION("""COMPUTED_VALUE"""),"Tiny Tush Diapers")</f>
        <v>Tiny Tush Diapers</v>
      </c>
      <c r="G770" s="98" t="str">
        <f>IFERROR(__xludf.DUMMYFUNCTION("""COMPUTED_VALUE"""),"A4202033")</f>
        <v>A4202033</v>
      </c>
      <c r="H770" s="98" t="str">
        <f>IFERROR(__xludf.DUMMYFUNCTION("""COMPUTED_VALUE"""),"Req Hr Department")</f>
        <v>Req Hr Department</v>
      </c>
      <c r="I770" s="98" t="str">
        <f>IFERROR(__xludf.DUMMYFUNCTION("""COMPUTED_VALUE"""),"Nittambuwa")</f>
        <v>Nittambuwa</v>
      </c>
      <c r="J770" s="98" t="str">
        <f>IFERROR(__xludf.DUMMYFUNCTION("""COMPUTED_VALUE"""),"Returned To Branch Rescheduled")</f>
        <v>Returned To Branch Rescheduled</v>
      </c>
      <c r="K770" s="98" t="str">
        <f>IFERROR(__xludf.DUMMYFUNCTION("""COMPUTED_VALUE"""),"Customer Care")</f>
        <v>Customer Care</v>
      </c>
      <c r="L770" s="98" t="str">
        <f>IFERROR(__xludf.DUMMYFUNCTION("""COMPUTED_VALUE"""),"Marketing Department Number Given")</f>
        <v>Marketing Department Number Given</v>
      </c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>
      <c r="A771" s="82"/>
      <c r="B771" s="106" t="str">
        <f>IFERROR(__xludf.DUMMYFUNCTION("""COMPUTED_VALUE"""),"1047")</f>
        <v>1047</v>
      </c>
      <c r="C771" s="106" t="str">
        <f>IFERROR(__xludf.DUMMYFUNCTION("""COMPUTED_VALUE"""),"Jeni")</f>
        <v>Jeni</v>
      </c>
      <c r="D771" s="106" t="str">
        <f>IFERROR(__xludf.DUMMYFUNCTION("""COMPUTED_VALUE"""),"765462634")</f>
        <v>765462634</v>
      </c>
      <c r="E771" s="106" t="str">
        <f>IFERROR(__xludf.DUMMYFUNCTION("""COMPUTED_VALUE"""),"N")</f>
        <v>N</v>
      </c>
      <c r="F771" s="106" t="str">
        <f>IFERROR(__xludf.DUMMYFUNCTION("""COMPUTED_VALUE"""),"Camera Lanka.Lk")</f>
        <v>Camera Lanka.Lk</v>
      </c>
      <c r="G771" s="106" t="str">
        <f>IFERROR(__xludf.DUMMYFUNCTION("""COMPUTED_VALUE"""),"BE015822")</f>
        <v>BE015822</v>
      </c>
      <c r="H771" s="106" t="str">
        <f>IFERROR(__xludf.DUMMYFUNCTION("""COMPUTED_VALUE"""),"Order Status")</f>
        <v>Order Status</v>
      </c>
      <c r="I771" s="106" t="str">
        <f>IFERROR(__xludf.DUMMYFUNCTION("""COMPUTED_VALUE"""),"Rajagiriya")</f>
        <v>Rajagiriya</v>
      </c>
      <c r="J771" s="106" t="str">
        <f>IFERROR(__xludf.DUMMYFUNCTION("""COMPUTED_VALUE"""),"Out For Delivery")</f>
        <v>Out For Delivery</v>
      </c>
      <c r="K771" s="106" t="str">
        <f>IFERROR(__xludf.DUMMYFUNCTION("""COMPUTED_VALUE"""),"Customer Care")</f>
        <v>Customer Care</v>
      </c>
      <c r="L771" s="106" t="str">
        <f>IFERROR(__xludf.DUMMYFUNCTION("""COMPUTED_VALUE"""),"Informed")</f>
        <v>Informed</v>
      </c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>
      <c r="A772" s="82"/>
      <c r="B772" s="98" t="str">
        <f>IFERROR(__xludf.DUMMYFUNCTION("""COMPUTED_VALUE"""),"1048")</f>
        <v>1048</v>
      </c>
      <c r="C772" s="98" t="str">
        <f>IFERROR(__xludf.DUMMYFUNCTION("""COMPUTED_VALUE"""),"Umesha")</f>
        <v>Umesha</v>
      </c>
      <c r="D772" s="98" t="str">
        <f>IFERROR(__xludf.DUMMYFUNCTION("""COMPUTED_VALUE"""),"772131099")</f>
        <v>772131099</v>
      </c>
      <c r="E772" s="98" t="str">
        <f>IFERROR(__xludf.DUMMYFUNCTION("""COMPUTED_VALUE"""),"Y")</f>
        <v>Y</v>
      </c>
      <c r="F772" s="98" t="str">
        <f>IFERROR(__xludf.DUMMYFUNCTION("""COMPUTED_VALUE"""),"Ceyshopz")</f>
        <v>Ceyshopz</v>
      </c>
      <c r="G772" s="98" t="str">
        <f>IFERROR(__xludf.DUMMYFUNCTION("""COMPUTED_VALUE"""),"BE083483")</f>
        <v>BE083483</v>
      </c>
      <c r="H772" s="98" t="str">
        <f>IFERROR(__xludf.DUMMYFUNCTION("""COMPUTED_VALUE"""),"New Registration")</f>
        <v>New Registration</v>
      </c>
      <c r="I772" s="98" t="str">
        <f>IFERROR(__xludf.DUMMYFUNCTION("""COMPUTED_VALUE"""),"Kandy")</f>
        <v>Kandy</v>
      </c>
      <c r="J772" s="98" t="str">
        <f>IFERROR(__xludf.DUMMYFUNCTION("""COMPUTED_VALUE"""),"Returned To Branch Rescheduled")</f>
        <v>Returned To Branch Rescheduled</v>
      </c>
      <c r="K772" s="98" t="str">
        <f>IFERROR(__xludf.DUMMYFUNCTION("""COMPUTED_VALUE"""),"Branch Operations")</f>
        <v>Branch Operations</v>
      </c>
      <c r="L772" s="98" t="str">
        <f>IFERROR(__xludf.DUMMYFUNCTION("""COMPUTED_VALUE"""),"Informed Genzo Team")</f>
        <v>Informed Genzo Team</v>
      </c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>
      <c r="A773" s="82"/>
      <c r="B773" s="106" t="str">
        <f>IFERROR(__xludf.DUMMYFUNCTION("""COMPUTED_VALUE"""),"1049")</f>
        <v>1049</v>
      </c>
      <c r="C773" s="106" t="str">
        <f>IFERROR(__xludf.DUMMYFUNCTION("""COMPUTED_VALUE"""),"Malik")</f>
        <v>Malik</v>
      </c>
      <c r="D773" s="106" t="str">
        <f>IFERROR(__xludf.DUMMYFUNCTION("""COMPUTED_VALUE"""),"750941179")</f>
        <v>750941179</v>
      </c>
      <c r="E773" s="106" t="str">
        <f>IFERROR(__xludf.DUMMYFUNCTION("""COMPUTED_VALUE"""),"N")</f>
        <v>N</v>
      </c>
      <c r="F773" s="106" t="str">
        <f>IFERROR(__xludf.DUMMYFUNCTION("""COMPUTED_VALUE"""),"Ziponlilne")</f>
        <v>Ziponlilne</v>
      </c>
      <c r="G773" s="106" t="str">
        <f>IFERROR(__xludf.DUMMYFUNCTION("""COMPUTED_VALUE"""),"BE105042")</f>
        <v>BE105042</v>
      </c>
      <c r="H773" s="106" t="str">
        <f>IFERROR(__xludf.DUMMYFUNCTION("""COMPUTED_VALUE"""),"Re Deliver Tomorrow")</f>
        <v>Re Deliver Tomorrow</v>
      </c>
      <c r="I773" s="106" t="str">
        <f>IFERROR(__xludf.DUMMYFUNCTION("""COMPUTED_VALUE"""),"Pilimathlawa")</f>
        <v>Pilimathlawa</v>
      </c>
      <c r="J773" s="106" t="str">
        <f>IFERROR(__xludf.DUMMYFUNCTION("""COMPUTED_VALUE"""),"Dispatched To Destination")</f>
        <v>Dispatched To Destination</v>
      </c>
      <c r="K773" s="106" t="str">
        <f>IFERROR(__xludf.DUMMYFUNCTION("""COMPUTED_VALUE"""),"Customer Care")</f>
        <v>Customer Care</v>
      </c>
      <c r="L773" s="106" t="str">
        <f>IFERROR(__xludf.DUMMYFUNCTION("""COMPUTED_VALUE"""),"Call Hold")</f>
        <v>Call Hold</v>
      </c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>
      <c r="A774" s="82"/>
      <c r="B774" s="98" t="str">
        <f>IFERROR(__xludf.DUMMYFUNCTION("""COMPUTED_VALUE"""),"1050")</f>
        <v>1050</v>
      </c>
      <c r="C774" s="98" t="str">
        <f>IFERROR(__xludf.DUMMYFUNCTION("""COMPUTED_VALUE"""),"Malik")</f>
        <v>Malik</v>
      </c>
      <c r="D774" s="98" t="str">
        <f>IFERROR(__xludf.DUMMYFUNCTION("""COMPUTED_VALUE"""),"771744713")</f>
        <v>771744713</v>
      </c>
      <c r="E774" s="98" t="str">
        <f>IFERROR(__xludf.DUMMYFUNCTION("""COMPUTED_VALUE"""),"N")</f>
        <v>N</v>
      </c>
      <c r="F774" s="98" t="str">
        <f>IFERROR(__xludf.DUMMYFUNCTION("""COMPUTED_VALUE"""),"Miraci Holdings")</f>
        <v>Miraci Holdings</v>
      </c>
      <c r="G774" s="98" t="str">
        <f>IFERROR(__xludf.DUMMYFUNCTION("""COMPUTED_VALUE"""),"A4525771 ")</f>
        <v>A4525771 </v>
      </c>
      <c r="H774" s="98" t="str">
        <f>IFERROR(__xludf.DUMMYFUNCTION("""COMPUTED_VALUE"""),"Arrange To Deliver Today")</f>
        <v>Arrange To Deliver Today</v>
      </c>
      <c r="I774" s="98" t="str">
        <f>IFERROR(__xludf.DUMMYFUNCTION("""COMPUTED_VALUE"""),"Digana")</f>
        <v>Digana</v>
      </c>
      <c r="J774" s="98" t="str">
        <f>IFERROR(__xludf.DUMMYFUNCTION("""COMPUTED_VALUE"""),"Out For Delivery")</f>
        <v>Out For Delivery</v>
      </c>
      <c r="K774" s="98" t="str">
        <f>IFERROR(__xludf.DUMMYFUNCTION("""COMPUTED_VALUE"""),"Branch Operations")</f>
        <v>Branch Operations</v>
      </c>
      <c r="L774" s="98" t="str">
        <f>IFERROR(__xludf.DUMMYFUNCTION("""COMPUTED_VALUE"""),"Done")</f>
        <v>Done</v>
      </c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>
      <c r="A775" s="82"/>
      <c r="B775" s="106" t="str">
        <f>IFERROR(__xludf.DUMMYFUNCTION("""COMPUTED_VALUE"""),"1051")</f>
        <v>1051</v>
      </c>
      <c r="C775" s="106" t="str">
        <f>IFERROR(__xludf.DUMMYFUNCTION("""COMPUTED_VALUE"""),"Jeni")</f>
        <v>Jeni</v>
      </c>
      <c r="D775" s="106" t="str">
        <f>IFERROR(__xludf.DUMMYFUNCTION("""COMPUTED_VALUE"""),"765597071")</f>
        <v>765597071</v>
      </c>
      <c r="E775" s="106" t="str">
        <f>IFERROR(__xludf.DUMMYFUNCTION("""COMPUTED_VALUE"""),"N")</f>
        <v>N</v>
      </c>
      <c r="F775" s="106" t="str">
        <f>IFERROR(__xludf.DUMMYFUNCTION("""COMPUTED_VALUE"""),"Expro Dtf Solution")</f>
        <v>Expro Dtf Solution</v>
      </c>
      <c r="G775" s="106" t="str">
        <f>IFERROR(__xludf.DUMMYFUNCTION("""COMPUTED_VALUE"""),"BE081097")</f>
        <v>BE081097</v>
      </c>
      <c r="H775" s="106" t="str">
        <f>IFERROR(__xludf.DUMMYFUNCTION("""COMPUTED_VALUE"""),"No Proper Details")</f>
        <v>No Proper Details</v>
      </c>
      <c r="I775" s="106" t="str">
        <f>IFERROR(__xludf.DUMMYFUNCTION("""COMPUTED_VALUE"""),"Piliyandala")</f>
        <v>Piliyandala</v>
      </c>
      <c r="J775" s="106" t="str">
        <f>IFERROR(__xludf.DUMMYFUNCTION("""COMPUTED_VALUE"""),"Returned To Client")</f>
        <v>Returned To Client</v>
      </c>
      <c r="K775" s="106" t="str">
        <f>IFERROR(__xludf.DUMMYFUNCTION("""COMPUTED_VALUE"""),"Customer Care")</f>
        <v>Customer Care</v>
      </c>
      <c r="L775" s="106" t="str">
        <f>IFERROR(__xludf.DUMMYFUNCTION("""COMPUTED_VALUE"""),"Informed Cline")</f>
        <v>Informed Cline</v>
      </c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>
      <c r="A776" s="82"/>
      <c r="B776" s="98" t="str">
        <f>IFERROR(__xludf.DUMMYFUNCTION("""COMPUTED_VALUE"""),"1052")</f>
        <v>1052</v>
      </c>
      <c r="C776" s="98" t="str">
        <f>IFERROR(__xludf.DUMMYFUNCTION("""COMPUTED_VALUE"""),"Jeni")</f>
        <v>Jeni</v>
      </c>
      <c r="D776" s="98" t="str">
        <f>IFERROR(__xludf.DUMMYFUNCTION("""COMPUTED_VALUE"""),"714695400")</f>
        <v>714695400</v>
      </c>
      <c r="E776" s="98" t="str">
        <f>IFERROR(__xludf.DUMMYFUNCTION("""COMPUTED_VALUE"""),"N")</f>
        <v>N</v>
      </c>
      <c r="F776" s="98" t="str">
        <f>IFERROR(__xludf.DUMMYFUNCTION("""COMPUTED_VALUE"""),"Clothing Brands")</f>
        <v>Clothing Brands</v>
      </c>
      <c r="G776" s="98" t="str">
        <f>IFERROR(__xludf.DUMMYFUNCTION("""COMPUTED_VALUE"""),"A4622607")</f>
        <v>A4622607</v>
      </c>
      <c r="H776" s="98" t="str">
        <f>IFERROR(__xludf.DUMMYFUNCTION("""COMPUTED_VALUE"""),"Urgent Today")</f>
        <v>Urgent Today</v>
      </c>
      <c r="I776" s="98" t="str">
        <f>IFERROR(__xludf.DUMMYFUNCTION("""COMPUTED_VALUE"""),"Mahiyanganaya")</f>
        <v>Mahiyanganaya</v>
      </c>
      <c r="J776" s="98" t="str">
        <f>IFERROR(__xludf.DUMMYFUNCTION("""COMPUTED_VALUE"""),"Returned To Client")</f>
        <v>Returned To Client</v>
      </c>
      <c r="K776" s="98" t="str">
        <f>IFERROR(__xludf.DUMMYFUNCTION("""COMPUTED_VALUE"""),"Customer Care")</f>
        <v>Customer Care</v>
      </c>
      <c r="L776" s="98" t="str">
        <f>IFERROR(__xludf.DUMMYFUNCTION("""COMPUTED_VALUE"""),"Done")</f>
        <v>Done</v>
      </c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>
      <c r="A777" s="82"/>
      <c r="B777" s="106" t="str">
        <f>IFERROR(__xludf.DUMMYFUNCTION("""COMPUTED_VALUE"""),"1053")</f>
        <v>1053</v>
      </c>
      <c r="C777" s="106" t="str">
        <f>IFERROR(__xludf.DUMMYFUNCTION("""COMPUTED_VALUE"""),"Malik")</f>
        <v>Malik</v>
      </c>
      <c r="D777" s="106" t="str">
        <f>IFERROR(__xludf.DUMMYFUNCTION("""COMPUTED_VALUE"""),"768953933")</f>
        <v>768953933</v>
      </c>
      <c r="E777" s="106" t="str">
        <f>IFERROR(__xludf.DUMMYFUNCTION("""COMPUTED_VALUE"""),"Y")</f>
        <v>Y</v>
      </c>
      <c r="F777" s="106" t="str">
        <f>IFERROR(__xludf.DUMMYFUNCTION("""COMPUTED_VALUE"""),"Dv Clothing")</f>
        <v>Dv Clothing</v>
      </c>
      <c r="G777" s="106" t="str">
        <f>IFERROR(__xludf.DUMMYFUNCTION("""COMPUTED_VALUE"""),"BE092398")</f>
        <v>BE092398</v>
      </c>
      <c r="H777" s="106" t="str">
        <f>IFERROR(__xludf.DUMMYFUNCTION("""COMPUTED_VALUE"""),"D/D Kandy Branch")</f>
        <v>D/D Kandy Branch</v>
      </c>
      <c r="I777" s="106" t="str">
        <f>IFERROR(__xludf.DUMMYFUNCTION("""COMPUTED_VALUE"""),"Kadawatha")</f>
        <v>Kadawatha</v>
      </c>
      <c r="J777" s="106" t="str">
        <f>IFERROR(__xludf.DUMMYFUNCTION("""COMPUTED_VALUE"""),"Returned To Client")</f>
        <v>Returned To Client</v>
      </c>
      <c r="K777" s="106" t="str">
        <f>IFERROR(__xludf.DUMMYFUNCTION("""COMPUTED_VALUE"""),"Sales")</f>
        <v>Sales</v>
      </c>
      <c r="L777" s="106" t="str">
        <f>IFERROR(__xludf.DUMMYFUNCTION("""COMPUTED_VALUE"""),"Given No")</f>
        <v>Given No</v>
      </c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>
      <c r="A778" s="82"/>
      <c r="B778" s="98" t="str">
        <f>IFERROR(__xludf.DUMMYFUNCTION("""COMPUTED_VALUE"""),"1054")</f>
        <v>1054</v>
      </c>
      <c r="C778" s="98" t="str">
        <f>IFERROR(__xludf.DUMMYFUNCTION("""COMPUTED_VALUE"""),"Jeni")</f>
        <v>Jeni</v>
      </c>
      <c r="D778" s="98" t="str">
        <f>IFERROR(__xludf.DUMMYFUNCTION("""COMPUTED_VALUE"""),"705211018")</f>
        <v>705211018</v>
      </c>
      <c r="E778" s="98" t="str">
        <f>IFERROR(__xludf.DUMMYFUNCTION("""COMPUTED_VALUE"""),"Y")</f>
        <v>Y</v>
      </c>
      <c r="F778" s="98" t="str">
        <f>IFERROR(__xludf.DUMMYFUNCTION("""COMPUTED_VALUE"""),"Pallet One")</f>
        <v>Pallet One</v>
      </c>
      <c r="G778" s="98" t="str">
        <f>IFERROR(__xludf.DUMMYFUNCTION("""COMPUTED_VALUE"""),"BE094811")</f>
        <v>BE094811</v>
      </c>
      <c r="H778" s="98" t="str">
        <f>IFERROR(__xludf.DUMMYFUNCTION("""COMPUTED_VALUE"""),"Re Deliver")</f>
        <v>Re Deliver</v>
      </c>
      <c r="I778" s="98" t="str">
        <f>IFERROR(__xludf.DUMMYFUNCTION("""COMPUTED_VALUE"""),"Kadawatha")</f>
        <v>Kadawatha</v>
      </c>
      <c r="J778" s="98" t="str">
        <f>IFERROR(__xludf.DUMMYFUNCTION("""COMPUTED_VALUE"""),"Returned To Branch Failed To Deliver")</f>
        <v>Returned To Branch Failed To Deliver</v>
      </c>
      <c r="K778" s="98" t="str">
        <f>IFERROR(__xludf.DUMMYFUNCTION("""COMPUTED_VALUE"""),"Customer Care")</f>
        <v>Customer Care</v>
      </c>
      <c r="L778" s="98" t="str">
        <f>IFERROR(__xludf.DUMMYFUNCTION("""COMPUTED_VALUE"""),"Done")</f>
        <v>Done</v>
      </c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>
      <c r="A779" s="82"/>
      <c r="B779" s="106" t="str">
        <f>IFERROR(__xludf.DUMMYFUNCTION("""COMPUTED_VALUE"""),"1055")</f>
        <v>1055</v>
      </c>
      <c r="C779" s="106" t="str">
        <f>IFERROR(__xludf.DUMMYFUNCTION("""COMPUTED_VALUE"""),"Jeni")</f>
        <v>Jeni</v>
      </c>
      <c r="D779" s="106" t="str">
        <f>IFERROR(__xludf.DUMMYFUNCTION("""COMPUTED_VALUE"""),"767996043")</f>
        <v>767996043</v>
      </c>
      <c r="E779" s="106" t="str">
        <f>IFERROR(__xludf.DUMMYFUNCTION("""COMPUTED_VALUE"""),"N")</f>
        <v>N</v>
      </c>
      <c r="F779" s="106" t="str">
        <f>IFERROR(__xludf.DUMMYFUNCTION("""COMPUTED_VALUE"""),"Flexi Store")</f>
        <v>Flexi Store</v>
      </c>
      <c r="G779" s="106" t="str">
        <f>IFERROR(__xludf.DUMMYFUNCTION("""COMPUTED_VALUE"""),"A4600825")</f>
        <v>A4600825</v>
      </c>
      <c r="H779" s="106" t="str">
        <f>IFERROR(__xludf.DUMMYFUNCTION("""COMPUTED_VALUE"""),"Re Deliver")</f>
        <v>Re Deliver</v>
      </c>
      <c r="I779" s="106" t="str">
        <f>IFERROR(__xludf.DUMMYFUNCTION("""COMPUTED_VALUE"""),"Dambulla")</f>
        <v>Dambulla</v>
      </c>
      <c r="J779" s="106" t="str">
        <f>IFERROR(__xludf.DUMMYFUNCTION("""COMPUTED_VALUE"""),"Returned To Branch Failed To Deliver")</f>
        <v>Returned To Branch Failed To Deliver</v>
      </c>
      <c r="K779" s="106" t="str">
        <f>IFERROR(__xludf.DUMMYFUNCTION("""COMPUTED_VALUE"""),"Customer Care")</f>
        <v>Customer Care</v>
      </c>
      <c r="L779" s="106" t="str">
        <f>IFERROR(__xludf.DUMMYFUNCTION("""COMPUTED_VALUE"""),"Done")</f>
        <v>Done</v>
      </c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>
      <c r="A780" s="82"/>
      <c r="B780" s="98" t="str">
        <f>IFERROR(__xludf.DUMMYFUNCTION("""COMPUTED_VALUE"""),"1056")</f>
        <v>1056</v>
      </c>
      <c r="C780" s="98" t="str">
        <f>IFERROR(__xludf.DUMMYFUNCTION("""COMPUTED_VALUE"""),"Malik")</f>
        <v>Malik</v>
      </c>
      <c r="D780" s="98" t="str">
        <f>IFERROR(__xludf.DUMMYFUNCTION("""COMPUTED_VALUE"""),"764219459")</f>
        <v>764219459</v>
      </c>
      <c r="E780" s="98" t="str">
        <f>IFERROR(__xludf.DUMMYFUNCTION("""COMPUTED_VALUE"""),"N")</f>
        <v>N</v>
      </c>
      <c r="F780" s="98" t="str">
        <f>IFERROR(__xludf.DUMMYFUNCTION("""COMPUTED_VALUE"""),"Winpro Holdings")</f>
        <v>Winpro Holdings</v>
      </c>
      <c r="G780" s="98" t="str">
        <f>IFERROR(__xludf.DUMMYFUNCTION("""COMPUTED_VALUE"""),"BE054464")</f>
        <v>BE054464</v>
      </c>
      <c r="H780" s="98" t="str">
        <f>IFERROR(__xludf.DUMMYFUNCTION("""COMPUTED_VALUE"""),"Cod Issuse")</f>
        <v>Cod Issuse</v>
      </c>
      <c r="I780" s="98" t="str">
        <f>IFERROR(__xludf.DUMMYFUNCTION("""COMPUTED_VALUE"""),"Baddagama")</f>
        <v>Baddagama</v>
      </c>
      <c r="J780" s="98" t="str">
        <f>IFERROR(__xludf.DUMMYFUNCTION("""COMPUTED_VALUE"""),"Collect From Return Shuttle")</f>
        <v>Collect From Return Shuttle</v>
      </c>
      <c r="K780" s="98" t="str">
        <f>IFERROR(__xludf.DUMMYFUNCTION("""COMPUTED_VALUE"""),"Customer Care")</f>
        <v>Customer Care</v>
      </c>
      <c r="L780" s="98" t="str">
        <f>IFERROR(__xludf.DUMMYFUNCTION("""COMPUTED_VALUE"""),"Already Return Item")</f>
        <v>Already Return Item</v>
      </c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>
      <c r="A781" s="82"/>
      <c r="B781" s="106" t="str">
        <f>IFERROR(__xludf.DUMMYFUNCTION("""COMPUTED_VALUE"""),"1057")</f>
        <v>1057</v>
      </c>
      <c r="C781" s="106" t="str">
        <f>IFERROR(__xludf.DUMMYFUNCTION("""COMPUTED_VALUE"""),"Mandari")</f>
        <v>Mandari</v>
      </c>
      <c r="D781" s="106" t="str">
        <f>IFERROR(__xludf.DUMMYFUNCTION("""COMPUTED_VALUE"""),"757343618")</f>
        <v>757343618</v>
      </c>
      <c r="E781" s="106" t="str">
        <f>IFERROR(__xludf.DUMMYFUNCTION("""COMPUTED_VALUE"""),"N")</f>
        <v>N</v>
      </c>
      <c r="F781" s="106" t="str">
        <f>IFERROR(__xludf.DUMMYFUNCTION("""COMPUTED_VALUE"""),"The Axon")</f>
        <v>The Axon</v>
      </c>
      <c r="G781" s="106" t="str">
        <f>IFERROR(__xludf.DUMMYFUNCTION("""COMPUTED_VALUE"""),"BE084359")</f>
        <v>BE084359</v>
      </c>
      <c r="H781" s="106" t="str">
        <f>IFERROR(__xludf.DUMMYFUNCTION("""COMPUTED_VALUE"""),"Asked Some Details")</f>
        <v>Asked Some Details</v>
      </c>
      <c r="I781" s="106" t="str">
        <f>IFERROR(__xludf.DUMMYFUNCTION("""COMPUTED_VALUE"""),"Ratmalana")</f>
        <v>Ratmalana</v>
      </c>
      <c r="J781" s="106" t="str">
        <f>IFERROR(__xludf.DUMMYFUNCTION("""COMPUTED_VALUE"""),"Re-Delivery")</f>
        <v>Re-Delivery</v>
      </c>
      <c r="K781" s="106" t="str">
        <f>IFERROR(__xludf.DUMMYFUNCTION("""COMPUTED_VALUE"""),"Customer Care")</f>
        <v>Customer Care</v>
      </c>
      <c r="L781" s="106" t="str">
        <f>IFERROR(__xludf.DUMMYFUNCTION("""COMPUTED_VALUE"""),"Done")</f>
        <v>Done</v>
      </c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>
      <c r="A782" s="82"/>
      <c r="B782" s="98" t="str">
        <f>IFERROR(__xludf.DUMMYFUNCTION("""COMPUTED_VALUE"""),"1058")</f>
        <v>1058</v>
      </c>
      <c r="C782" s="98" t="str">
        <f>IFERROR(__xludf.DUMMYFUNCTION("""COMPUTED_VALUE"""),"Malik")</f>
        <v>Malik</v>
      </c>
      <c r="D782" s="98" t="str">
        <f>IFERROR(__xludf.DUMMYFUNCTION("""COMPUTED_VALUE"""),"710243137")</f>
        <v>710243137</v>
      </c>
      <c r="E782" s="98" t="str">
        <f>IFERROR(__xludf.DUMMYFUNCTION("""COMPUTED_VALUE"""),"Y")</f>
        <v>Y</v>
      </c>
      <c r="F782" s="98" t="str">
        <f>IFERROR(__xludf.DUMMYFUNCTION("""COMPUTED_VALUE"""),"Nexwin")</f>
        <v>Nexwin</v>
      </c>
      <c r="G782" s="98" t="str">
        <f>IFERROR(__xludf.DUMMYFUNCTION("""COMPUTED_VALUE"""),"BA771537")</f>
        <v>BA771537</v>
      </c>
      <c r="H782" s="98" t="str">
        <f>IFERROR(__xludf.DUMMYFUNCTION("""COMPUTED_VALUE"""),"Arrange To Deliver Today / Top Urgant")</f>
        <v>Arrange To Deliver Today / Top Urgant</v>
      </c>
      <c r="I782" s="98" t="str">
        <f>IFERROR(__xludf.DUMMYFUNCTION("""COMPUTED_VALUE"""),"Thalawathugoda")</f>
        <v>Thalawathugoda</v>
      </c>
      <c r="J782" s="98" t="str">
        <f>IFERROR(__xludf.DUMMYFUNCTION("""COMPUTED_VALUE"""),"Out For Delivery")</f>
        <v>Out For Delivery</v>
      </c>
      <c r="K782" s="98" t="str">
        <f>IFERROR(__xludf.DUMMYFUNCTION("""COMPUTED_VALUE"""),"Customer Care")</f>
        <v>Customer Care</v>
      </c>
      <c r="L782" s="98" t="str">
        <f>IFERROR(__xludf.DUMMYFUNCTION("""COMPUTED_VALUE"""),"Customer Said Check Andcall Back")</f>
        <v>Customer Said Check Andcall Back</v>
      </c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>
      <c r="A783" s="82"/>
      <c r="B783" s="106" t="str">
        <f>IFERROR(__xludf.DUMMYFUNCTION("""COMPUTED_VALUE"""),"1059")</f>
        <v>1059</v>
      </c>
      <c r="C783" s="106" t="str">
        <f>IFERROR(__xludf.DUMMYFUNCTION("""COMPUTED_VALUE"""),"Mandari")</f>
        <v>Mandari</v>
      </c>
      <c r="D783" s="106" t="str">
        <f>IFERROR(__xludf.DUMMYFUNCTION("""COMPUTED_VALUE"""),"741693627")</f>
        <v>741693627</v>
      </c>
      <c r="E783" s="106" t="str">
        <f>IFERROR(__xludf.DUMMYFUNCTION("""COMPUTED_VALUE"""),"N")</f>
        <v>N</v>
      </c>
      <c r="F783" s="106" t="str">
        <f>IFERROR(__xludf.DUMMYFUNCTION("""COMPUTED_VALUE"""),"Flexi Store")</f>
        <v>Flexi Store</v>
      </c>
      <c r="G783" s="106" t="str">
        <f>IFERROR(__xludf.DUMMYFUNCTION("""COMPUTED_VALUE"""),"BE017200")</f>
        <v>BE017200</v>
      </c>
      <c r="H783" s="106" t="str">
        <f>IFERROR(__xludf.DUMMYFUNCTION("""COMPUTED_VALUE"""),"Monaragala Branch No")</f>
        <v>Monaragala Branch No</v>
      </c>
      <c r="I783" s="106" t="str">
        <f>IFERROR(__xludf.DUMMYFUNCTION("""COMPUTED_VALUE"""),"Kuliyapitiya")</f>
        <v>Kuliyapitiya</v>
      </c>
      <c r="J783" s="106" t="str">
        <f>IFERROR(__xludf.DUMMYFUNCTION("""COMPUTED_VALUE"""),"Delivered")</f>
        <v>Delivered</v>
      </c>
      <c r="K783" s="106" t="str">
        <f>IFERROR(__xludf.DUMMYFUNCTION("""COMPUTED_VALUE"""),"Branch Operations")</f>
        <v>Branch Operations</v>
      </c>
      <c r="L783" s="106" t="str">
        <f>IFERROR(__xludf.DUMMYFUNCTION("""COMPUTED_VALUE"""),"Given No")</f>
        <v>Given No</v>
      </c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>
      <c r="A784" s="82"/>
      <c r="B784" s="98" t="str">
        <f>IFERROR(__xludf.DUMMYFUNCTION("""COMPUTED_VALUE"""),"1060")</f>
        <v>1060</v>
      </c>
      <c r="C784" s="98" t="str">
        <f>IFERROR(__xludf.DUMMYFUNCTION("""COMPUTED_VALUE"""),"Mandari")</f>
        <v>Mandari</v>
      </c>
      <c r="D784" s="98" t="str">
        <f>IFERROR(__xludf.DUMMYFUNCTION("""COMPUTED_VALUE"""),"755379990")</f>
        <v>755379990</v>
      </c>
      <c r="E784" s="98" t="str">
        <f>IFERROR(__xludf.DUMMYFUNCTION("""COMPUTED_VALUE"""),"N")</f>
        <v>N</v>
      </c>
      <c r="F784" s="98" t="str">
        <f>IFERROR(__xludf.DUMMYFUNCTION("""COMPUTED_VALUE"""),"Livora Online Store")</f>
        <v>Livora Online Store</v>
      </c>
      <c r="G784" s="98" t="str">
        <f>IFERROR(__xludf.DUMMYFUNCTION("""COMPUTED_VALUE"""),"BE134651")</f>
        <v>BE134651</v>
      </c>
      <c r="H784" s="98" t="str">
        <f>IFERROR(__xludf.DUMMYFUNCTION("""COMPUTED_VALUE"""),"Re Deliver")</f>
        <v>Re Deliver</v>
      </c>
      <c r="I784" s="98" t="str">
        <f>IFERROR(__xludf.DUMMYFUNCTION("""COMPUTED_VALUE"""),"Dambulla")</f>
        <v>Dambulla</v>
      </c>
      <c r="J784" s="98" t="str">
        <f>IFERROR(__xludf.DUMMYFUNCTION("""COMPUTED_VALUE"""),"Returned To Branch Rescheduled")</f>
        <v>Returned To Branch Rescheduled</v>
      </c>
      <c r="K784" s="98" t="str">
        <f>IFERROR(__xludf.DUMMYFUNCTION("""COMPUTED_VALUE"""),"Branch Operations")</f>
        <v>Branch Operations</v>
      </c>
      <c r="L784" s="98" t="str">
        <f>IFERROR(__xludf.DUMMYFUNCTION("""COMPUTED_VALUE"""),"Done")</f>
        <v>Done</v>
      </c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>
      <c r="A785" s="82"/>
      <c r="B785" s="106" t="str">
        <f>IFERROR(__xludf.DUMMYFUNCTION("""COMPUTED_VALUE"""),"1061")</f>
        <v>1061</v>
      </c>
      <c r="C785" s="106" t="str">
        <f>IFERROR(__xludf.DUMMYFUNCTION("""COMPUTED_VALUE"""),"Mandari")</f>
        <v>Mandari</v>
      </c>
      <c r="D785" s="106" t="str">
        <f>IFERROR(__xludf.DUMMYFUNCTION("""COMPUTED_VALUE"""),"751681330")</f>
        <v>751681330</v>
      </c>
      <c r="E785" s="106" t="str">
        <f>IFERROR(__xludf.DUMMYFUNCTION("""COMPUTED_VALUE"""),"Y")</f>
        <v>Y</v>
      </c>
      <c r="F785" s="106" t="str">
        <f>IFERROR(__xludf.DUMMYFUNCTION("""COMPUTED_VALUE"""),"Sency Kids")</f>
        <v>Sency Kids</v>
      </c>
      <c r="G785" s="106" t="str">
        <f>IFERROR(__xludf.DUMMYFUNCTION("""COMPUTED_VALUE"""),"BE083066")</f>
        <v>BE083066</v>
      </c>
      <c r="H785" s="106" t="str">
        <f>IFERROR(__xludf.DUMMYFUNCTION("""COMPUTED_VALUE"""),"Arrange To Deliver Tomorrow / Top Urgant")</f>
        <v>Arrange To Deliver Tomorrow / Top Urgant</v>
      </c>
      <c r="I785" s="106" t="str">
        <f>IFERROR(__xludf.DUMMYFUNCTION("""COMPUTED_VALUE"""),"Kuliyapitiya")</f>
        <v>Kuliyapitiya</v>
      </c>
      <c r="J785" s="106" t="str">
        <f>IFERROR(__xludf.DUMMYFUNCTION("""COMPUTED_VALUE"""),"Returned To Branch Rescheduled")</f>
        <v>Returned To Branch Rescheduled</v>
      </c>
      <c r="K785" s="106" t="str">
        <f>IFERROR(__xludf.DUMMYFUNCTION("""COMPUTED_VALUE"""),"Branch Operations")</f>
        <v>Branch Operations</v>
      </c>
      <c r="L785" s="106" t="str">
        <f>IFERROR(__xludf.DUMMYFUNCTION("""COMPUTED_VALUE"""),"Tranfer Cll")</f>
        <v>Tranfer Cll</v>
      </c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>
      <c r="A786" s="82"/>
      <c r="B786" s="98" t="str">
        <f>IFERROR(__xludf.DUMMYFUNCTION("""COMPUTED_VALUE"""),"1062")</f>
        <v>1062</v>
      </c>
      <c r="C786" s="98" t="str">
        <f>IFERROR(__xludf.DUMMYFUNCTION("""COMPUTED_VALUE"""),"Umesha")</f>
        <v>Umesha</v>
      </c>
      <c r="D786" s="98" t="str">
        <f>IFERROR(__xludf.DUMMYFUNCTION("""COMPUTED_VALUE"""),"733939658")</f>
        <v>733939658</v>
      </c>
      <c r="E786" s="98" t="str">
        <f>IFERROR(__xludf.DUMMYFUNCTION("""COMPUTED_VALUE"""),"N")</f>
        <v>N</v>
      </c>
      <c r="F786" s="108" t="str">
        <f>IFERROR(__xludf.DUMMYFUNCTION("""COMPUTED_VALUE"""),"Onelink.Lk")</f>
        <v>Onelink.Lk</v>
      </c>
      <c r="G786" s="98" t="str">
        <f>IFERROR(__xludf.DUMMYFUNCTION("""COMPUTED_VALUE"""),"A4309144")</f>
        <v>A4309144</v>
      </c>
      <c r="H786" s="98" t="str">
        <f>IFERROR(__xludf.DUMMYFUNCTION("""COMPUTED_VALUE"""),"Re Deliver")</f>
        <v>Re Deliver</v>
      </c>
      <c r="I786" s="98" t="str">
        <f>IFERROR(__xludf.DUMMYFUNCTION("""COMPUTED_VALUE"""),"Kuliyapitiya")</f>
        <v>Kuliyapitiya</v>
      </c>
      <c r="J786" s="98" t="str">
        <f>IFERROR(__xludf.DUMMYFUNCTION("""COMPUTED_VALUE"""),"Delivered")</f>
        <v>Delivered</v>
      </c>
      <c r="K786" s="98" t="str">
        <f>IFERROR(__xludf.DUMMYFUNCTION("""COMPUTED_VALUE"""),"Customer Care")</f>
        <v>Customer Care</v>
      </c>
      <c r="L786" s="98" t="str">
        <f>IFERROR(__xludf.DUMMYFUNCTION("""COMPUTED_VALUE"""),"Informed Branch")</f>
        <v>Informed Branch</v>
      </c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>
      <c r="A787" s="82"/>
      <c r="B787" s="106" t="str">
        <f>IFERROR(__xludf.DUMMYFUNCTION("""COMPUTED_VALUE"""),"1063")</f>
        <v>1063</v>
      </c>
      <c r="C787" s="106" t="str">
        <f>IFERROR(__xludf.DUMMYFUNCTION("""COMPUTED_VALUE"""),"Jeni")</f>
        <v>Jeni</v>
      </c>
      <c r="D787" s="106" t="str">
        <f>IFERROR(__xludf.DUMMYFUNCTION("""COMPUTED_VALUE"""),"721384599")</f>
        <v>721384599</v>
      </c>
      <c r="E787" s="106" t="str">
        <f>IFERROR(__xludf.DUMMYFUNCTION("""COMPUTED_VALUE"""),"N")</f>
        <v>N</v>
      </c>
      <c r="F787" s="106" t="str">
        <f>IFERROR(__xludf.DUMMYFUNCTION("""COMPUTED_VALUE"""),"Dolly'Fashion")</f>
        <v>Dolly'Fashion</v>
      </c>
      <c r="G787" s="106" t="str">
        <f>IFERROR(__xludf.DUMMYFUNCTION("""COMPUTED_VALUE"""),"BE080625")</f>
        <v>BE080625</v>
      </c>
      <c r="H787" s="106" t="str">
        <f>IFERROR(__xludf.DUMMYFUNCTION("""COMPUTED_VALUE"""),"Re Deliver")</f>
        <v>Re Deliver</v>
      </c>
      <c r="I787" s="106" t="str">
        <f>IFERROR(__xludf.DUMMYFUNCTION("""COMPUTED_VALUE"""),"Kandy")</f>
        <v>Kandy</v>
      </c>
      <c r="J787" s="106" t="str">
        <f>IFERROR(__xludf.DUMMYFUNCTION("""COMPUTED_VALUE"""),"Out For Delivery")</f>
        <v>Out For Delivery</v>
      </c>
      <c r="K787" s="106" t="str">
        <f>IFERROR(__xludf.DUMMYFUNCTION("""COMPUTED_VALUE"""),"Branch Operations")</f>
        <v>Branch Operations</v>
      </c>
      <c r="L787" s="106" t="str">
        <f>IFERROR(__xludf.DUMMYFUNCTION("""COMPUTED_VALUE"""),"Details Given")</f>
        <v>Details Given</v>
      </c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>
      <c r="A788" s="82"/>
      <c r="B788" s="98" t="str">
        <f>IFERROR(__xludf.DUMMYFUNCTION("""COMPUTED_VALUE"""),"1064")</f>
        <v>1064</v>
      </c>
      <c r="C788" s="98" t="str">
        <f>IFERROR(__xludf.DUMMYFUNCTION("""COMPUTED_VALUE"""),"Umesha")</f>
        <v>Umesha</v>
      </c>
      <c r="D788" s="98" t="str">
        <f>IFERROR(__xludf.DUMMYFUNCTION("""COMPUTED_VALUE"""),"776220302")</f>
        <v>776220302</v>
      </c>
      <c r="E788" s="98" t="str">
        <f>IFERROR(__xludf.DUMMYFUNCTION("""COMPUTED_VALUE"""),"Y")</f>
        <v>Y</v>
      </c>
      <c r="F788" s="98" t="str">
        <f>IFERROR(__xludf.DUMMYFUNCTION("""COMPUTED_VALUE"""),"Mona'S Closet")</f>
        <v>Mona'S Closet</v>
      </c>
      <c r="G788" s="98" t="str">
        <f>IFERROR(__xludf.DUMMYFUNCTION("""COMPUTED_VALUE"""),"A4702119")</f>
        <v>A4702119</v>
      </c>
      <c r="H788" s="98" t="str">
        <f>IFERROR(__xludf.DUMMYFUNCTION("""COMPUTED_VALUE"""),"Re Deliver")</f>
        <v>Re Deliver</v>
      </c>
      <c r="I788" s="98" t="str">
        <f>IFERROR(__xludf.DUMMYFUNCTION("""COMPUTED_VALUE"""),"Rajagiriya")</f>
        <v>Rajagiriya</v>
      </c>
      <c r="J788" s="98" t="str">
        <f>IFERROR(__xludf.DUMMYFUNCTION("""COMPUTED_VALUE"""),"Returned To Branch Rescheduled")</f>
        <v>Returned To Branch Rescheduled</v>
      </c>
      <c r="K788" s="98" t="str">
        <f>IFERROR(__xludf.DUMMYFUNCTION("""COMPUTED_VALUE"""),"Customer Care")</f>
        <v>Customer Care</v>
      </c>
      <c r="L788" s="98" t="str">
        <f>IFERROR(__xludf.DUMMYFUNCTION("""COMPUTED_VALUE"""),"Info Deepika")</f>
        <v>Info Deepika</v>
      </c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>
      <c r="A789" s="82"/>
      <c r="B789" s="106" t="str">
        <f>IFERROR(__xludf.DUMMYFUNCTION("""COMPUTED_VALUE"""),"1065")</f>
        <v>1065</v>
      </c>
      <c r="C789" s="106" t="str">
        <f>IFERROR(__xludf.DUMMYFUNCTION("""COMPUTED_VALUE"""),"Jeni")</f>
        <v>Jeni</v>
      </c>
      <c r="D789" s="106" t="str">
        <f>IFERROR(__xludf.DUMMYFUNCTION("""COMPUTED_VALUE"""),"719120185")</f>
        <v>719120185</v>
      </c>
      <c r="E789" s="106" t="str">
        <f>IFERROR(__xludf.DUMMYFUNCTION("""COMPUTED_VALUE"""),"N")</f>
        <v>N</v>
      </c>
      <c r="F789" s="106" t="str">
        <f>IFERROR(__xludf.DUMMYFUNCTION("""COMPUTED_VALUE"""),"C&amp;L Markerting")</f>
        <v>C&amp;L Markerting</v>
      </c>
      <c r="G789" s="106" t="str">
        <f>IFERROR(__xludf.DUMMYFUNCTION("""COMPUTED_VALUE"""),"BE108403")</f>
        <v>BE108403</v>
      </c>
      <c r="H789" s="106" t="str">
        <f>IFERROR(__xludf.DUMMYFUNCTION("""COMPUTED_VALUE"""),"Cleint Want Return Order")</f>
        <v>Cleint Want Return Order</v>
      </c>
      <c r="I789" s="106" t="str">
        <f>IFERROR(__xludf.DUMMYFUNCTION("""COMPUTED_VALUE"""),"Colombo Metro")</f>
        <v>Colombo Metro</v>
      </c>
      <c r="J789" s="106" t="str">
        <f>IFERROR(__xludf.DUMMYFUNCTION("""COMPUTED_VALUE"""),"Dispatched To Destination")</f>
        <v>Dispatched To Destination</v>
      </c>
      <c r="K789" s="106" t="str">
        <f>IFERROR(__xludf.DUMMYFUNCTION("""COMPUTED_VALUE"""),"Customer Care")</f>
        <v>Customer Care</v>
      </c>
      <c r="L789" s="106" t="str">
        <f>IFERROR(__xludf.DUMMYFUNCTION("""COMPUTED_VALUE"""),"Informed Branch Supervisor Number Via A Whatsapp")</f>
        <v>Informed Branch Supervisor Number Via A Whatsapp</v>
      </c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>
      <c r="A790" s="82"/>
      <c r="B790" s="98" t="str">
        <f>IFERROR(__xludf.DUMMYFUNCTION("""COMPUTED_VALUE"""),"1066")</f>
        <v>1066</v>
      </c>
      <c r="C790" s="98" t="str">
        <f>IFERROR(__xludf.DUMMYFUNCTION("""COMPUTED_VALUE"""),"Umesha")</f>
        <v>Umesha</v>
      </c>
      <c r="D790" s="98" t="str">
        <f>IFERROR(__xludf.DUMMYFUNCTION("""COMPUTED_VALUE"""),"114412000")</f>
        <v>114412000</v>
      </c>
      <c r="E790" s="98" t="str">
        <f>IFERROR(__xludf.DUMMYFUNCTION("""COMPUTED_VALUE"""),"N")</f>
        <v>N</v>
      </c>
      <c r="F790" s="98" t="str">
        <f>IFERROR(__xludf.DUMMYFUNCTION("""COMPUTED_VALUE"""),"Ziponlilne")</f>
        <v>Ziponlilne</v>
      </c>
      <c r="G790" s="98" t="str">
        <f>IFERROR(__xludf.DUMMYFUNCTION("""COMPUTED_VALUE"""),"A3149166")</f>
        <v>A3149166</v>
      </c>
      <c r="H790" s="98" t="str">
        <f>IFERROR(__xludf.DUMMYFUNCTION("""COMPUTED_VALUE"""),"No Proper Details")</f>
        <v>No Proper Details</v>
      </c>
      <c r="I790" s="98" t="str">
        <f>IFERROR(__xludf.DUMMYFUNCTION("""COMPUTED_VALUE"""),"Dambulla")</f>
        <v>Dambulla</v>
      </c>
      <c r="J790" s="98" t="str">
        <f>IFERROR(__xludf.DUMMYFUNCTION("""COMPUTED_VALUE"""),"Returned To Branch Failed To Deliver")</f>
        <v>Returned To Branch Failed To Deliver</v>
      </c>
      <c r="K790" s="98" t="str">
        <f>IFERROR(__xludf.DUMMYFUNCTION("""COMPUTED_VALUE"""),"Customer Care")</f>
        <v>Customer Care</v>
      </c>
      <c r="L790" s="98" t="str">
        <f>IFERROR(__xludf.DUMMYFUNCTION("""COMPUTED_VALUE"""),"Call Transfer Jeni")</f>
        <v>Call Transfer Jeni</v>
      </c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>
      <c r="A791" s="82"/>
      <c r="B791" s="106" t="str">
        <f>IFERROR(__xludf.DUMMYFUNCTION("""COMPUTED_VALUE"""),"1067")</f>
        <v>1067</v>
      </c>
      <c r="C791" s="106" t="str">
        <f>IFERROR(__xludf.DUMMYFUNCTION("""COMPUTED_VALUE"""),"Jeni")</f>
        <v>Jeni</v>
      </c>
      <c r="D791" s="106" t="str">
        <f>IFERROR(__xludf.DUMMYFUNCTION("""COMPUTED_VALUE"""),"767785517")</f>
        <v>767785517</v>
      </c>
      <c r="E791" s="106" t="str">
        <f>IFERROR(__xludf.DUMMYFUNCTION("""COMPUTED_VALUE"""),"N")</f>
        <v>N</v>
      </c>
      <c r="F791" s="106" t="str">
        <f>IFERROR(__xludf.DUMMYFUNCTION("""COMPUTED_VALUE"""),"Neha Skin")</f>
        <v>Neha Skin</v>
      </c>
      <c r="G791" s="106" t="str">
        <f>IFERROR(__xludf.DUMMYFUNCTION("""COMPUTED_VALUE"""),"A4409255")</f>
        <v>A4409255</v>
      </c>
      <c r="H791" s="106" t="str">
        <f>IFERROR(__xludf.DUMMYFUNCTION("""COMPUTED_VALUE"""),"Return Package")</f>
        <v>Return Package</v>
      </c>
      <c r="I791" s="106" t="str">
        <f>IFERROR(__xludf.DUMMYFUNCTION("""COMPUTED_VALUE"""),"Rajagiriya")</f>
        <v>Rajagiriya</v>
      </c>
      <c r="J791" s="106" t="str">
        <f>IFERROR(__xludf.DUMMYFUNCTION("""COMPUTED_VALUE"""),"Returned To Branch Failed To Deliver")</f>
        <v>Returned To Branch Failed To Deliver</v>
      </c>
      <c r="K791" s="106" t="str">
        <f>IFERROR(__xludf.DUMMYFUNCTION("""COMPUTED_VALUE"""),"Branch Operations")</f>
        <v>Branch Operations</v>
      </c>
      <c r="L791" s="106" t="str">
        <f>IFERROR(__xludf.DUMMYFUNCTION("""COMPUTED_VALUE"""),"Disconnected")</f>
        <v>Disconnected</v>
      </c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>
      <c r="A792" s="82"/>
      <c r="B792" s="98" t="str">
        <f>IFERROR(__xludf.DUMMYFUNCTION("""COMPUTED_VALUE"""),"1068")</f>
        <v>1068</v>
      </c>
      <c r="C792" s="98" t="str">
        <f>IFERROR(__xludf.DUMMYFUNCTION("""COMPUTED_VALUE"""),"Umesha")</f>
        <v>Umesha</v>
      </c>
      <c r="D792" s="98" t="str">
        <f>IFERROR(__xludf.DUMMYFUNCTION("""COMPUTED_VALUE"""),"773719168")</f>
        <v>773719168</v>
      </c>
      <c r="E792" s="98" t="str">
        <f>IFERROR(__xludf.DUMMYFUNCTION("""COMPUTED_VALUE"""),"Y")</f>
        <v>Y</v>
      </c>
      <c r="F792" s="98" t="str">
        <f>IFERROR(__xludf.DUMMYFUNCTION("""COMPUTED_VALUE"""),"Dlw Computers Pvt (Ltd)")</f>
        <v>Dlw Computers Pvt (Ltd)</v>
      </c>
      <c r="G792" s="98" t="str">
        <f>IFERROR(__xludf.DUMMYFUNCTION("""COMPUTED_VALUE"""),"BE031429")</f>
        <v>BE031429</v>
      </c>
      <c r="H792" s="98" t="str">
        <f>IFERROR(__xludf.DUMMYFUNCTION("""COMPUTED_VALUE"""),"Arrange To Deliver Tomorrow / Top Urgant")</f>
        <v>Arrange To Deliver Tomorrow / Top Urgant</v>
      </c>
      <c r="I792" s="98" t="str">
        <f>IFERROR(__xludf.DUMMYFUNCTION("""COMPUTED_VALUE"""),"Rajagiriya")</f>
        <v>Rajagiriya</v>
      </c>
      <c r="J792" s="98" t="str">
        <f>IFERROR(__xludf.DUMMYFUNCTION("""COMPUTED_VALUE"""),"Returned To Branch Failed To Deliver")</f>
        <v>Returned To Branch Failed To Deliver</v>
      </c>
      <c r="K792" s="98" t="str">
        <f>IFERROR(__xludf.DUMMYFUNCTION("""COMPUTED_VALUE"""),"Branch Operations")</f>
        <v>Branch Operations</v>
      </c>
      <c r="L792" s="98" t="str">
        <f>IFERROR(__xludf.DUMMYFUNCTION("""COMPUTED_VALUE"""),"Check And Call Back")</f>
        <v>Check And Call Back</v>
      </c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>
      <c r="A793" s="82"/>
      <c r="B793" s="106" t="str">
        <f>IFERROR(__xludf.DUMMYFUNCTION("""COMPUTED_VALUE"""),"1069")</f>
        <v>1069</v>
      </c>
      <c r="C793" s="106" t="str">
        <f>IFERROR(__xludf.DUMMYFUNCTION("""COMPUTED_VALUE"""),"Umesha")</f>
        <v>Umesha</v>
      </c>
      <c r="D793" s="106" t="str">
        <f>IFERROR(__xludf.DUMMYFUNCTION("""COMPUTED_VALUE"""),"709044115")</f>
        <v>709044115</v>
      </c>
      <c r="E793" s="106" t="str">
        <f>IFERROR(__xludf.DUMMYFUNCTION("""COMPUTED_VALUE"""),"N")</f>
        <v>N</v>
      </c>
      <c r="F793" s="107" t="str">
        <f>IFERROR(__xludf.DUMMYFUNCTION("""COMPUTED_VALUE"""),"Crown.Lk")</f>
        <v>Crown.Lk</v>
      </c>
      <c r="G793" s="106" t="str">
        <f>IFERROR(__xludf.DUMMYFUNCTION("""COMPUTED_VALUE"""),"BE055649")</f>
        <v>BE055649</v>
      </c>
      <c r="H793" s="106" t="str">
        <f>IFERROR(__xludf.DUMMYFUNCTION("""COMPUTED_VALUE"""),"Asked Some Details")</f>
        <v>Asked Some Details</v>
      </c>
      <c r="I793" s="106" t="str">
        <f>IFERROR(__xludf.DUMMYFUNCTION("""COMPUTED_VALUE"""),"Ratmalana")</f>
        <v>Ratmalana</v>
      </c>
      <c r="J793" s="106" t="str">
        <f>IFERROR(__xludf.DUMMYFUNCTION("""COMPUTED_VALUE"""),"Returned To Branch Rescheduled")</f>
        <v>Returned To Branch Rescheduled</v>
      </c>
      <c r="K793" s="106" t="str">
        <f>IFERROR(__xludf.DUMMYFUNCTION("""COMPUTED_VALUE"""),"Branch Operations")</f>
        <v>Branch Operations</v>
      </c>
      <c r="L793" s="106" t="str">
        <f>IFERROR(__xludf.DUMMYFUNCTION("""COMPUTED_VALUE"""),"Given No")</f>
        <v>Given No</v>
      </c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>
      <c r="A794" s="82"/>
      <c r="B794" s="98" t="str">
        <f>IFERROR(__xludf.DUMMYFUNCTION("""COMPUTED_VALUE"""),"1070")</f>
        <v>1070</v>
      </c>
      <c r="C794" s="98" t="str">
        <f>IFERROR(__xludf.DUMMYFUNCTION("""COMPUTED_VALUE"""),"Mandari")</f>
        <v>Mandari</v>
      </c>
      <c r="D794" s="98" t="str">
        <f>IFERROR(__xludf.DUMMYFUNCTION("""COMPUTED_VALUE"""),"743866343")</f>
        <v>743866343</v>
      </c>
      <c r="E794" s="98" t="str">
        <f>IFERROR(__xludf.DUMMYFUNCTION("""COMPUTED_VALUE"""),"Y")</f>
        <v>Y</v>
      </c>
      <c r="F794" s="98" t="str">
        <f>IFERROR(__xludf.DUMMYFUNCTION("""COMPUTED_VALUE"""),"Elenorabyro")</f>
        <v>Elenorabyro</v>
      </c>
      <c r="G794" s="98" t="str">
        <f>IFERROR(__xludf.DUMMYFUNCTION("""COMPUTED_VALUE"""),"A4309144")</f>
        <v>A4309144</v>
      </c>
      <c r="H794" s="98" t="str">
        <f>IFERROR(__xludf.DUMMYFUNCTION("""COMPUTED_VALUE"""),"Urgent Package /Customer Didn'T Get Any Calls")</f>
        <v>Urgent Package /Customer Didn'T Get Any Calls</v>
      </c>
      <c r="I794" s="98" t="str">
        <f>IFERROR(__xludf.DUMMYFUNCTION("""COMPUTED_VALUE"""),"Pilimathlawa")</f>
        <v>Pilimathlawa</v>
      </c>
      <c r="J794" s="98" t="str">
        <f>IFERROR(__xludf.DUMMYFUNCTION("""COMPUTED_VALUE"""),"Returned To Branch Failed To Deliver")</f>
        <v>Returned To Branch Failed To Deliver</v>
      </c>
      <c r="K794" s="98" t="str">
        <f>IFERROR(__xludf.DUMMYFUNCTION("""COMPUTED_VALUE"""),"Branch Operations")</f>
        <v>Branch Operations</v>
      </c>
      <c r="L794" s="98" t="str">
        <f>IFERROR(__xludf.DUMMYFUNCTION("""COMPUTED_VALUE"""),"Details Given")</f>
        <v>Details Given</v>
      </c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>
      <c r="A795" s="82"/>
      <c r="B795" s="106" t="str">
        <f>IFERROR(__xludf.DUMMYFUNCTION("""COMPUTED_VALUE"""),"1071")</f>
        <v>1071</v>
      </c>
      <c r="C795" s="106" t="str">
        <f>IFERROR(__xludf.DUMMYFUNCTION("""COMPUTED_VALUE"""),"Mandari")</f>
        <v>Mandari</v>
      </c>
      <c r="D795" s="106" t="str">
        <f>IFERROR(__xludf.DUMMYFUNCTION("""COMPUTED_VALUE"""),"764181863")</f>
        <v>764181863</v>
      </c>
      <c r="E795" s="106" t="str">
        <f>IFERROR(__xludf.DUMMYFUNCTION("""COMPUTED_VALUE"""),"Y")</f>
        <v>Y</v>
      </c>
      <c r="F795" s="107" t="str">
        <f>IFERROR(__xludf.DUMMYFUNCTION("""COMPUTED_VALUE"""),"Victoriaceyloan.Lk")</f>
        <v>Victoriaceyloan.Lk</v>
      </c>
      <c r="G795" s="106" t="str">
        <f>IFERROR(__xludf.DUMMYFUNCTION("""COMPUTED_VALUE"""),"A4319621")</f>
        <v>A4319621</v>
      </c>
      <c r="H795" s="106" t="str">
        <f>IFERROR(__xludf.DUMMYFUNCTION("""COMPUTED_VALUE"""),"No Proper Details")</f>
        <v>No Proper Details</v>
      </c>
      <c r="I795" s="106" t="str">
        <f>IFERROR(__xludf.DUMMYFUNCTION("""COMPUTED_VALUE"""),"Thalawathugoda")</f>
        <v>Thalawathugoda</v>
      </c>
      <c r="J795" s="106" t="str">
        <f>IFERROR(__xludf.DUMMYFUNCTION("""COMPUTED_VALUE"""),"Returned To Client")</f>
        <v>Returned To Client</v>
      </c>
      <c r="K795" s="106" t="str">
        <f>IFERROR(__xludf.DUMMYFUNCTION("""COMPUTED_VALUE"""),"Customer Care")</f>
        <v>Customer Care</v>
      </c>
      <c r="L795" s="106" t="str">
        <f>IFERROR(__xludf.DUMMYFUNCTION("""COMPUTED_VALUE"""),"Ask To Call Back With Proper Details")</f>
        <v>Ask To Call Back With Proper Details</v>
      </c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>
      <c r="A796" s="82"/>
      <c r="B796" s="98" t="str">
        <f>IFERROR(__xludf.DUMMYFUNCTION("""COMPUTED_VALUE"""),"1072")</f>
        <v>1072</v>
      </c>
      <c r="C796" s="98" t="str">
        <f>IFERROR(__xludf.DUMMYFUNCTION("""COMPUTED_VALUE"""),"Umesha")</f>
        <v>Umesha</v>
      </c>
      <c r="D796" s="98" t="str">
        <f>IFERROR(__xludf.DUMMYFUNCTION("""COMPUTED_VALUE"""),"741852301")</f>
        <v>741852301</v>
      </c>
      <c r="E796" s="98" t="str">
        <f>IFERROR(__xludf.DUMMYFUNCTION("""COMPUTED_VALUE"""),"N")</f>
        <v>N</v>
      </c>
      <c r="F796" s="108" t="str">
        <f>IFERROR(__xludf.DUMMYFUNCTION("""COMPUTED_VALUE"""),"Netwave.Lk")</f>
        <v>Netwave.Lk</v>
      </c>
      <c r="G796" s="98" t="str">
        <f>IFERROR(__xludf.DUMMYFUNCTION("""COMPUTED_VALUE"""),"BE108403")</f>
        <v>BE108403</v>
      </c>
      <c r="H796" s="98" t="str">
        <f>IFERROR(__xludf.DUMMYFUNCTION("""COMPUTED_VALUE"""),"Customer Want Return This Package")</f>
        <v>Customer Want Return This Package</v>
      </c>
      <c r="I796" s="98" t="str">
        <f>IFERROR(__xludf.DUMMYFUNCTION("""COMPUTED_VALUE"""),"Thalawathugoda")</f>
        <v>Thalawathugoda</v>
      </c>
      <c r="J796" s="98" t="str">
        <f>IFERROR(__xludf.DUMMYFUNCTION("""COMPUTED_VALUE"""),"Delivered")</f>
        <v>Delivered</v>
      </c>
      <c r="K796" s="98" t="str">
        <f>IFERROR(__xludf.DUMMYFUNCTION("""COMPUTED_VALUE"""),"Branch Operations")</f>
        <v>Branch Operations</v>
      </c>
      <c r="L796" s="98" t="str">
        <f>IFERROR(__xludf.DUMMYFUNCTION("""COMPUTED_VALUE"""),"Informed Branch")</f>
        <v>Informed Branch</v>
      </c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>
      <c r="A797" s="82"/>
      <c r="B797" s="106" t="str">
        <f>IFERROR(__xludf.DUMMYFUNCTION("""COMPUTED_VALUE"""),"1073")</f>
        <v>1073</v>
      </c>
      <c r="C797" s="106" t="str">
        <f>IFERROR(__xludf.DUMMYFUNCTION("""COMPUTED_VALUE"""),"Jeni")</f>
        <v>Jeni</v>
      </c>
      <c r="D797" s="106" t="str">
        <f>IFERROR(__xludf.DUMMYFUNCTION("""COMPUTED_VALUE"""),"746915361")</f>
        <v>746915361</v>
      </c>
      <c r="E797" s="106" t="str">
        <f>IFERROR(__xludf.DUMMYFUNCTION("""COMPUTED_VALUE"""),"Y")</f>
        <v>Y</v>
      </c>
      <c r="F797" s="106" t="str">
        <f>IFERROR(__xludf.DUMMYFUNCTION("""COMPUTED_VALUE"""),"P &amp; S Help Investment Pvt(Ltd)")</f>
        <v>P &amp; S Help Investment Pvt(Ltd)</v>
      </c>
      <c r="G797" s="106" t="str">
        <f>IFERROR(__xludf.DUMMYFUNCTION("""COMPUTED_VALUE"""),"BD982980")</f>
        <v>BD982980</v>
      </c>
      <c r="H797" s="106" t="str">
        <f>IFERROR(__xludf.DUMMYFUNCTION("""COMPUTED_VALUE"""),"Some Details /Delivery")</f>
        <v>Some Details /Delivery</v>
      </c>
      <c r="I797" s="106" t="str">
        <f>IFERROR(__xludf.DUMMYFUNCTION("""COMPUTED_VALUE"""),"Horana")</f>
        <v>Horana</v>
      </c>
      <c r="J797" s="106" t="str">
        <f>IFERROR(__xludf.DUMMYFUNCTION("""COMPUTED_VALUE"""),"Received At Destination")</f>
        <v>Received At Destination</v>
      </c>
      <c r="K797" s="106" t="str">
        <f>IFERROR(__xludf.DUMMYFUNCTION("""COMPUTED_VALUE"""),"Return")</f>
        <v>Return</v>
      </c>
      <c r="L797" s="106" t="str">
        <f>IFERROR(__xludf.DUMMYFUNCTION("""COMPUTED_VALUE"""),"Call Transfer Domestic Department")</f>
        <v>Call Transfer Domestic Department</v>
      </c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>
      <c r="A798" s="82"/>
      <c r="B798" s="98" t="str">
        <f>IFERROR(__xludf.DUMMYFUNCTION("""COMPUTED_VALUE"""),"1074")</f>
        <v>1074</v>
      </c>
      <c r="C798" s="98" t="str">
        <f>IFERROR(__xludf.DUMMYFUNCTION("""COMPUTED_VALUE"""),"Jeni")</f>
        <v>Jeni</v>
      </c>
      <c r="D798" s="98" t="str">
        <f>IFERROR(__xludf.DUMMYFUNCTION("""COMPUTED_VALUE"""),"743866343")</f>
        <v>743866343</v>
      </c>
      <c r="E798" s="98" t="str">
        <f>IFERROR(__xludf.DUMMYFUNCTION("""COMPUTED_VALUE"""),"N")</f>
        <v>N</v>
      </c>
      <c r="F798" s="98" t="str">
        <f>IFERROR(__xludf.DUMMYFUNCTION("""COMPUTED_VALUE"""),"Sd Marketing")</f>
        <v>Sd Marketing</v>
      </c>
      <c r="G798" s="98" t="str">
        <f>IFERROR(__xludf.DUMMYFUNCTION("""COMPUTED_VALUE"""),"BE081097")</f>
        <v>BE081097</v>
      </c>
      <c r="H798" s="98" t="str">
        <f>IFERROR(__xludf.DUMMYFUNCTION("""COMPUTED_VALUE"""),"Re Deliver")</f>
        <v>Re Deliver</v>
      </c>
      <c r="I798" s="98" t="str">
        <f>IFERROR(__xludf.DUMMYFUNCTION("""COMPUTED_VALUE"""),"Avissawella")</f>
        <v>Avissawella</v>
      </c>
      <c r="J798" s="98" t="str">
        <f>IFERROR(__xludf.DUMMYFUNCTION("""COMPUTED_VALUE"""),"Returned To Branch Failed To Deliver")</f>
        <v>Returned To Branch Failed To Deliver</v>
      </c>
      <c r="K798" s="98" t="str">
        <f>IFERROR(__xludf.DUMMYFUNCTION("""COMPUTED_VALUE"""),"Customer Care")</f>
        <v>Customer Care</v>
      </c>
      <c r="L798" s="98" t="str">
        <f>IFERROR(__xludf.DUMMYFUNCTION("""COMPUTED_VALUE"""),"Informed Branch")</f>
        <v>Informed Branch</v>
      </c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>
      <c r="A799" s="82"/>
      <c r="B799" s="106" t="str">
        <f>IFERROR(__xludf.DUMMYFUNCTION("""COMPUTED_VALUE"""),"1075")</f>
        <v>1075</v>
      </c>
      <c r="C799" s="106" t="str">
        <f>IFERROR(__xludf.DUMMYFUNCTION("""COMPUTED_VALUE"""),"Lakshani")</f>
        <v>Lakshani</v>
      </c>
      <c r="D799" s="106" t="str">
        <f>IFERROR(__xludf.DUMMYFUNCTION("""COMPUTED_VALUE"""),"716365283")</f>
        <v>716365283</v>
      </c>
      <c r="E799" s="106" t="str">
        <f>IFERROR(__xludf.DUMMYFUNCTION("""COMPUTED_VALUE"""),"N")</f>
        <v>N</v>
      </c>
      <c r="F799" s="106" t="str">
        <f>IFERROR(__xludf.DUMMYFUNCTION("""COMPUTED_VALUE"""),"Ceylon Ayura")</f>
        <v>Ceylon Ayura</v>
      </c>
      <c r="G799" s="106" t="str">
        <f>IFERROR(__xludf.DUMMYFUNCTION("""COMPUTED_VALUE"""),"BE015822")</f>
        <v>BE015822</v>
      </c>
      <c r="H799" s="106" t="str">
        <f>IFERROR(__xludf.DUMMYFUNCTION("""COMPUTED_VALUE"""),"Customer Wants To Return The Parcel")</f>
        <v>Customer Wants To Return The Parcel</v>
      </c>
      <c r="I799" s="106" t="str">
        <f>IFERROR(__xludf.DUMMYFUNCTION("""COMPUTED_VALUE"""),"Kalutara")</f>
        <v>Kalutara</v>
      </c>
      <c r="J799" s="106" t="str">
        <f>IFERROR(__xludf.DUMMYFUNCTION("""COMPUTED_VALUE"""),"Out For Delivery")</f>
        <v>Out For Delivery</v>
      </c>
      <c r="K799" s="106" t="str">
        <f>IFERROR(__xludf.DUMMYFUNCTION("""COMPUTED_VALUE"""),"Key Accounts")</f>
        <v>Key Accounts</v>
      </c>
      <c r="L799" s="106" t="str">
        <f>IFERROR(__xludf.DUMMYFUNCTION("""COMPUTED_VALUE"""),"Disconnect")</f>
        <v>Disconnect</v>
      </c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>
      <c r="A800" s="82"/>
      <c r="B800" s="98" t="str">
        <f>IFERROR(__xludf.DUMMYFUNCTION("""COMPUTED_VALUE"""),"1076")</f>
        <v>1076</v>
      </c>
      <c r="C800" s="98" t="str">
        <f>IFERROR(__xludf.DUMMYFUNCTION("""COMPUTED_VALUE"""),"Jeni")</f>
        <v>Jeni</v>
      </c>
      <c r="D800" s="98" t="str">
        <f>IFERROR(__xludf.DUMMYFUNCTION("""COMPUTED_VALUE"""),"741852301")</f>
        <v>741852301</v>
      </c>
      <c r="E800" s="98" t="str">
        <f>IFERROR(__xludf.DUMMYFUNCTION("""COMPUTED_VALUE"""),"N")</f>
        <v>N</v>
      </c>
      <c r="F800" s="98" t="str">
        <f>IFERROR(__xludf.DUMMYFUNCTION("""COMPUTED_VALUE"""),"Zee Max Holdings")</f>
        <v>Zee Max Holdings</v>
      </c>
      <c r="G800" s="98" t="str">
        <f>IFERROR(__xludf.DUMMYFUNCTION("""COMPUTED_VALUE"""),"BE056181")</f>
        <v>BE056181</v>
      </c>
      <c r="H800" s="98" t="str">
        <f>IFERROR(__xludf.DUMMYFUNCTION("""COMPUTED_VALUE"""),"Not In System")</f>
        <v>Not In System</v>
      </c>
      <c r="I800" s="98" t="str">
        <f>IFERROR(__xludf.DUMMYFUNCTION("""COMPUTED_VALUE"""),"Nuwara Eliya")</f>
        <v>Nuwara Eliya</v>
      </c>
      <c r="J800" s="98" t="str">
        <f>IFERROR(__xludf.DUMMYFUNCTION("""COMPUTED_VALUE"""),"Delivered")</f>
        <v>Delivered</v>
      </c>
      <c r="K800" s="98" t="str">
        <f>IFERROR(__xludf.DUMMYFUNCTION("""COMPUTED_VALUE"""),"Branch Operations")</f>
        <v>Branch Operations</v>
      </c>
      <c r="L800" s="98" t="str">
        <f>IFERROR(__xludf.DUMMYFUNCTION("""COMPUTED_VALUE"""),"Done")</f>
        <v>Done</v>
      </c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>
      <c r="A801" s="82"/>
      <c r="B801" s="106" t="str">
        <f>IFERROR(__xludf.DUMMYFUNCTION("""COMPUTED_VALUE"""),"1077")</f>
        <v>1077</v>
      </c>
      <c r="C801" s="106" t="str">
        <f>IFERROR(__xludf.DUMMYFUNCTION("""COMPUTED_VALUE"""),"Lakshani")</f>
        <v>Lakshani</v>
      </c>
      <c r="D801" s="106" t="str">
        <f>IFERROR(__xludf.DUMMYFUNCTION("""COMPUTED_VALUE"""),"709501287")</f>
        <v>709501287</v>
      </c>
      <c r="E801" s="106" t="str">
        <f>IFERROR(__xludf.DUMMYFUNCTION("""COMPUTED_VALUE"""),"N")</f>
        <v>N</v>
      </c>
      <c r="F801" s="107" t="str">
        <f>IFERROR(__xludf.DUMMYFUNCTION("""COMPUTED_VALUE"""),"Clickify.Lk")</f>
        <v>Clickify.Lk</v>
      </c>
      <c r="G801" s="106" t="str">
        <f>IFERROR(__xludf.DUMMYFUNCTION("""COMPUTED_VALUE"""),"A4208210")</f>
        <v>A4208210</v>
      </c>
      <c r="H801" s="106" t="str">
        <f>IFERROR(__xludf.DUMMYFUNCTION("""COMPUTED_VALUE"""),"Ask Nilesha")</f>
        <v>Ask Nilesha</v>
      </c>
      <c r="I801" s="106" t="str">
        <f>IFERROR(__xludf.DUMMYFUNCTION("""COMPUTED_VALUE"""),"Kalmunai")</f>
        <v>Kalmunai</v>
      </c>
      <c r="J801" s="106" t="str">
        <f>IFERROR(__xludf.DUMMYFUNCTION("""COMPUTED_VALUE"""),"Returned To Client")</f>
        <v>Returned To Client</v>
      </c>
      <c r="K801" s="106" t="str">
        <f>IFERROR(__xludf.DUMMYFUNCTION("""COMPUTED_VALUE"""),"Customer Care")</f>
        <v>Customer Care</v>
      </c>
      <c r="L801" s="106" t="str">
        <f>IFERROR(__xludf.DUMMYFUNCTION("""COMPUTED_VALUE"""),"Informed Clien")</f>
        <v>Informed Clien</v>
      </c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>
      <c r="A802" s="82"/>
      <c r="B802" s="98" t="str">
        <f>IFERROR(__xludf.DUMMYFUNCTION("""COMPUTED_VALUE"""),"1078")</f>
        <v>1078</v>
      </c>
      <c r="C802" s="98" t="str">
        <f>IFERROR(__xludf.DUMMYFUNCTION("""COMPUTED_VALUE"""),"Mandari")</f>
        <v>Mandari</v>
      </c>
      <c r="D802" s="98" t="str">
        <f>IFERROR(__xludf.DUMMYFUNCTION("""COMPUTED_VALUE"""),"705723744")</f>
        <v>705723744</v>
      </c>
      <c r="E802" s="98" t="str">
        <f>IFERROR(__xludf.DUMMYFUNCTION("""COMPUTED_VALUE"""),"N")</f>
        <v>N</v>
      </c>
      <c r="F802" s="98" t="str">
        <f>IFERROR(__xludf.DUMMYFUNCTION("""COMPUTED_VALUE"""),"P &amp; S Help Investment Pvt(Ltd)")</f>
        <v>P &amp; S Help Investment Pvt(Ltd)</v>
      </c>
      <c r="G802" s="98" t="str">
        <f>IFERROR(__xludf.DUMMYFUNCTION("""COMPUTED_VALUE"""),"BA770261")</f>
        <v>BA770261</v>
      </c>
      <c r="H802" s="98" t="str">
        <f>IFERROR(__xludf.DUMMYFUNCTION("""COMPUTED_VALUE"""),"Re Deliver")</f>
        <v>Re Deliver</v>
      </c>
      <c r="I802" s="98" t="str">
        <f>IFERROR(__xludf.DUMMYFUNCTION("""COMPUTED_VALUE"""),"Wattala")</f>
        <v>Wattala</v>
      </c>
      <c r="J802" s="98" t="str">
        <f>IFERROR(__xludf.DUMMYFUNCTION("""COMPUTED_VALUE"""),"Received At Destination")</f>
        <v>Received At Destination</v>
      </c>
      <c r="K802" s="98" t="str">
        <f>IFERROR(__xludf.DUMMYFUNCTION("""COMPUTED_VALUE"""),"Branch Operations")</f>
        <v>Branch Operations</v>
      </c>
      <c r="L802" s="98" t="str">
        <f>IFERROR(__xludf.DUMMYFUNCTION("""COMPUTED_VALUE"""),"Details Given")</f>
        <v>Details Given</v>
      </c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>
      <c r="A803" s="82"/>
      <c r="B803" s="106" t="str">
        <f>IFERROR(__xludf.DUMMYFUNCTION("""COMPUTED_VALUE"""),"1079")</f>
        <v>1079</v>
      </c>
      <c r="C803" s="106" t="str">
        <f>IFERROR(__xludf.DUMMYFUNCTION("""COMPUTED_VALUE"""),"Lakshani")</f>
        <v>Lakshani</v>
      </c>
      <c r="D803" s="106" t="str">
        <f>IFERROR(__xludf.DUMMYFUNCTION("""COMPUTED_VALUE"""),"774630570")</f>
        <v>774630570</v>
      </c>
      <c r="E803" s="106" t="str">
        <f>IFERROR(__xludf.DUMMYFUNCTION("""COMPUTED_VALUE"""),"Y")</f>
        <v>Y</v>
      </c>
      <c r="F803" s="106" t="str">
        <f>IFERROR(__xludf.DUMMYFUNCTION("""COMPUTED_VALUE"""),"Mangala Holdings")</f>
        <v>Mangala Holdings</v>
      </c>
      <c r="G803" s="106" t="str">
        <f>IFERROR(__xludf.DUMMYFUNCTION("""COMPUTED_VALUE"""),"BE083066")</f>
        <v>BE083066</v>
      </c>
      <c r="H803" s="106" t="str">
        <f>IFERROR(__xludf.DUMMYFUNCTION("""COMPUTED_VALUE"""),"Customer Want Return The Package")</f>
        <v>Customer Want Return The Package</v>
      </c>
      <c r="I803" s="106" t="str">
        <f>IFERROR(__xludf.DUMMYFUNCTION("""COMPUTED_VALUE"""),"Mirigama")</f>
        <v>Mirigama</v>
      </c>
      <c r="J803" s="106" t="str">
        <f>IFERROR(__xludf.DUMMYFUNCTION("""COMPUTED_VALUE"""),"Received At Destination")</f>
        <v>Received At Destination</v>
      </c>
      <c r="K803" s="106" t="str">
        <f>IFERROR(__xludf.DUMMYFUNCTION("""COMPUTED_VALUE"""),"Branch Operations")</f>
        <v>Branch Operations</v>
      </c>
      <c r="L803" s="106" t="str">
        <f>IFERROR(__xludf.DUMMYFUNCTION("""COMPUTED_VALUE"""),"Informed Genzo Nethmi")</f>
        <v>Informed Genzo Nethmi</v>
      </c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>
      <c r="A804" s="82"/>
      <c r="B804" s="98" t="str">
        <f>IFERROR(__xludf.DUMMYFUNCTION("""COMPUTED_VALUE"""),"1080")</f>
        <v>1080</v>
      </c>
      <c r="C804" s="98" t="str">
        <f>IFERROR(__xludf.DUMMYFUNCTION("""COMPUTED_VALUE"""),"Mandari")</f>
        <v>Mandari</v>
      </c>
      <c r="D804" s="98" t="str">
        <f>IFERROR(__xludf.DUMMYFUNCTION("""COMPUTED_VALUE"""),"773490515")</f>
        <v>773490515</v>
      </c>
      <c r="E804" s="98" t="str">
        <f>IFERROR(__xludf.DUMMYFUNCTION("""COMPUTED_VALUE"""),"Y")</f>
        <v>Y</v>
      </c>
      <c r="F804" s="98" t="str">
        <f>IFERROR(__xludf.DUMMYFUNCTION("""COMPUTED_VALUE"""),"Lh Calligraphy")</f>
        <v>Lh Calligraphy</v>
      </c>
      <c r="G804" s="98" t="str">
        <f>IFERROR(__xludf.DUMMYFUNCTION("""COMPUTED_VALUE"""),"A1106495")</f>
        <v>A1106495</v>
      </c>
      <c r="H804" s="98" t="str">
        <f>IFERROR(__xludf.DUMMYFUNCTION("""COMPUTED_VALUE"""),"Urgent Today")</f>
        <v>Urgent Today</v>
      </c>
      <c r="I804" s="98" t="str">
        <f>IFERROR(__xludf.DUMMYFUNCTION("""COMPUTED_VALUE"""),"Imaduwa")</f>
        <v>Imaduwa</v>
      </c>
      <c r="J804" s="98" t="str">
        <f>IFERROR(__xludf.DUMMYFUNCTION("""COMPUTED_VALUE"""),"Received At Destination")</f>
        <v>Received At Destination</v>
      </c>
      <c r="K804" s="98" t="str">
        <f>IFERROR(__xludf.DUMMYFUNCTION("""COMPUTED_VALUE"""),"Branch Operations")</f>
        <v>Branch Operations</v>
      </c>
      <c r="L804" s="98" t="str">
        <f>IFERROR(__xludf.DUMMYFUNCTION("""COMPUTED_VALUE"""),"Informed Branch")</f>
        <v>Informed Branch</v>
      </c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>
      <c r="A805" s="82"/>
      <c r="B805" s="106" t="str">
        <f>IFERROR(__xludf.DUMMYFUNCTION("""COMPUTED_VALUE"""),"1081")</f>
        <v>1081</v>
      </c>
      <c r="C805" s="106" t="str">
        <f>IFERROR(__xludf.DUMMYFUNCTION("""COMPUTED_VALUE"""),"Umesha")</f>
        <v>Umesha</v>
      </c>
      <c r="D805" s="106" t="str">
        <f>IFERROR(__xludf.DUMMYFUNCTION("""COMPUTED_VALUE"""),"773310964")</f>
        <v>773310964</v>
      </c>
      <c r="E805" s="106" t="str">
        <f>IFERROR(__xludf.DUMMYFUNCTION("""COMPUTED_VALUE"""),"Y")</f>
        <v>Y</v>
      </c>
      <c r="F805" s="107" t="str">
        <f>IFERROR(__xludf.DUMMYFUNCTION("""COMPUTED_VALUE"""),"Splash.Lk")</f>
        <v>Splash.Lk</v>
      </c>
      <c r="G805" s="106" t="str">
        <f>IFERROR(__xludf.DUMMYFUNCTION("""COMPUTED_VALUE"""),"A4715695")</f>
        <v>A4715695</v>
      </c>
      <c r="H805" s="106" t="str">
        <f>IFERROR(__xludf.DUMMYFUNCTION("""COMPUTED_VALUE"""),"Not Responded")</f>
        <v>Not Responded</v>
      </c>
      <c r="I805" s="106" t="str">
        <f>IFERROR(__xludf.DUMMYFUNCTION("""COMPUTED_VALUE"""),"Ratmalana")</f>
        <v>Ratmalana</v>
      </c>
      <c r="J805" s="106" t="str">
        <f>IFERROR(__xludf.DUMMYFUNCTION("""COMPUTED_VALUE"""),"Returned To Branch Failed To Deliver")</f>
        <v>Returned To Branch Failed To Deliver</v>
      </c>
      <c r="K805" s="106" t="str">
        <f>IFERROR(__xludf.DUMMYFUNCTION("""COMPUTED_VALUE"""),"Customer Care")</f>
        <v>Customer Care</v>
      </c>
      <c r="L805" s="106" t="str">
        <f>IFERROR(__xludf.DUMMYFUNCTION("""COMPUTED_VALUE"""),"Given No")</f>
        <v>Given No</v>
      </c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>
      <c r="A806" s="82"/>
      <c r="B806" s="98" t="str">
        <f>IFERROR(__xludf.DUMMYFUNCTION("""COMPUTED_VALUE"""),"1082")</f>
        <v>1082</v>
      </c>
      <c r="C806" s="98" t="str">
        <f>IFERROR(__xludf.DUMMYFUNCTION("""COMPUTED_VALUE"""),"Jeni")</f>
        <v>Jeni</v>
      </c>
      <c r="D806" s="98" t="str">
        <f>IFERROR(__xludf.DUMMYFUNCTION("""COMPUTED_VALUE"""),"775327877")</f>
        <v>775327877</v>
      </c>
      <c r="E806" s="98" t="str">
        <f>IFERROR(__xludf.DUMMYFUNCTION("""COMPUTED_VALUE"""),"N")</f>
        <v>N</v>
      </c>
      <c r="F806" s="98" t="str">
        <f>IFERROR(__xludf.DUMMYFUNCTION("""COMPUTED_VALUE"""),"Clothing Brands")</f>
        <v>Clothing Brands</v>
      </c>
      <c r="G806" s="98" t="str">
        <f>IFERROR(__xludf.DUMMYFUNCTION("""COMPUTED_VALUE"""),"BA778333")</f>
        <v>BA778333</v>
      </c>
      <c r="H806" s="98" t="str">
        <f>IFERROR(__xludf.DUMMYFUNCTION("""COMPUTED_VALUE"""),"Customer Want Return The Package")</f>
        <v>Customer Want Return The Package</v>
      </c>
      <c r="I806" s="98" t="str">
        <f>IFERROR(__xludf.DUMMYFUNCTION("""COMPUTED_VALUE"""),"Kurunegala")</f>
        <v>Kurunegala</v>
      </c>
      <c r="J806" s="98" t="str">
        <f>IFERROR(__xludf.DUMMYFUNCTION("""COMPUTED_VALUE"""),"Delivered")</f>
        <v>Delivered</v>
      </c>
      <c r="K806" s="98" t="str">
        <f>IFERROR(__xludf.DUMMYFUNCTION("""COMPUTED_VALUE"""),"Customer Care")</f>
        <v>Customer Care</v>
      </c>
      <c r="L806" s="98" t="str">
        <f>IFERROR(__xludf.DUMMYFUNCTION("""COMPUTED_VALUE"""),"Info Branch")</f>
        <v>Info Branch</v>
      </c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>
      <c r="A807" s="82"/>
      <c r="B807" s="106" t="str">
        <f>IFERROR(__xludf.DUMMYFUNCTION("""COMPUTED_VALUE"""),"1083")</f>
        <v>1083</v>
      </c>
      <c r="C807" s="106" t="str">
        <f>IFERROR(__xludf.DUMMYFUNCTION("""COMPUTED_VALUE"""),"Lakshani")</f>
        <v>Lakshani</v>
      </c>
      <c r="D807" s="106" t="str">
        <f>IFERROR(__xludf.DUMMYFUNCTION("""COMPUTED_VALUE"""),"702269260")</f>
        <v>702269260</v>
      </c>
      <c r="E807" s="106" t="str">
        <f>IFERROR(__xludf.DUMMYFUNCTION("""COMPUTED_VALUE"""),"N")</f>
        <v>N</v>
      </c>
      <c r="F807" s="106" t="str">
        <f>IFERROR(__xludf.DUMMYFUNCTION("""COMPUTED_VALUE"""),"Angel Attic")</f>
        <v>Angel Attic</v>
      </c>
      <c r="G807" s="106" t="str">
        <f>IFERROR(__xludf.DUMMYFUNCTION("""COMPUTED_VALUE"""),"BE107327")</f>
        <v>BE107327</v>
      </c>
      <c r="H807" s="106" t="str">
        <f>IFERROR(__xludf.DUMMYFUNCTION("""COMPUTED_VALUE"""),"Order Status")</f>
        <v>Order Status</v>
      </c>
      <c r="I807" s="106" t="str">
        <f>IFERROR(__xludf.DUMMYFUNCTION("""COMPUTED_VALUE"""),"Colombo Metro")</f>
        <v>Colombo Metro</v>
      </c>
      <c r="J807" s="106" t="str">
        <f>IFERROR(__xludf.DUMMYFUNCTION("""COMPUTED_VALUE"""),"Out For Delivery")</f>
        <v>Out For Delivery</v>
      </c>
      <c r="K807" s="106" t="str">
        <f>IFERROR(__xludf.DUMMYFUNCTION("""COMPUTED_VALUE"""),"Customer Care")</f>
        <v>Customer Care</v>
      </c>
      <c r="L807" s="106" t="str">
        <f>IFERROR(__xludf.DUMMYFUNCTION("""COMPUTED_VALUE"""),"Informed Branch Supervisor Number Via A Whatsapp")</f>
        <v>Informed Branch Supervisor Number Via A Whatsapp</v>
      </c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>
      <c r="A808" s="82"/>
      <c r="B808" s="98" t="str">
        <f>IFERROR(__xludf.DUMMYFUNCTION("""COMPUTED_VALUE"""),"1084")</f>
        <v>1084</v>
      </c>
      <c r="C808" s="98" t="str">
        <f>IFERROR(__xludf.DUMMYFUNCTION("""COMPUTED_VALUE"""),"Malik")</f>
        <v>Malik</v>
      </c>
      <c r="D808" s="98" t="str">
        <f>IFERROR(__xludf.DUMMYFUNCTION("""COMPUTED_VALUE"""),"770305314")</f>
        <v>770305314</v>
      </c>
      <c r="E808" s="98" t="str">
        <f>IFERROR(__xludf.DUMMYFUNCTION("""COMPUTED_VALUE"""),"Y")</f>
        <v>Y</v>
      </c>
      <c r="F808" s="98" t="str">
        <f>IFERROR(__xludf.DUMMYFUNCTION("""COMPUTED_VALUE"""),"Nexwin")</f>
        <v>Nexwin</v>
      </c>
      <c r="G808" s="98" t="str">
        <f>IFERROR(__xludf.DUMMYFUNCTION("""COMPUTED_VALUE"""),"A4409255")</f>
        <v>A4409255</v>
      </c>
      <c r="H808" s="98" t="str">
        <f>IFERROR(__xludf.DUMMYFUNCTION("""COMPUTED_VALUE"""),"Answerd &amp; Cut The Line")</f>
        <v>Answerd &amp; Cut The Line</v>
      </c>
      <c r="I808" s="98" t="str">
        <f>IFERROR(__xludf.DUMMYFUNCTION("""COMPUTED_VALUE"""),"Thalawathugoda")</f>
        <v>Thalawathugoda</v>
      </c>
      <c r="J808" s="98" t="str">
        <f>IFERROR(__xludf.DUMMYFUNCTION("""COMPUTED_VALUE"""),"Out For Delivery")</f>
        <v>Out For Delivery</v>
      </c>
      <c r="K808" s="98" t="str">
        <f>IFERROR(__xludf.DUMMYFUNCTION("""COMPUTED_VALUE"""),"Branch Operations")</f>
        <v>Branch Operations</v>
      </c>
      <c r="L808" s="98" t="str">
        <f>IFERROR(__xludf.DUMMYFUNCTION("""COMPUTED_VALUE"""),"Balangoda Branch")</f>
        <v>Balangoda Branch</v>
      </c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>
      <c r="A809" s="82"/>
      <c r="B809" s="106" t="str">
        <f>IFERROR(__xludf.DUMMYFUNCTION("""COMPUTED_VALUE"""),"1085")</f>
        <v>1085</v>
      </c>
      <c r="C809" s="106" t="str">
        <f>IFERROR(__xludf.DUMMYFUNCTION("""COMPUTED_VALUE"""),"Malik")</f>
        <v>Malik</v>
      </c>
      <c r="D809" s="106" t="str">
        <f>IFERROR(__xludf.DUMMYFUNCTION("""COMPUTED_VALUE"""),"770305314")</f>
        <v>770305314</v>
      </c>
      <c r="E809" s="106" t="str">
        <f>IFERROR(__xludf.DUMMYFUNCTION("""COMPUTED_VALUE"""),"N")</f>
        <v>N</v>
      </c>
      <c r="F809" s="106" t="str">
        <f>IFERROR(__xludf.DUMMYFUNCTION("""COMPUTED_VALUE"""),"Quick Mart.Lk")</f>
        <v>Quick Mart.Lk</v>
      </c>
      <c r="G809" s="106" t="str">
        <f>IFERROR(__xludf.DUMMYFUNCTION("""COMPUTED_VALUE"""),"A4456082")</f>
        <v>A4456082</v>
      </c>
      <c r="H809" s="106" t="str">
        <f>IFERROR(__xludf.DUMMYFUNCTION("""COMPUTED_VALUE"""),"Order Status")</f>
        <v>Order Status</v>
      </c>
      <c r="I809" s="106" t="str">
        <f>IFERROR(__xludf.DUMMYFUNCTION("""COMPUTED_VALUE"""),"Dambulla")</f>
        <v>Dambulla</v>
      </c>
      <c r="J809" s="106" t="str">
        <f>IFERROR(__xludf.DUMMYFUNCTION("""COMPUTED_VALUE"""),"Out For Delivery")</f>
        <v>Out For Delivery</v>
      </c>
      <c r="K809" s="106" t="str">
        <f>IFERROR(__xludf.DUMMYFUNCTION("""COMPUTED_VALUE"""),"Customer Care")</f>
        <v>Customer Care</v>
      </c>
      <c r="L809" s="106" t="str">
        <f>IFERROR(__xludf.DUMMYFUNCTION("""COMPUTED_VALUE"""),"Given Details")</f>
        <v>Given Details</v>
      </c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>
      <c r="A810" s="82"/>
      <c r="B810" s="98" t="str">
        <f>IFERROR(__xludf.DUMMYFUNCTION("""COMPUTED_VALUE"""),"1086")</f>
        <v>1086</v>
      </c>
      <c r="C810" s="98" t="str">
        <f>IFERROR(__xludf.DUMMYFUNCTION("""COMPUTED_VALUE"""),"Umesha")</f>
        <v>Umesha</v>
      </c>
      <c r="D810" s="98" t="str">
        <f>IFERROR(__xludf.DUMMYFUNCTION("""COMPUTED_VALUE"""),"770063998")</f>
        <v>770063998</v>
      </c>
      <c r="E810" s="98" t="str">
        <f>IFERROR(__xludf.DUMMYFUNCTION("""COMPUTED_VALUE"""),"N")</f>
        <v>N</v>
      </c>
      <c r="F810" s="98" t="str">
        <f>IFERROR(__xludf.DUMMYFUNCTION("""COMPUTED_VALUE"""),"Samanali Products")</f>
        <v>Samanali Products</v>
      </c>
      <c r="G810" s="98" t="str">
        <f>IFERROR(__xludf.DUMMYFUNCTION("""COMPUTED_VALUE"""),"BE083066")</f>
        <v>BE083066</v>
      </c>
      <c r="H810" s="98" t="str">
        <f>IFERROR(__xludf.DUMMYFUNCTION("""COMPUTED_VALUE"""),"Arrange To Deliver Today / Top Urgant")</f>
        <v>Arrange To Deliver Today / Top Urgant</v>
      </c>
      <c r="I810" s="98" t="str">
        <f>IFERROR(__xludf.DUMMYFUNCTION("""COMPUTED_VALUE"""),"Thalawathugoda")</f>
        <v>Thalawathugoda</v>
      </c>
      <c r="J810" s="98" t="str">
        <f>IFERROR(__xludf.DUMMYFUNCTION("""COMPUTED_VALUE"""),"Collect From Return Shuttle")</f>
        <v>Collect From Return Shuttle</v>
      </c>
      <c r="K810" s="98" t="str">
        <f>IFERROR(__xludf.DUMMYFUNCTION("""COMPUTED_VALUE"""),"Branch Operations")</f>
        <v>Branch Operations</v>
      </c>
      <c r="L810" s="98" t="str">
        <f>IFERROR(__xludf.DUMMYFUNCTION("""COMPUTED_VALUE"""),"Informed Client")</f>
        <v>Informed Client</v>
      </c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>
      <c r="A811" s="82"/>
      <c r="B811" s="106" t="str">
        <f>IFERROR(__xludf.DUMMYFUNCTION("""COMPUTED_VALUE"""),"1087")</f>
        <v>1087</v>
      </c>
      <c r="C811" s="106" t="str">
        <f>IFERROR(__xludf.DUMMYFUNCTION("""COMPUTED_VALUE"""),"Jeni")</f>
        <v>Jeni</v>
      </c>
      <c r="D811" s="106" t="str">
        <f>IFERROR(__xludf.DUMMYFUNCTION("""COMPUTED_VALUE"""),"759109475")</f>
        <v>759109475</v>
      </c>
      <c r="E811" s="106" t="str">
        <f>IFERROR(__xludf.DUMMYFUNCTION("""COMPUTED_VALUE"""),"Y")</f>
        <v>Y</v>
      </c>
      <c r="F811" s="106" t="str">
        <f>IFERROR(__xludf.DUMMYFUNCTION("""COMPUTED_VALUE"""),"Sr Center")</f>
        <v>Sr Center</v>
      </c>
      <c r="G811" s="106" t="str">
        <f>IFERROR(__xludf.DUMMYFUNCTION("""COMPUTED_VALUE"""),"90815443")</f>
        <v>90815443</v>
      </c>
      <c r="H811" s="106" t="str">
        <f>IFERROR(__xludf.DUMMYFUNCTION("""COMPUTED_VALUE"""),"Order Status")</f>
        <v>Order Status</v>
      </c>
      <c r="I811" s="106" t="str">
        <f>IFERROR(__xludf.DUMMYFUNCTION("""COMPUTED_VALUE"""),"Thalawathugoda")</f>
        <v>Thalawathugoda</v>
      </c>
      <c r="J811" s="106" t="str">
        <f>IFERROR(__xludf.DUMMYFUNCTION("""COMPUTED_VALUE"""),"Returned To Branch Rescheduled")</f>
        <v>Returned To Branch Rescheduled</v>
      </c>
      <c r="K811" s="106" t="str">
        <f>IFERROR(__xludf.DUMMYFUNCTION("""COMPUTED_VALUE"""),"Customer Care")</f>
        <v>Customer Care</v>
      </c>
      <c r="L811" s="106" t="str">
        <f>IFERROR(__xludf.DUMMYFUNCTION("""COMPUTED_VALUE"""),"Done")</f>
        <v>Done</v>
      </c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>
      <c r="A812" s="82"/>
      <c r="B812" s="98" t="str">
        <f>IFERROR(__xludf.DUMMYFUNCTION("""COMPUTED_VALUE"""),"1088")</f>
        <v>1088</v>
      </c>
      <c r="C812" s="98" t="str">
        <f>IFERROR(__xludf.DUMMYFUNCTION("""COMPUTED_VALUE"""),"Malik")</f>
        <v>Malik</v>
      </c>
      <c r="D812" s="98" t="str">
        <f>IFERROR(__xludf.DUMMYFUNCTION("""COMPUTED_VALUE"""),"779820678")</f>
        <v>779820678</v>
      </c>
      <c r="E812" s="98" t="str">
        <f>IFERROR(__xludf.DUMMYFUNCTION("""COMPUTED_VALUE"""),"N")</f>
        <v>N</v>
      </c>
      <c r="F812" s="98" t="str">
        <f>IFERROR(__xludf.DUMMYFUNCTION("""COMPUTED_VALUE"""),"Neth Fashion Clothing")</f>
        <v>Neth Fashion Clothing</v>
      </c>
      <c r="G812" s="98" t="str">
        <f>IFERROR(__xludf.DUMMYFUNCTION("""COMPUTED_VALUE"""),"A4170424")</f>
        <v>A4170424</v>
      </c>
      <c r="H812" s="98" t="str">
        <f>IFERROR(__xludf.DUMMYFUNCTION("""COMPUTED_VALUE"""),"Way Bill Not To The System")</f>
        <v>Way Bill Not To The System</v>
      </c>
      <c r="I812" s="98" t="str">
        <f>IFERROR(__xludf.DUMMYFUNCTION("""COMPUTED_VALUE"""),"Pilimathlawa")</f>
        <v>Pilimathlawa</v>
      </c>
      <c r="J812" s="98" t="str">
        <f>IFERROR(__xludf.DUMMYFUNCTION("""COMPUTED_VALUE"""),"Delivered")</f>
        <v>Delivered</v>
      </c>
      <c r="K812" s="98" t="str">
        <f>IFERROR(__xludf.DUMMYFUNCTION("""COMPUTED_VALUE"""),"Branch Operations")</f>
        <v>Branch Operations</v>
      </c>
      <c r="L812" s="98" t="str">
        <f>IFERROR(__xludf.DUMMYFUNCTION("""COMPUTED_VALUE"""),"Call Transfer Domestic Department")</f>
        <v>Call Transfer Domestic Department</v>
      </c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>
      <c r="A813" s="82"/>
      <c r="B813" s="106" t="str">
        <f>IFERROR(__xludf.DUMMYFUNCTION("""COMPUTED_VALUE"""),"1089")</f>
        <v>1089</v>
      </c>
      <c r="C813" s="106" t="str">
        <f>IFERROR(__xludf.DUMMYFUNCTION("""COMPUTED_VALUE"""),"Lakshani")</f>
        <v>Lakshani</v>
      </c>
      <c r="D813" s="106" t="str">
        <f>IFERROR(__xludf.DUMMYFUNCTION("""COMPUTED_VALUE"""),"763081103")</f>
        <v>763081103</v>
      </c>
      <c r="E813" s="106" t="str">
        <f>IFERROR(__xludf.DUMMYFUNCTION("""COMPUTED_VALUE"""),"Y")</f>
        <v>Y</v>
      </c>
      <c r="F813" s="106" t="str">
        <f>IFERROR(__xludf.DUMMYFUNCTION("""COMPUTED_VALUE"""),"The Axon")</f>
        <v>The Axon</v>
      </c>
      <c r="G813" s="106" t="str">
        <f>IFERROR(__xludf.DUMMYFUNCTION("""COMPUTED_VALUE"""),"A4364264")</f>
        <v>A4364264</v>
      </c>
      <c r="H813" s="106" t="str">
        <f>IFERROR(__xludf.DUMMYFUNCTION("""COMPUTED_VALUE"""),"Arrange The Package")</f>
        <v>Arrange The Package</v>
      </c>
      <c r="I813" s="106" t="str">
        <f>IFERROR(__xludf.DUMMYFUNCTION("""COMPUTED_VALUE"""),"Colombo Metro")</f>
        <v>Colombo Metro</v>
      </c>
      <c r="J813" s="106" t="str">
        <f>IFERROR(__xludf.DUMMYFUNCTION("""COMPUTED_VALUE"""),"Received At Destination")</f>
        <v>Received At Destination</v>
      </c>
      <c r="K813" s="106" t="str">
        <f>IFERROR(__xludf.DUMMYFUNCTION("""COMPUTED_VALUE"""),"Return")</f>
        <v>Return</v>
      </c>
      <c r="L813" s="106" t="str">
        <f>IFERROR(__xludf.DUMMYFUNCTION("""COMPUTED_VALUE"""),"Done")</f>
        <v>Done</v>
      </c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>
      <c r="A814" s="82"/>
      <c r="B814" s="98" t="str">
        <f>IFERROR(__xludf.DUMMYFUNCTION("""COMPUTED_VALUE"""),"1090")</f>
        <v>1090</v>
      </c>
      <c r="C814" s="98" t="str">
        <f>IFERROR(__xludf.DUMMYFUNCTION("""COMPUTED_VALUE"""),"Lakshani")</f>
        <v>Lakshani</v>
      </c>
      <c r="D814" s="98" t="str">
        <f>IFERROR(__xludf.DUMMYFUNCTION("""COMPUTED_VALUE"""),"773705652")</f>
        <v>773705652</v>
      </c>
      <c r="E814" s="98" t="str">
        <f>IFERROR(__xludf.DUMMYFUNCTION("""COMPUTED_VALUE"""),"N")</f>
        <v>N</v>
      </c>
      <c r="F814" s="98" t="str">
        <f>IFERROR(__xludf.DUMMYFUNCTION("""COMPUTED_VALUE"""),"Faith Store")</f>
        <v>Faith Store</v>
      </c>
      <c r="G814" s="98" t="str">
        <f>IFERROR(__xludf.DUMMYFUNCTION("""COMPUTED_VALUE"""),"A4564238")</f>
        <v>A4564238</v>
      </c>
      <c r="H814" s="98" t="str">
        <f>IFERROR(__xludf.DUMMYFUNCTION("""COMPUTED_VALUE"""),"Arrange To Deliver Today / Top Urgant")</f>
        <v>Arrange To Deliver Today / Top Urgant</v>
      </c>
      <c r="I814" s="98" t="str">
        <f>IFERROR(__xludf.DUMMYFUNCTION("""COMPUTED_VALUE"""),"Horana")</f>
        <v>Horana</v>
      </c>
      <c r="J814" s="98" t="str">
        <f>IFERROR(__xludf.DUMMYFUNCTION("""COMPUTED_VALUE"""),"Returned To Branch Rescheduled")</f>
        <v>Returned To Branch Rescheduled</v>
      </c>
      <c r="K814" s="98" t="str">
        <f>IFERROR(__xludf.DUMMYFUNCTION("""COMPUTED_VALUE"""),"Customer Care")</f>
        <v>Customer Care</v>
      </c>
      <c r="L814" s="98" t="str">
        <f>IFERROR(__xludf.DUMMYFUNCTION("""COMPUTED_VALUE"""),"Informed Branch")</f>
        <v>Informed Branch</v>
      </c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>
      <c r="A815" s="82"/>
      <c r="B815" s="106" t="str">
        <f>IFERROR(__xludf.DUMMYFUNCTION("""COMPUTED_VALUE"""),"1091")</f>
        <v>1091</v>
      </c>
      <c r="C815" s="106" t="str">
        <f>IFERROR(__xludf.DUMMYFUNCTION("""COMPUTED_VALUE"""),"Jeni")</f>
        <v>Jeni</v>
      </c>
      <c r="D815" s="106" t="str">
        <f>IFERROR(__xludf.DUMMYFUNCTION("""COMPUTED_VALUE"""),"704268551")</f>
        <v>704268551</v>
      </c>
      <c r="E815" s="106" t="str">
        <f>IFERROR(__xludf.DUMMYFUNCTION("""COMPUTED_VALUE"""),"N")</f>
        <v>N</v>
      </c>
      <c r="F815" s="106" t="str">
        <f>IFERROR(__xludf.DUMMYFUNCTION("""COMPUTED_VALUE"""),"Shani Co.")</f>
        <v>Shani Co.</v>
      </c>
      <c r="G815" s="106" t="str">
        <f>IFERROR(__xludf.DUMMYFUNCTION("""COMPUTED_VALUE"""),"A4702119")</f>
        <v>A4702119</v>
      </c>
      <c r="H815" s="106" t="str">
        <f>IFERROR(__xludf.DUMMYFUNCTION("""COMPUTED_VALUE"""),"Arrange To Deliver Today / Top Urgant")</f>
        <v>Arrange To Deliver Today / Top Urgant</v>
      </c>
      <c r="I815" s="106" t="str">
        <f>IFERROR(__xludf.DUMMYFUNCTION("""COMPUTED_VALUE"""),"Nuwara Eliya")</f>
        <v>Nuwara Eliya</v>
      </c>
      <c r="J815" s="106" t="str">
        <f>IFERROR(__xludf.DUMMYFUNCTION("""COMPUTED_VALUE"""),"Delivered")</f>
        <v>Delivered</v>
      </c>
      <c r="K815" s="106" t="str">
        <f>IFERROR(__xludf.DUMMYFUNCTION("""COMPUTED_VALUE"""),"Customer Care")</f>
        <v>Customer Care</v>
      </c>
      <c r="L815" s="106" t="str">
        <f>IFERROR(__xludf.DUMMYFUNCTION("""COMPUTED_VALUE"""),"Informed Genzo Team")</f>
        <v>Informed Genzo Team</v>
      </c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>
      <c r="A816" s="82"/>
      <c r="B816" s="98" t="str">
        <f>IFERROR(__xludf.DUMMYFUNCTION("""COMPUTED_VALUE"""),"1092")</f>
        <v>1092</v>
      </c>
      <c r="C816" s="98" t="str">
        <f>IFERROR(__xludf.DUMMYFUNCTION("""COMPUTED_VALUE"""),"Umesha")</f>
        <v>Umesha</v>
      </c>
      <c r="D816" s="98" t="str">
        <f>IFERROR(__xludf.DUMMYFUNCTION("""COMPUTED_VALUE"""),"772853693")</f>
        <v>772853693</v>
      </c>
      <c r="E816" s="98" t="str">
        <f>IFERROR(__xludf.DUMMYFUNCTION("""COMPUTED_VALUE"""),"N")</f>
        <v>N</v>
      </c>
      <c r="F816" s="98" t="str">
        <f>IFERROR(__xludf.DUMMYFUNCTION("""COMPUTED_VALUE"""),"Winpro Holdings")</f>
        <v>Winpro Holdings</v>
      </c>
      <c r="G816" s="98" t="str">
        <f>IFERROR(__xludf.DUMMYFUNCTION("""COMPUTED_VALUE"""),"BE086979")</f>
        <v>BE086979</v>
      </c>
      <c r="H816" s="98" t="str">
        <f>IFERROR(__xludf.DUMMYFUNCTION("""COMPUTED_VALUE"""),"Order Status")</f>
        <v>Order Status</v>
      </c>
      <c r="I816" s="98" t="str">
        <f>IFERROR(__xludf.DUMMYFUNCTION("""COMPUTED_VALUE"""),"Wennappuwa")</f>
        <v>Wennappuwa</v>
      </c>
      <c r="J816" s="98" t="str">
        <f>IFERROR(__xludf.DUMMYFUNCTION("""COMPUTED_VALUE"""),"Out For Delivery")</f>
        <v>Out For Delivery</v>
      </c>
      <c r="K816" s="98" t="str">
        <f>IFERROR(__xludf.DUMMYFUNCTION("""COMPUTED_VALUE"""),"Customer Care")</f>
        <v>Customer Care</v>
      </c>
      <c r="L816" s="98" t="str">
        <f>IFERROR(__xludf.DUMMYFUNCTION("""COMPUTED_VALUE"""),"Given Details")</f>
        <v>Given Details</v>
      </c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>
      <c r="A817" s="82"/>
      <c r="B817" s="106" t="str">
        <f>IFERROR(__xludf.DUMMYFUNCTION("""COMPUTED_VALUE"""),"1093")</f>
        <v>1093</v>
      </c>
      <c r="C817" s="106" t="str">
        <f>IFERROR(__xludf.DUMMYFUNCTION("""COMPUTED_VALUE"""),"Lakshani")</f>
        <v>Lakshani</v>
      </c>
      <c r="D817" s="106" t="str">
        <f>IFERROR(__xludf.DUMMYFUNCTION("""COMPUTED_VALUE"""),"711743454")</f>
        <v>711743454</v>
      </c>
      <c r="E817" s="106" t="str">
        <f>IFERROR(__xludf.DUMMYFUNCTION("""COMPUTED_VALUE"""),"Y")</f>
        <v>Y</v>
      </c>
      <c r="F817" s="106" t="str">
        <f>IFERROR(__xludf.DUMMYFUNCTION("""COMPUTED_VALUE"""),"Super Ayurvedic")</f>
        <v>Super Ayurvedic</v>
      </c>
      <c r="G817" s="106" t="str">
        <f>IFERROR(__xludf.DUMMYFUNCTION("""COMPUTED_VALUE"""),"BD982980")</f>
        <v>BD982980</v>
      </c>
      <c r="H817" s="106" t="str">
        <f>IFERROR(__xludf.DUMMYFUNCTION("""COMPUTED_VALUE"""),"Not Responded")</f>
        <v>Not Responded</v>
      </c>
      <c r="I817" s="106" t="str">
        <f>IFERROR(__xludf.DUMMYFUNCTION("""COMPUTED_VALUE"""),"Polonnaruwa")</f>
        <v>Polonnaruwa</v>
      </c>
      <c r="J817" s="106" t="str">
        <f>IFERROR(__xludf.DUMMYFUNCTION("""COMPUTED_VALUE"""),"Out For Delivery")</f>
        <v>Out For Delivery</v>
      </c>
      <c r="K817" s="106" t="str">
        <f>IFERROR(__xludf.DUMMYFUNCTION("""COMPUTED_VALUE"""),"Branch Operations")</f>
        <v>Branch Operations</v>
      </c>
      <c r="L817" s="106" t="str">
        <f>IFERROR(__xludf.DUMMYFUNCTION("""COMPUTED_VALUE"""),"Call Transfer Sales Department")</f>
        <v>Call Transfer Sales Department</v>
      </c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>
      <c r="A818" s="82"/>
      <c r="B818" s="98" t="str">
        <f>IFERROR(__xludf.DUMMYFUNCTION("""COMPUTED_VALUE"""),"1094")</f>
        <v>1094</v>
      </c>
      <c r="C818" s="98" t="str">
        <f>IFERROR(__xludf.DUMMYFUNCTION("""COMPUTED_VALUE"""),"Lakshani")</f>
        <v>Lakshani</v>
      </c>
      <c r="D818" s="98" t="str">
        <f>IFERROR(__xludf.DUMMYFUNCTION("""COMPUTED_VALUE"""),"717127550")</f>
        <v>717127550</v>
      </c>
      <c r="E818" s="98" t="str">
        <f>IFERROR(__xludf.DUMMYFUNCTION("""COMPUTED_VALUE"""),"Y")</f>
        <v>Y</v>
      </c>
      <c r="F818" s="98" t="str">
        <f>IFERROR(__xludf.DUMMYFUNCTION("""COMPUTED_VALUE"""),"Happyfly")</f>
        <v>Happyfly</v>
      </c>
      <c r="G818" s="98" t="str">
        <f>IFERROR(__xludf.DUMMYFUNCTION("""COMPUTED_VALUE"""),"A4086806")</f>
        <v>A4086806</v>
      </c>
      <c r="H818" s="98" t="str">
        <f>IFERROR(__xludf.DUMMYFUNCTION("""COMPUTED_VALUE"""),"Re Deliver")</f>
        <v>Re Deliver</v>
      </c>
      <c r="I818" s="98" t="str">
        <f>IFERROR(__xludf.DUMMYFUNCTION("""COMPUTED_VALUE"""),"Panadura")</f>
        <v>Panadura</v>
      </c>
      <c r="J818" s="98" t="str">
        <f>IFERROR(__xludf.DUMMYFUNCTION("""COMPUTED_VALUE"""),"Returned To Branch Rescheduled")</f>
        <v>Returned To Branch Rescheduled</v>
      </c>
      <c r="K818" s="98" t="str">
        <f>IFERROR(__xludf.DUMMYFUNCTION("""COMPUTED_VALUE"""),"Customer Care")</f>
        <v>Customer Care</v>
      </c>
      <c r="L818" s="98" t="str">
        <f>IFERROR(__xludf.DUMMYFUNCTION("""COMPUTED_VALUE"""),"Given No")</f>
        <v>Given No</v>
      </c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>
      <c r="A819" s="82"/>
      <c r="B819" s="106" t="str">
        <f>IFERROR(__xludf.DUMMYFUNCTION("""COMPUTED_VALUE"""),"1095")</f>
        <v>1095</v>
      </c>
      <c r="C819" s="106" t="str">
        <f>IFERROR(__xludf.DUMMYFUNCTION("""COMPUTED_VALUE"""),"Umesha")</f>
        <v>Umesha</v>
      </c>
      <c r="D819" s="106" t="str">
        <f>IFERROR(__xludf.DUMMYFUNCTION("""COMPUTED_VALUE"""),"778694249")</f>
        <v>778694249</v>
      </c>
      <c r="E819" s="106" t="str">
        <f>IFERROR(__xludf.DUMMYFUNCTION("""COMPUTED_VALUE"""),"N")</f>
        <v>N</v>
      </c>
      <c r="F819" s="106" t="str">
        <f>IFERROR(__xludf.DUMMYFUNCTION("""COMPUTED_VALUE"""),"Swasthi")</f>
        <v>Swasthi</v>
      </c>
      <c r="G819" s="106" t="str">
        <f>IFERROR(__xludf.DUMMYFUNCTION("""COMPUTED_VALUE"""),"A3149166")</f>
        <v>A3149166</v>
      </c>
      <c r="H819" s="106" t="str">
        <f>IFERROR(__xludf.DUMMYFUNCTION("""COMPUTED_VALUE"""),"Urgent Today")</f>
        <v>Urgent Today</v>
      </c>
      <c r="I819" s="106" t="str">
        <f>IFERROR(__xludf.DUMMYFUNCTION("""COMPUTED_VALUE"""),"Colombo Metro")</f>
        <v>Colombo Metro</v>
      </c>
      <c r="J819" s="106" t="str">
        <f>IFERROR(__xludf.DUMMYFUNCTION("""COMPUTED_VALUE"""),"Received At Destination")</f>
        <v>Received At Destination</v>
      </c>
      <c r="K819" s="106" t="str">
        <f>IFERROR(__xludf.DUMMYFUNCTION("""COMPUTED_VALUE"""),"Ware House - Kurunegala")</f>
        <v>Ware House - Kurunegala</v>
      </c>
      <c r="L819" s="106" t="str">
        <f>IFERROR(__xludf.DUMMYFUNCTION("""COMPUTED_VALUE"""),"Informed Branch")</f>
        <v>Informed Branch</v>
      </c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>
      <c r="A820" s="82"/>
      <c r="B820" s="98" t="str">
        <f>IFERROR(__xludf.DUMMYFUNCTION("""COMPUTED_VALUE"""),"1096")</f>
        <v>1096</v>
      </c>
      <c r="C820" s="98" t="str">
        <f>IFERROR(__xludf.DUMMYFUNCTION("""COMPUTED_VALUE"""),"Mandari")</f>
        <v>Mandari</v>
      </c>
      <c r="D820" s="98" t="str">
        <f>IFERROR(__xludf.DUMMYFUNCTION("""COMPUTED_VALUE"""),"778799854")</f>
        <v>778799854</v>
      </c>
      <c r="E820" s="98" t="str">
        <f>IFERROR(__xludf.DUMMYFUNCTION("""COMPUTED_VALUE"""),"N")</f>
        <v>N</v>
      </c>
      <c r="F820" s="98" t="str">
        <f>IFERROR(__xludf.DUMMYFUNCTION("""COMPUTED_VALUE"""),"Uvi Cosmetics By Iresha")</f>
        <v>Uvi Cosmetics By Iresha</v>
      </c>
      <c r="G820" s="98" t="str">
        <f>IFERROR(__xludf.DUMMYFUNCTION("""COMPUTED_VALUE"""),"BE073829")</f>
        <v>BE073829</v>
      </c>
      <c r="H820" s="98" t="str">
        <f>IFERROR(__xludf.DUMMYFUNCTION("""COMPUTED_VALUE"""),"Re Deliver")</f>
        <v>Re Deliver</v>
      </c>
      <c r="I820" s="98" t="str">
        <f>IFERROR(__xludf.DUMMYFUNCTION("""COMPUTED_VALUE"""),"Padukka")</f>
        <v>Padukka</v>
      </c>
      <c r="J820" s="98" t="str">
        <f>IFERROR(__xludf.DUMMYFUNCTION("""COMPUTED_VALUE"""),"Out For Delivery")</f>
        <v>Out For Delivery</v>
      </c>
      <c r="K820" s="98" t="str">
        <f>IFERROR(__xludf.DUMMYFUNCTION("""COMPUTED_VALUE"""),"Customer Care")</f>
        <v>Customer Care</v>
      </c>
      <c r="L820" s="98" t="str">
        <f>IFERROR(__xludf.DUMMYFUNCTION("""COMPUTED_VALUE"""),"Given Details")</f>
        <v>Given Details</v>
      </c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>
      <c r="A821" s="82"/>
      <c r="B821" s="106" t="str">
        <f>IFERROR(__xludf.DUMMYFUNCTION("""COMPUTED_VALUE"""),"1097")</f>
        <v>1097</v>
      </c>
      <c r="C821" s="106" t="str">
        <f>IFERROR(__xludf.DUMMYFUNCTION("""COMPUTED_VALUE"""),"Lakshani")</f>
        <v>Lakshani</v>
      </c>
      <c r="D821" s="106" t="str">
        <f>IFERROR(__xludf.DUMMYFUNCTION("""COMPUTED_VALUE"""),"756945433")</f>
        <v>756945433</v>
      </c>
      <c r="E821" s="106" t="str">
        <f>IFERROR(__xludf.DUMMYFUNCTION("""COMPUTED_VALUE"""),"Y")</f>
        <v>Y</v>
      </c>
      <c r="F821" s="106" t="str">
        <f>IFERROR(__xludf.DUMMYFUNCTION("""COMPUTED_VALUE"""),"Bluetex Pvt Ltd")</f>
        <v>Bluetex Pvt Ltd</v>
      </c>
      <c r="G821" s="106" t="str">
        <f>IFERROR(__xludf.DUMMYFUNCTION("""COMPUTED_VALUE"""),"BE133979")</f>
        <v>BE133979</v>
      </c>
      <c r="H821" s="106" t="str">
        <f>IFERROR(__xludf.DUMMYFUNCTION("""COMPUTED_VALUE"""),"Arrange Delivery Today / Top Urgent")</f>
        <v>Arrange Delivery Today / Top Urgent</v>
      </c>
      <c r="I821" s="106" t="str">
        <f>IFERROR(__xludf.DUMMYFUNCTION("""COMPUTED_VALUE"""),"Pilimathlawa")</f>
        <v>Pilimathlawa</v>
      </c>
      <c r="J821" s="106" t="str">
        <f>IFERROR(__xludf.DUMMYFUNCTION("""COMPUTED_VALUE"""),"Returned To Branch Rescheduled")</f>
        <v>Returned To Branch Rescheduled</v>
      </c>
      <c r="K821" s="106" t="str">
        <f>IFERROR(__xludf.DUMMYFUNCTION("""COMPUTED_VALUE"""),"Customer Care")</f>
        <v>Customer Care</v>
      </c>
      <c r="L821" s="106" t="str">
        <f>IFERROR(__xludf.DUMMYFUNCTION("""COMPUTED_VALUE"""),"Informed Branch")</f>
        <v>Informed Branch</v>
      </c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>
      <c r="A822" s="82"/>
      <c r="B822" s="98" t="str">
        <f>IFERROR(__xludf.DUMMYFUNCTION("""COMPUTED_VALUE"""),"1098")</f>
        <v>1098</v>
      </c>
      <c r="C822" s="98" t="str">
        <f>IFERROR(__xludf.DUMMYFUNCTION("""COMPUTED_VALUE"""),"Umesha")</f>
        <v>Umesha</v>
      </c>
      <c r="D822" s="98" t="str">
        <f>IFERROR(__xludf.DUMMYFUNCTION("""COMPUTED_VALUE"""),"718555295")</f>
        <v>718555295</v>
      </c>
      <c r="E822" s="98" t="str">
        <f>IFERROR(__xludf.DUMMYFUNCTION("""COMPUTED_VALUE"""),"N")</f>
        <v>N</v>
      </c>
      <c r="F822" s="98" t="str">
        <f>IFERROR(__xludf.DUMMYFUNCTION("""COMPUTED_VALUE"""),"Dw Enterprises")</f>
        <v>Dw Enterprises</v>
      </c>
      <c r="G822" s="98" t="str">
        <f>IFERROR(__xludf.DUMMYFUNCTION("""COMPUTED_VALUE"""),"BD910852")</f>
        <v>BD910852</v>
      </c>
      <c r="H822" s="98" t="str">
        <f>IFERROR(__xludf.DUMMYFUNCTION("""COMPUTED_VALUE"""),"Re Delivery")</f>
        <v>Re Delivery</v>
      </c>
      <c r="I822" s="98" t="str">
        <f>IFERROR(__xludf.DUMMYFUNCTION("""COMPUTED_VALUE"""),"Kandy")</f>
        <v>Kandy</v>
      </c>
      <c r="J822" s="98" t="str">
        <f>IFERROR(__xludf.DUMMYFUNCTION("""COMPUTED_VALUE"""),"Returned To Branch Rescheduled")</f>
        <v>Returned To Branch Rescheduled</v>
      </c>
      <c r="K822" s="98" t="str">
        <f>IFERROR(__xludf.DUMMYFUNCTION("""COMPUTED_VALUE"""),"Recovery")</f>
        <v>Recovery</v>
      </c>
      <c r="L822" s="98" t="str">
        <f>IFERROR(__xludf.DUMMYFUNCTION("""COMPUTED_VALUE"""),"Disconected The Line")</f>
        <v>Disconected The Line</v>
      </c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>
      <c r="A823" s="82"/>
      <c r="B823" s="106" t="str">
        <f>IFERROR(__xludf.DUMMYFUNCTION("""COMPUTED_VALUE"""),"1099")</f>
        <v>1099</v>
      </c>
      <c r="C823" s="106" t="str">
        <f>IFERROR(__xludf.DUMMYFUNCTION("""COMPUTED_VALUE"""),"Lakshani")</f>
        <v>Lakshani</v>
      </c>
      <c r="D823" s="106" t="str">
        <f>IFERROR(__xludf.DUMMYFUNCTION("""COMPUTED_VALUE"""),"796749487")</f>
        <v>796749487</v>
      </c>
      <c r="E823" s="106" t="str">
        <f>IFERROR(__xludf.DUMMYFUNCTION("""COMPUTED_VALUE"""),"N")</f>
        <v>N</v>
      </c>
      <c r="F823" s="106" t="str">
        <f>IFERROR(__xludf.DUMMYFUNCTION("""COMPUTED_VALUE"""),"Miraci Holdings")</f>
        <v>Miraci Holdings</v>
      </c>
      <c r="G823" s="106" t="str">
        <f>IFERROR(__xludf.DUMMYFUNCTION("""COMPUTED_VALUE"""),"A4409255")</f>
        <v>A4409255</v>
      </c>
      <c r="H823" s="106" t="str">
        <f>IFERROR(__xludf.DUMMYFUNCTION("""COMPUTED_VALUE"""),"Asked Some Details")</f>
        <v>Asked Some Details</v>
      </c>
      <c r="I823" s="106" t="str">
        <f>IFERROR(__xludf.DUMMYFUNCTION("""COMPUTED_VALUE"""),"Welimada")</f>
        <v>Welimada</v>
      </c>
      <c r="J823" s="106" t="str">
        <f>IFERROR(__xludf.DUMMYFUNCTION("""COMPUTED_VALUE"""),"Returned To Branch Failed To Deliver")</f>
        <v>Returned To Branch Failed To Deliver</v>
      </c>
      <c r="K823" s="106" t="str">
        <f>IFERROR(__xludf.DUMMYFUNCTION("""COMPUTED_VALUE"""),"Delivered Not Updated")</f>
        <v>Delivered Not Updated</v>
      </c>
      <c r="L823" s="106" t="str">
        <f>IFERROR(__xludf.DUMMYFUNCTION("""COMPUTED_VALUE"""),"Call Transfered To Branh And Informed To Them")</f>
        <v>Call Transfered To Branh And Informed To Them</v>
      </c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>
      <c r="A824" s="82"/>
      <c r="B824" s="98" t="str">
        <f>IFERROR(__xludf.DUMMYFUNCTION("""COMPUTED_VALUE"""),"1100")</f>
        <v>1100</v>
      </c>
      <c r="C824" s="98" t="str">
        <f>IFERROR(__xludf.DUMMYFUNCTION("""COMPUTED_VALUE"""),"Mandari")</f>
        <v>Mandari</v>
      </c>
      <c r="D824" s="98" t="str">
        <f>IFERROR(__xludf.DUMMYFUNCTION("""COMPUTED_VALUE"""),"703270505")</f>
        <v>703270505</v>
      </c>
      <c r="E824" s="98" t="str">
        <f>IFERROR(__xludf.DUMMYFUNCTION("""COMPUTED_VALUE"""),"Y")</f>
        <v>Y</v>
      </c>
      <c r="F824" s="98" t="str">
        <f>IFERROR(__xludf.DUMMYFUNCTION("""COMPUTED_VALUE"""),"Ad Happines (Hettipola)")</f>
        <v>Ad Happines (Hettipola)</v>
      </c>
      <c r="G824" s="98" t="str">
        <f>IFERROR(__xludf.DUMMYFUNCTION("""COMPUTED_VALUE"""),"BE080625")</f>
        <v>BE080625</v>
      </c>
      <c r="H824" s="98" t="str">
        <f>IFERROR(__xludf.DUMMYFUNCTION("""COMPUTED_VALUE"""),"Sales Department")</f>
        <v>Sales Department</v>
      </c>
      <c r="I824" s="98" t="str">
        <f>IFERROR(__xludf.DUMMYFUNCTION("""COMPUTED_VALUE"""),"Ambalangoda")</f>
        <v>Ambalangoda</v>
      </c>
      <c r="J824" s="98" t="str">
        <f>IFERROR(__xludf.DUMMYFUNCTION("""COMPUTED_VALUE"""),"Delivered")</f>
        <v>Delivered</v>
      </c>
      <c r="K824" s="98" t="str">
        <f>IFERROR(__xludf.DUMMYFUNCTION("""COMPUTED_VALUE"""),"Customer Care")</f>
        <v>Customer Care</v>
      </c>
      <c r="L824" s="98" t="str">
        <f>IFERROR(__xludf.DUMMYFUNCTION("""COMPUTED_VALUE"""),"Informed Branch")</f>
        <v>Informed Branch</v>
      </c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>
      <c r="A825" s="82"/>
      <c r="B825" s="106" t="str">
        <f>IFERROR(__xludf.DUMMYFUNCTION("""COMPUTED_VALUE"""),"1101")</f>
        <v>1101</v>
      </c>
      <c r="C825" s="106" t="str">
        <f>IFERROR(__xludf.DUMMYFUNCTION("""COMPUTED_VALUE"""),"Jeni")</f>
        <v>Jeni</v>
      </c>
      <c r="D825" s="106" t="str">
        <f>IFERROR(__xludf.DUMMYFUNCTION("""COMPUTED_VALUE"""),"715245677")</f>
        <v>715245677</v>
      </c>
      <c r="E825" s="106" t="str">
        <f>IFERROR(__xludf.DUMMYFUNCTION("""COMPUTED_VALUE"""),"Y")</f>
        <v>Y</v>
      </c>
      <c r="F825" s="106" t="str">
        <f>IFERROR(__xludf.DUMMYFUNCTION("""COMPUTED_VALUE"""),"Sippi Clothing")</f>
        <v>Sippi Clothing</v>
      </c>
      <c r="G825" s="106" t="str">
        <f>IFERROR(__xludf.DUMMYFUNCTION("""COMPUTED_VALUE"""),"BE062157")</f>
        <v>BE062157</v>
      </c>
      <c r="H825" s="106" t="str">
        <f>IFERROR(__xludf.DUMMYFUNCTION("""COMPUTED_VALUE"""),"Avissawela Branch Number")</f>
        <v>Avissawela Branch Number</v>
      </c>
      <c r="I825" s="106" t="str">
        <f>IFERROR(__xludf.DUMMYFUNCTION("""COMPUTED_VALUE"""),"Rikillagaskada")</f>
        <v>Rikillagaskada</v>
      </c>
      <c r="J825" s="106" t="str">
        <f>IFERROR(__xludf.DUMMYFUNCTION("""COMPUTED_VALUE"""),"Re-Assign Rider")</f>
        <v>Re-Assign Rider</v>
      </c>
      <c r="K825" s="106" t="str">
        <f>IFERROR(__xludf.DUMMYFUNCTION("""COMPUTED_VALUE"""),"Recovery")</f>
        <v>Recovery</v>
      </c>
      <c r="L825" s="106" t="str">
        <f>IFERROR(__xludf.DUMMYFUNCTION("""COMPUTED_VALUE"""),"Informed The Client Via A Whatsapp")</f>
        <v>Informed The Client Via A Whatsapp</v>
      </c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>
      <c r="A826" s="82"/>
      <c r="B826" s="98" t="str">
        <f>IFERROR(__xludf.DUMMYFUNCTION("""COMPUTED_VALUE"""),"1102")</f>
        <v>1102</v>
      </c>
      <c r="C826" s="98" t="str">
        <f>IFERROR(__xludf.DUMMYFUNCTION("""COMPUTED_VALUE"""),"Mandari")</f>
        <v>Mandari</v>
      </c>
      <c r="D826" s="98" t="str">
        <f>IFERROR(__xludf.DUMMYFUNCTION("""COMPUTED_VALUE"""),"779806123")</f>
        <v>779806123</v>
      </c>
      <c r="E826" s="98" t="str">
        <f>IFERROR(__xludf.DUMMYFUNCTION("""COMPUTED_VALUE"""),"Y")</f>
        <v>Y</v>
      </c>
      <c r="F826" s="98" t="str">
        <f>IFERROR(__xludf.DUMMYFUNCTION("""COMPUTED_VALUE"""),"Cutie Gifts")</f>
        <v>Cutie Gifts</v>
      </c>
      <c r="G826" s="98" t="str">
        <f>IFERROR(__xludf.DUMMYFUNCTION("""COMPUTED_VALUE"""),"A4553107")</f>
        <v>A4553107</v>
      </c>
      <c r="H826" s="98" t="str">
        <f>IFERROR(__xludf.DUMMYFUNCTION("""COMPUTED_VALUE"""),"Customer Wants To Return The Parcel")</f>
        <v>Customer Wants To Return The Parcel</v>
      </c>
      <c r="I826" s="98" t="str">
        <f>IFERROR(__xludf.DUMMYFUNCTION("""COMPUTED_VALUE"""),"Colombo Metro")</f>
        <v>Colombo Metro</v>
      </c>
      <c r="J826" s="98" t="str">
        <f>IFERROR(__xludf.DUMMYFUNCTION("""COMPUTED_VALUE"""),"Returned To Branch Failed To Deliver")</f>
        <v>Returned To Branch Failed To Deliver</v>
      </c>
      <c r="K826" s="98" t="str">
        <f>IFERROR(__xludf.DUMMYFUNCTION("""COMPUTED_VALUE"""),"Domestic")</f>
        <v>Domestic</v>
      </c>
      <c r="L826" s="98" t="str">
        <f>IFERROR(__xludf.DUMMYFUNCTION("""COMPUTED_VALUE"""),"Tranfer Cll")</f>
        <v>Tranfer Cll</v>
      </c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>
      <c r="A827" s="82"/>
      <c r="B827" s="106" t="str">
        <f>IFERROR(__xludf.DUMMYFUNCTION("""COMPUTED_VALUE"""),"1103")</f>
        <v>1103</v>
      </c>
      <c r="C827" s="106" t="str">
        <f>IFERROR(__xludf.DUMMYFUNCTION("""COMPUTED_VALUE"""),"Jeni")</f>
        <v>Jeni</v>
      </c>
      <c r="D827" s="106" t="str">
        <f>IFERROR(__xludf.DUMMYFUNCTION("""COMPUTED_VALUE"""),"707018654")</f>
        <v>707018654</v>
      </c>
      <c r="E827" s="106" t="str">
        <f>IFERROR(__xludf.DUMMYFUNCTION("""COMPUTED_VALUE"""),"Y")</f>
        <v>Y</v>
      </c>
      <c r="F827" s="106" t="str">
        <f>IFERROR(__xludf.DUMMYFUNCTION("""COMPUTED_VALUE"""),"Ziponlilne")</f>
        <v>Ziponlilne</v>
      </c>
      <c r="G827" s="106" t="str">
        <f>IFERROR(__xludf.DUMMYFUNCTION("""COMPUTED_VALUE"""),"BE072786")</f>
        <v>BE072786</v>
      </c>
      <c r="H827" s="106" t="str">
        <f>IFERROR(__xludf.DUMMYFUNCTION("""COMPUTED_VALUE"""),"Order Status")</f>
        <v>Order Status</v>
      </c>
      <c r="I827" s="106" t="str">
        <f>IFERROR(__xludf.DUMMYFUNCTION("""COMPUTED_VALUE"""),"Nuwara Eliya")</f>
        <v>Nuwara Eliya</v>
      </c>
      <c r="J827" s="106" t="str">
        <f>IFERROR(__xludf.DUMMYFUNCTION("""COMPUTED_VALUE"""),"Out For Delivery")</f>
        <v>Out For Delivery</v>
      </c>
      <c r="K827" s="106" t="str">
        <f>IFERROR(__xludf.DUMMYFUNCTION("""COMPUTED_VALUE"""),"Customer Care")</f>
        <v>Customer Care</v>
      </c>
      <c r="L827" s="106" t="str">
        <f>IFERROR(__xludf.DUMMYFUNCTION("""COMPUTED_VALUE"""),"Already Branch Put Return To Ho Update")</f>
        <v>Already Branch Put Return To Ho Update</v>
      </c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>
      <c r="A828" s="82"/>
      <c r="B828" s="98" t="str">
        <f>IFERROR(__xludf.DUMMYFUNCTION("""COMPUTED_VALUE"""),"1104")</f>
        <v>1104</v>
      </c>
      <c r="C828" s="98" t="str">
        <f>IFERROR(__xludf.DUMMYFUNCTION("""COMPUTED_VALUE"""),"Malik")</f>
        <v>Malik</v>
      </c>
      <c r="D828" s="98" t="str">
        <f>IFERROR(__xludf.DUMMYFUNCTION("""COMPUTED_VALUE"""),"770877270")</f>
        <v>770877270</v>
      </c>
      <c r="E828" s="98" t="str">
        <f>IFERROR(__xludf.DUMMYFUNCTION("""COMPUTED_VALUE"""),"N")</f>
        <v>N</v>
      </c>
      <c r="F828" s="98" t="str">
        <f>IFERROR(__xludf.DUMMYFUNCTION("""COMPUTED_VALUE"""),"Win Lanka")</f>
        <v>Win Lanka</v>
      </c>
      <c r="G828" s="98" t="str">
        <f>IFERROR(__xludf.DUMMYFUNCTION("""COMPUTED_VALUE"""),"BE010314")</f>
        <v>BE010314</v>
      </c>
      <c r="H828" s="98" t="str">
        <f>IFERROR(__xludf.DUMMYFUNCTION("""COMPUTED_VALUE"""),"Customer Want Return The Package")</f>
        <v>Customer Want Return The Package</v>
      </c>
      <c r="I828" s="98" t="str">
        <f>IFERROR(__xludf.DUMMYFUNCTION("""COMPUTED_VALUE"""),"Homagama")</f>
        <v>Homagama</v>
      </c>
      <c r="J828" s="98" t="str">
        <f>IFERROR(__xludf.DUMMYFUNCTION("""COMPUTED_VALUE"""),"Out For Delivery")</f>
        <v>Out For Delivery</v>
      </c>
      <c r="K828" s="98" t="str">
        <f>IFERROR(__xludf.DUMMYFUNCTION("""COMPUTED_VALUE"""),"Customer Care")</f>
        <v>Customer Care</v>
      </c>
      <c r="L828" s="98" t="str">
        <f>IFERROR(__xludf.DUMMYFUNCTION("""COMPUTED_VALUE"""),"Call Transfer Domestic Department")</f>
        <v>Call Transfer Domestic Department</v>
      </c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>
      <c r="A829" s="82"/>
      <c r="B829" s="106" t="str">
        <f>IFERROR(__xludf.DUMMYFUNCTION("""COMPUTED_VALUE"""),"1105")</f>
        <v>1105</v>
      </c>
      <c r="C829" s="106" t="str">
        <f>IFERROR(__xludf.DUMMYFUNCTION("""COMPUTED_VALUE"""),"Mandari")</f>
        <v>Mandari</v>
      </c>
      <c r="D829" s="106" t="str">
        <f>IFERROR(__xludf.DUMMYFUNCTION("""COMPUTED_VALUE"""),"718555295")</f>
        <v>718555295</v>
      </c>
      <c r="E829" s="106" t="str">
        <f>IFERROR(__xludf.DUMMYFUNCTION("""COMPUTED_VALUE"""),"N")</f>
        <v>N</v>
      </c>
      <c r="F829" s="106" t="str">
        <f>IFERROR(__xludf.DUMMYFUNCTION("""COMPUTED_VALUE"""),"Lakmali")</f>
        <v>Lakmali</v>
      </c>
      <c r="G829" s="106" t="str">
        <f>IFERROR(__xludf.DUMMYFUNCTION("""COMPUTED_VALUE"""),"BE091724")</f>
        <v>BE091724</v>
      </c>
      <c r="H829" s="106" t="str">
        <f>IFERROR(__xludf.DUMMYFUNCTION("""COMPUTED_VALUE"""),"Re Deliver")</f>
        <v>Re Deliver</v>
      </c>
      <c r="I829" s="106" t="str">
        <f>IFERROR(__xludf.DUMMYFUNCTION("""COMPUTED_VALUE"""),"Colombo Metro")</f>
        <v>Colombo Metro</v>
      </c>
      <c r="J829" s="106" t="str">
        <f>IFERROR(__xludf.DUMMYFUNCTION("""COMPUTED_VALUE"""),"Out For Delivery")</f>
        <v>Out For Delivery</v>
      </c>
      <c r="K829" s="106" t="str">
        <f>IFERROR(__xludf.DUMMYFUNCTION("""COMPUTED_VALUE"""),"Customer Care")</f>
        <v>Customer Care</v>
      </c>
      <c r="L829" s="106" t="str">
        <f>IFERROR(__xludf.DUMMYFUNCTION("""COMPUTED_VALUE"""),"Informed Domestic Department")</f>
        <v>Informed Domestic Department</v>
      </c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>
      <c r="A830" s="82"/>
      <c r="B830" s="98" t="str">
        <f>IFERROR(__xludf.DUMMYFUNCTION("""COMPUTED_VALUE"""),"1106")</f>
        <v>1106</v>
      </c>
      <c r="C830" s="98" t="str">
        <f>IFERROR(__xludf.DUMMYFUNCTION("""COMPUTED_VALUE"""),"Malik")</f>
        <v>Malik</v>
      </c>
      <c r="D830" s="98" t="str">
        <f>IFERROR(__xludf.DUMMYFUNCTION("""COMPUTED_VALUE"""),"721315466")</f>
        <v>721315466</v>
      </c>
      <c r="E830" s="98" t="str">
        <f>IFERROR(__xludf.DUMMYFUNCTION("""COMPUTED_VALUE"""),"N")</f>
        <v>N</v>
      </c>
      <c r="F830" s="98" t="str">
        <f>IFERROR(__xludf.DUMMYFUNCTION("""COMPUTED_VALUE"""),"Thiyora Boutique")</f>
        <v>Thiyora Boutique</v>
      </c>
      <c r="G830" s="98" t="str">
        <f>IFERROR(__xludf.DUMMYFUNCTION("""COMPUTED_VALUE"""),"BE119595")</f>
        <v>BE119595</v>
      </c>
      <c r="H830" s="98" t="str">
        <f>IFERROR(__xludf.DUMMYFUNCTION("""COMPUTED_VALUE"""),"Call Wrapped")</f>
        <v>Call Wrapped</v>
      </c>
      <c r="I830" s="98" t="str">
        <f>IFERROR(__xludf.DUMMYFUNCTION("""COMPUTED_VALUE"""),"Thalawathugoda")</f>
        <v>Thalawathugoda</v>
      </c>
      <c r="J830" s="98" t="str">
        <f>IFERROR(__xludf.DUMMYFUNCTION("""COMPUTED_VALUE"""),"Returned To Client")</f>
        <v>Returned To Client</v>
      </c>
      <c r="K830" s="98" t="str">
        <f>IFERROR(__xludf.DUMMYFUNCTION("""COMPUTED_VALUE"""),"Branch Operations")</f>
        <v>Branch Operations</v>
      </c>
      <c r="L830" s="98" t="str">
        <f>IFERROR(__xludf.DUMMYFUNCTION("""COMPUTED_VALUE"""),"Transfer Call")</f>
        <v>Transfer Call</v>
      </c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>
      <c r="A831" s="82"/>
      <c r="B831" s="106" t="str">
        <f>IFERROR(__xludf.DUMMYFUNCTION("""COMPUTED_VALUE"""),"1107")</f>
        <v>1107</v>
      </c>
      <c r="C831" s="106" t="str">
        <f>IFERROR(__xludf.DUMMYFUNCTION("""COMPUTED_VALUE"""),"Mandari")</f>
        <v>Mandari</v>
      </c>
      <c r="D831" s="106" t="str">
        <f>IFERROR(__xludf.DUMMYFUNCTION("""COMPUTED_VALUE"""),"756081207")</f>
        <v>756081207</v>
      </c>
      <c r="E831" s="106" t="str">
        <f>IFERROR(__xludf.DUMMYFUNCTION("""COMPUTED_VALUE"""),"Y")</f>
        <v>Y</v>
      </c>
      <c r="F831" s="107" t="str">
        <f>IFERROR(__xludf.DUMMYFUNCTION("""COMPUTED_VALUE"""),"Plusmart.Lk")</f>
        <v>Plusmart.Lk</v>
      </c>
      <c r="G831" s="106" t="str">
        <f>IFERROR(__xludf.DUMMYFUNCTION("""COMPUTED_VALUE"""),"A3029315")</f>
        <v>A3029315</v>
      </c>
      <c r="H831" s="106" t="str">
        <f>IFERROR(__xludf.DUMMYFUNCTION("""COMPUTED_VALUE"""),"Customer Want Return This Package")</f>
        <v>Customer Want Return This Package</v>
      </c>
      <c r="I831" s="106" t="str">
        <f>IFERROR(__xludf.DUMMYFUNCTION("""COMPUTED_VALUE"""),"Ja-Ela")</f>
        <v>Ja-Ela</v>
      </c>
      <c r="J831" s="106" t="str">
        <f>IFERROR(__xludf.DUMMYFUNCTION("""COMPUTED_VALUE"""),"Re-Delivery")</f>
        <v>Re-Delivery</v>
      </c>
      <c r="K831" s="106" t="str">
        <f>IFERROR(__xludf.DUMMYFUNCTION("""COMPUTED_VALUE"""),"Return")</f>
        <v>Return</v>
      </c>
      <c r="L831" s="106" t="str">
        <f>IFERROR(__xludf.DUMMYFUNCTION("""COMPUTED_VALUE"""),"Already Branch Put Return To Ho Update")</f>
        <v>Already Branch Put Return To Ho Update</v>
      </c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>
      <c r="A832" s="82"/>
      <c r="B832" s="98" t="str">
        <f>IFERROR(__xludf.DUMMYFUNCTION("""COMPUTED_VALUE"""),"1108")</f>
        <v>1108</v>
      </c>
      <c r="C832" s="98" t="str">
        <f>IFERROR(__xludf.DUMMYFUNCTION("""COMPUTED_VALUE"""),"Jeni")</f>
        <v>Jeni</v>
      </c>
      <c r="D832" s="98" t="str">
        <f>IFERROR(__xludf.DUMMYFUNCTION("""COMPUTED_VALUE"""),"707777289")</f>
        <v>707777289</v>
      </c>
      <c r="E832" s="98" t="str">
        <f>IFERROR(__xludf.DUMMYFUNCTION("""COMPUTED_VALUE"""),"N")</f>
        <v>N</v>
      </c>
      <c r="F832" s="98"/>
      <c r="G832" s="98" t="str">
        <f>IFERROR(__xludf.DUMMYFUNCTION("""COMPUTED_VALUE"""),"A4599442")</f>
        <v>A4599442</v>
      </c>
      <c r="H832" s="98" t="str">
        <f>IFERROR(__xludf.DUMMYFUNCTION("""COMPUTED_VALUE"""),"Urgent Today")</f>
        <v>Urgent Today</v>
      </c>
      <c r="I832" s="98" t="str">
        <f>IFERROR(__xludf.DUMMYFUNCTION("""COMPUTED_VALUE"""),"Ja-Ela")</f>
        <v>Ja-Ela</v>
      </c>
      <c r="J832" s="98" t="str">
        <f>IFERROR(__xludf.DUMMYFUNCTION("""COMPUTED_VALUE"""),"Returned To Branch Failed To Deliver")</f>
        <v>Returned To Branch Failed To Deliver</v>
      </c>
      <c r="K832" s="98" t="str">
        <f>IFERROR(__xludf.DUMMYFUNCTION("""COMPUTED_VALUE"""),"Domestic")</f>
        <v>Domestic</v>
      </c>
      <c r="L832" s="98" t="str">
        <f>IFERROR(__xludf.DUMMYFUNCTION("""COMPUTED_VALUE"""),"Details Given/ Info Branch")</f>
        <v>Details Given/ Info Branch</v>
      </c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>
      <c r="A833" s="82"/>
      <c r="B833" s="106" t="str">
        <f>IFERROR(__xludf.DUMMYFUNCTION("""COMPUTED_VALUE"""),"1109")</f>
        <v>1109</v>
      </c>
      <c r="C833" s="106" t="str">
        <f>IFERROR(__xludf.DUMMYFUNCTION("""COMPUTED_VALUE"""),"Mandari")</f>
        <v>Mandari</v>
      </c>
      <c r="D833" s="106" t="str">
        <f>IFERROR(__xludf.DUMMYFUNCTION("""COMPUTED_VALUE"""),"714695400")</f>
        <v>714695400</v>
      </c>
      <c r="E833" s="106" t="str">
        <f>IFERROR(__xludf.DUMMYFUNCTION("""COMPUTED_VALUE"""),"Y")</f>
        <v>Y</v>
      </c>
      <c r="F833" s="106" t="str">
        <f>IFERROR(__xludf.DUMMYFUNCTION("""COMPUTED_VALUE"""),"Azac Hub")</f>
        <v>Azac Hub</v>
      </c>
      <c r="G833" s="106" t="str">
        <f>IFERROR(__xludf.DUMMYFUNCTION("""COMPUTED_VALUE"""),"BA772017")</f>
        <v>BA772017</v>
      </c>
      <c r="H833" s="106" t="str">
        <f>IFERROR(__xludf.DUMMYFUNCTION("""COMPUTED_VALUE"""),"Answerd &amp; Cut The Line")</f>
        <v>Answerd &amp; Cut The Line</v>
      </c>
      <c r="I833" s="106" t="str">
        <f>IFERROR(__xludf.DUMMYFUNCTION("""COMPUTED_VALUE"""),"Homagama")</f>
        <v>Homagama</v>
      </c>
      <c r="J833" s="106" t="str">
        <f>IFERROR(__xludf.DUMMYFUNCTION("""COMPUTED_VALUE"""),"Out For Delivery")</f>
        <v>Out For Delivery</v>
      </c>
      <c r="K833" s="106" t="str">
        <f>IFERROR(__xludf.DUMMYFUNCTION("""COMPUTED_VALUE"""),"Branch Operations")</f>
        <v>Branch Operations</v>
      </c>
      <c r="L833" s="106" t="str">
        <f>IFERROR(__xludf.DUMMYFUNCTION("""COMPUTED_VALUE"""),"Call Transfer Jeni")</f>
        <v>Call Transfer Jeni</v>
      </c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>
      <c r="A834" s="82"/>
      <c r="B834" s="98" t="str">
        <f>IFERROR(__xludf.DUMMYFUNCTION("""COMPUTED_VALUE"""),"1110")</f>
        <v>1110</v>
      </c>
      <c r="C834" s="98" t="str">
        <f>IFERROR(__xludf.DUMMYFUNCTION("""COMPUTED_VALUE"""),"Jeni")</f>
        <v>Jeni</v>
      </c>
      <c r="D834" s="98" t="str">
        <f>IFERROR(__xludf.DUMMYFUNCTION("""COMPUTED_VALUE"""),"776224505")</f>
        <v>776224505</v>
      </c>
      <c r="E834" s="98" t="str">
        <f>IFERROR(__xludf.DUMMYFUNCTION("""COMPUTED_VALUE"""),"Y")</f>
        <v>Y</v>
      </c>
      <c r="F834" s="98" t="str">
        <f>IFERROR(__xludf.DUMMYFUNCTION("""COMPUTED_VALUE"""),"Livora Online Store")</f>
        <v>Livora Online Store</v>
      </c>
      <c r="G834" s="98" t="str">
        <f>IFERROR(__xludf.DUMMYFUNCTION("""COMPUTED_VALUE"""),"A4533300")</f>
        <v>A4533300</v>
      </c>
      <c r="H834" s="98" t="str">
        <f>IFERROR(__xludf.DUMMYFUNCTION("""COMPUTED_VALUE"""),"Re Deliver")</f>
        <v>Re Deliver</v>
      </c>
      <c r="I834" s="98" t="str">
        <f>IFERROR(__xludf.DUMMYFUNCTION("""COMPUTED_VALUE"""),"Kalmunai")</f>
        <v>Kalmunai</v>
      </c>
      <c r="J834" s="98" t="str">
        <f>IFERROR(__xludf.DUMMYFUNCTION("""COMPUTED_VALUE"""),"Dispatched To Destination")</f>
        <v>Dispatched To Destination</v>
      </c>
      <c r="K834" s="98" t="str">
        <f>IFERROR(__xludf.DUMMYFUNCTION("""COMPUTED_VALUE"""),"Return")</f>
        <v>Return</v>
      </c>
      <c r="L834" s="98" t="str">
        <f>IFERROR(__xludf.DUMMYFUNCTION("""COMPUTED_VALUE"""),"Given Details")</f>
        <v>Given Details</v>
      </c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>
      <c r="A835" s="82"/>
      <c r="B835" s="106" t="str">
        <f>IFERROR(__xludf.DUMMYFUNCTION("""COMPUTED_VALUE"""),"1111")</f>
        <v>1111</v>
      </c>
      <c r="C835" s="106" t="str">
        <f>IFERROR(__xludf.DUMMYFUNCTION("""COMPUTED_VALUE"""),"Malik")</f>
        <v>Malik</v>
      </c>
      <c r="D835" s="106" t="str">
        <f>IFERROR(__xludf.DUMMYFUNCTION("""COMPUTED_VALUE"""),"777805753")</f>
        <v>777805753</v>
      </c>
      <c r="E835" s="106" t="str">
        <f>IFERROR(__xludf.DUMMYFUNCTION("""COMPUTED_VALUE"""),"N")</f>
        <v>N</v>
      </c>
      <c r="F835" s="106" t="str">
        <f>IFERROR(__xludf.DUMMYFUNCTION("""COMPUTED_VALUE"""),"74 008 3702")</f>
        <v>74 008 3702</v>
      </c>
      <c r="G835" s="106" t="str">
        <f>IFERROR(__xludf.DUMMYFUNCTION("""COMPUTED_VALUE"""),"BA766368")</f>
        <v>BA766368</v>
      </c>
      <c r="H835" s="106" t="str">
        <f>IFERROR(__xludf.DUMMYFUNCTION("""COMPUTED_VALUE"""),"Re Deliver")</f>
        <v>Re Deliver</v>
      </c>
      <c r="I835" s="106" t="str">
        <f>IFERROR(__xludf.DUMMYFUNCTION("""COMPUTED_VALUE"""),"Thalawathugoda")</f>
        <v>Thalawathugoda</v>
      </c>
      <c r="J835" s="106" t="str">
        <f>IFERROR(__xludf.DUMMYFUNCTION("""COMPUTED_VALUE"""),"Delivered")</f>
        <v>Delivered</v>
      </c>
      <c r="K835" s="106" t="str">
        <f>IFERROR(__xludf.DUMMYFUNCTION("""COMPUTED_VALUE"""),"Customer Care")</f>
        <v>Customer Care</v>
      </c>
      <c r="L835" s="106" t="str">
        <f>IFERROR(__xludf.DUMMYFUNCTION("""COMPUTED_VALUE"""),"Check And Call Back")</f>
        <v>Check And Call Back</v>
      </c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>
      <c r="A836" s="82"/>
      <c r="B836" s="98" t="str">
        <f>IFERROR(__xludf.DUMMYFUNCTION("""COMPUTED_VALUE"""),"1112")</f>
        <v>1112</v>
      </c>
      <c r="C836" s="98" t="str">
        <f>IFERROR(__xludf.DUMMYFUNCTION("""COMPUTED_VALUE"""),"Umesha")</f>
        <v>Umesha</v>
      </c>
      <c r="D836" s="98" t="str">
        <f>IFERROR(__xludf.DUMMYFUNCTION("""COMPUTED_VALUE"""),"775942384")</f>
        <v>775942384</v>
      </c>
      <c r="E836" s="98" t="str">
        <f>IFERROR(__xludf.DUMMYFUNCTION("""COMPUTED_VALUE"""),"N")</f>
        <v>N</v>
      </c>
      <c r="F836" s="98" t="str">
        <f>IFERROR(__xludf.DUMMYFUNCTION("""COMPUTED_VALUE"""),"Faith Store")</f>
        <v>Faith Store</v>
      </c>
      <c r="G836" s="98" t="str">
        <f>IFERROR(__xludf.DUMMYFUNCTION("""COMPUTED_VALUE"""),"BE010314")</f>
        <v>BE010314</v>
      </c>
      <c r="H836" s="98" t="str">
        <f>IFERROR(__xludf.DUMMYFUNCTION("""COMPUTED_VALUE"""),"Didn'T Know The Tracking Number")</f>
        <v>Didn'T Know The Tracking Number</v>
      </c>
      <c r="I836" s="98" t="str">
        <f>IFERROR(__xludf.DUMMYFUNCTION("""COMPUTED_VALUE"""),"Colombo Metro")</f>
        <v>Colombo Metro</v>
      </c>
      <c r="J836" s="98" t="str">
        <f>IFERROR(__xludf.DUMMYFUNCTION("""COMPUTED_VALUE"""),"Returned To Branch Failed To Deliver")</f>
        <v>Returned To Branch Failed To Deliver</v>
      </c>
      <c r="K836" s="98" t="str">
        <f>IFERROR(__xludf.DUMMYFUNCTION("""COMPUTED_VALUE"""),"Customer Care")</f>
        <v>Customer Care</v>
      </c>
      <c r="L836" s="98" t="str">
        <f>IFERROR(__xludf.DUMMYFUNCTION("""COMPUTED_VALUE"""),"Informed Genzo Amanthi")</f>
        <v>Informed Genzo Amanthi</v>
      </c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>
      <c r="A837" s="82"/>
      <c r="B837" s="106" t="str">
        <f>IFERROR(__xludf.DUMMYFUNCTION("""COMPUTED_VALUE"""),"1113")</f>
        <v>1113</v>
      </c>
      <c r="C837" s="106" t="str">
        <f>IFERROR(__xludf.DUMMYFUNCTION("""COMPUTED_VALUE"""),"Mandari")</f>
        <v>Mandari</v>
      </c>
      <c r="D837" s="106" t="str">
        <f>IFERROR(__xludf.DUMMYFUNCTION("""COMPUTED_VALUE"""),"757715579")</f>
        <v>757715579</v>
      </c>
      <c r="E837" s="106" t="str">
        <f>IFERROR(__xludf.DUMMYFUNCTION("""COMPUTED_VALUE"""),"N")</f>
        <v>N</v>
      </c>
      <c r="F837" s="106" t="str">
        <f>IFERROR(__xludf.DUMMYFUNCTION("""COMPUTED_VALUE"""),"Sumexholding")</f>
        <v>Sumexholding</v>
      </c>
      <c r="G837" s="106" t="str">
        <f>IFERROR(__xludf.DUMMYFUNCTION("""COMPUTED_VALUE"""),"BA761425")</f>
        <v>BA761425</v>
      </c>
      <c r="H837" s="106" t="str">
        <f>IFERROR(__xludf.DUMMYFUNCTION("""COMPUTED_VALUE"""),"Deliver Date ?")</f>
        <v>Deliver Date ?</v>
      </c>
      <c r="I837" s="106" t="str">
        <f>IFERROR(__xludf.DUMMYFUNCTION("""COMPUTED_VALUE"""),"Colombo Metro")</f>
        <v>Colombo Metro</v>
      </c>
      <c r="J837" s="106" t="str">
        <f>IFERROR(__xludf.DUMMYFUNCTION("""COMPUTED_VALUE"""),"Returned To Branch Failed To Deliver")</f>
        <v>Returned To Branch Failed To Deliver</v>
      </c>
      <c r="K837" s="106" t="str">
        <f>IFERROR(__xludf.DUMMYFUNCTION("""COMPUTED_VALUE"""),"Branch Operations")</f>
        <v>Branch Operations</v>
      </c>
      <c r="L837" s="106" t="str">
        <f>IFERROR(__xludf.DUMMYFUNCTION("""COMPUTED_VALUE"""),"Call Transfer Return Department")</f>
        <v>Call Transfer Return Department</v>
      </c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>
      <c r="A838" s="82"/>
      <c r="B838" s="98" t="str">
        <f>IFERROR(__xludf.DUMMYFUNCTION("""COMPUTED_VALUE"""),"1114")</f>
        <v>1114</v>
      </c>
      <c r="C838" s="98" t="str">
        <f>IFERROR(__xludf.DUMMYFUNCTION("""COMPUTED_VALUE"""),"Umesha")</f>
        <v>Umesha</v>
      </c>
      <c r="D838" s="98" t="str">
        <f>IFERROR(__xludf.DUMMYFUNCTION("""COMPUTED_VALUE"""),"719973176")</f>
        <v>719973176</v>
      </c>
      <c r="E838" s="98" t="str">
        <f>IFERROR(__xludf.DUMMYFUNCTION("""COMPUTED_VALUE"""),"N")</f>
        <v>N</v>
      </c>
      <c r="F838" s="98" t="str">
        <f>IFERROR(__xludf.DUMMYFUNCTION("""COMPUTED_VALUE"""),"Dd Holding")</f>
        <v>Dd Holding</v>
      </c>
      <c r="G838" s="98" t="str">
        <f>IFERROR(__xludf.DUMMYFUNCTION("""COMPUTED_VALUE"""),"BE131495")</f>
        <v>BE131495</v>
      </c>
      <c r="H838" s="98" t="str">
        <f>IFERROR(__xludf.DUMMYFUNCTION("""COMPUTED_VALUE"""),"Re Deliver On Today")</f>
        <v>Re Deliver On Today</v>
      </c>
      <c r="I838" s="98" t="str">
        <f>IFERROR(__xludf.DUMMYFUNCTION("""COMPUTED_VALUE"""),"Dambulla")</f>
        <v>Dambulla</v>
      </c>
      <c r="J838" s="98" t="str">
        <f>IFERROR(__xludf.DUMMYFUNCTION("""COMPUTED_VALUE"""),"Returned To Branch Failed To Deliver")</f>
        <v>Returned To Branch Failed To Deliver</v>
      </c>
      <c r="K838" s="98" t="str">
        <f>IFERROR(__xludf.DUMMYFUNCTION("""COMPUTED_VALUE"""),"Branch Operations")</f>
        <v>Branch Operations</v>
      </c>
      <c r="L838" s="98" t="str">
        <f>IFERROR(__xludf.DUMMYFUNCTION("""COMPUTED_VALUE"""),"Done")</f>
        <v>Done</v>
      </c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>
      <c r="A839" s="82"/>
      <c r="B839" s="106" t="str">
        <f>IFERROR(__xludf.DUMMYFUNCTION("""COMPUTED_VALUE"""),"1115")</f>
        <v>1115</v>
      </c>
      <c r="C839" s="106" t="str">
        <f>IFERROR(__xludf.DUMMYFUNCTION("""COMPUTED_VALUE"""),"Umesha")</f>
        <v>Umesha</v>
      </c>
      <c r="D839" s="106" t="str">
        <f>IFERROR(__xludf.DUMMYFUNCTION("""COMPUTED_VALUE"""),"787147221")</f>
        <v>787147221</v>
      </c>
      <c r="E839" s="106" t="str">
        <f>IFERROR(__xludf.DUMMYFUNCTION("""COMPUTED_VALUE"""),"N")</f>
        <v>N</v>
      </c>
      <c r="F839" s="106" t="str">
        <f>IFERROR(__xludf.DUMMYFUNCTION("""COMPUTED_VALUE"""),"Miraci Holdings")</f>
        <v>Miraci Holdings</v>
      </c>
      <c r="G839" s="106" t="str">
        <f>IFERROR(__xludf.DUMMYFUNCTION("""COMPUTED_VALUE"""),"BE065549")</f>
        <v>BE065549</v>
      </c>
      <c r="H839" s="106" t="str">
        <f>IFERROR(__xludf.DUMMYFUNCTION("""COMPUTED_VALUE"""),"Re Deliver")</f>
        <v>Re Deliver</v>
      </c>
      <c r="I839" s="106" t="str">
        <f>IFERROR(__xludf.DUMMYFUNCTION("""COMPUTED_VALUE"""),"Galle")</f>
        <v>Galle</v>
      </c>
      <c r="J839" s="106" t="str">
        <f>IFERROR(__xludf.DUMMYFUNCTION("""COMPUTED_VALUE"""),"Returned To Branch Rescheduled")</f>
        <v>Returned To Branch Rescheduled</v>
      </c>
      <c r="K839" s="106" t="str">
        <f>IFERROR(__xludf.DUMMYFUNCTION("""COMPUTED_VALUE"""),"Customer Care")</f>
        <v>Customer Care</v>
      </c>
      <c r="L839" s="106" t="str">
        <f>IFERROR(__xludf.DUMMYFUNCTION("""COMPUTED_VALUE"""),"Its Delivered /Cant Back Return This Order")</f>
        <v>Its Delivered /Cant Back Return This Order</v>
      </c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>
      <c r="A840" s="82"/>
      <c r="B840" s="98" t="str">
        <f>IFERROR(__xludf.DUMMYFUNCTION("""COMPUTED_VALUE"""),"1116")</f>
        <v>1116</v>
      </c>
      <c r="C840" s="98" t="str">
        <f>IFERROR(__xludf.DUMMYFUNCTION("""COMPUTED_VALUE"""),"Mandari")</f>
        <v>Mandari</v>
      </c>
      <c r="D840" s="98" t="str">
        <f>IFERROR(__xludf.DUMMYFUNCTION("""COMPUTED_VALUE"""),"742614427")</f>
        <v>742614427</v>
      </c>
      <c r="E840" s="98" t="str">
        <f>IFERROR(__xludf.DUMMYFUNCTION("""COMPUTED_VALUE"""),"Y")</f>
        <v>Y</v>
      </c>
      <c r="F840" s="98" t="str">
        <f>IFERROR(__xludf.DUMMYFUNCTION("""COMPUTED_VALUE"""),"Stylefix")</f>
        <v>Stylefix</v>
      </c>
      <c r="G840" s="98" t="str">
        <f>IFERROR(__xludf.DUMMYFUNCTION("""COMPUTED_VALUE"""),"A1106394")</f>
        <v>A1106394</v>
      </c>
      <c r="H840" s="98" t="str">
        <f>IFERROR(__xludf.DUMMYFUNCTION("""COMPUTED_VALUE"""),"No Responce Mid Way")</f>
        <v>No Responce Mid Way</v>
      </c>
      <c r="I840" s="98" t="str">
        <f>IFERROR(__xludf.DUMMYFUNCTION("""COMPUTED_VALUE"""),"Ambalangoda")</f>
        <v>Ambalangoda</v>
      </c>
      <c r="J840" s="98" t="str">
        <f>IFERROR(__xludf.DUMMYFUNCTION("""COMPUTED_VALUE"""),"Delivered")</f>
        <v>Delivered</v>
      </c>
      <c r="K840" s="98" t="str">
        <f>IFERROR(__xludf.DUMMYFUNCTION("""COMPUTED_VALUE"""),"Domestic")</f>
        <v>Domestic</v>
      </c>
      <c r="L840" s="98" t="str">
        <f>IFERROR(__xludf.DUMMYFUNCTION("""COMPUTED_VALUE"""),"Informed Malik")</f>
        <v>Informed Malik</v>
      </c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>
      <c r="A841" s="82"/>
      <c r="B841" s="106" t="str">
        <f>IFERROR(__xludf.DUMMYFUNCTION("""COMPUTED_VALUE"""),"1117")</f>
        <v>1117</v>
      </c>
      <c r="C841" s="106" t="str">
        <f>IFERROR(__xludf.DUMMYFUNCTION("""COMPUTED_VALUE"""),"Umesha")</f>
        <v>Umesha</v>
      </c>
      <c r="D841" s="106" t="str">
        <f>IFERROR(__xludf.DUMMYFUNCTION("""COMPUTED_VALUE"""),"751524826")</f>
        <v>751524826</v>
      </c>
      <c r="E841" s="106" t="str">
        <f>IFERROR(__xludf.DUMMYFUNCTION("""COMPUTED_VALUE"""),"Y")</f>
        <v>Y</v>
      </c>
      <c r="F841" s="106" t="str">
        <f>IFERROR(__xludf.DUMMYFUNCTION("""COMPUTED_VALUE"""),"Mangala Holdings")</f>
        <v>Mangala Holdings</v>
      </c>
      <c r="G841" s="106" t="str">
        <f>IFERROR(__xludf.DUMMYFUNCTION("""COMPUTED_VALUE"""),"A3373703")</f>
        <v>A3373703</v>
      </c>
      <c r="H841" s="106" t="str">
        <f>IFERROR(__xludf.DUMMYFUNCTION("""COMPUTED_VALUE"""),"Re Deliver")</f>
        <v>Re Deliver</v>
      </c>
      <c r="I841" s="106" t="str">
        <f>IFERROR(__xludf.DUMMYFUNCTION("""COMPUTED_VALUE"""),"Gampaha")</f>
        <v>Gampaha</v>
      </c>
      <c r="J841" s="106" t="str">
        <f>IFERROR(__xludf.DUMMYFUNCTION("""COMPUTED_VALUE"""),"Out For Delivery")</f>
        <v>Out For Delivery</v>
      </c>
      <c r="K841" s="106" t="str">
        <f>IFERROR(__xludf.DUMMYFUNCTION("""COMPUTED_VALUE"""),"Branch Operations")</f>
        <v>Branch Operations</v>
      </c>
      <c r="L841" s="106" t="str">
        <f>IFERROR(__xludf.DUMMYFUNCTION("""COMPUTED_VALUE"""),"Done")</f>
        <v>Done</v>
      </c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>
      <c r="A842" s="82"/>
      <c r="B842" s="98" t="str">
        <f>IFERROR(__xludf.DUMMYFUNCTION("""COMPUTED_VALUE"""),"1118")</f>
        <v>1118</v>
      </c>
      <c r="C842" s="98" t="str">
        <f>IFERROR(__xludf.DUMMYFUNCTION("""COMPUTED_VALUE"""),"Mandari")</f>
        <v>Mandari</v>
      </c>
      <c r="D842" s="98" t="str">
        <f>IFERROR(__xludf.DUMMYFUNCTION("""COMPUTED_VALUE"""),"777595849")</f>
        <v>777595849</v>
      </c>
      <c r="E842" s="98" t="str">
        <f>IFERROR(__xludf.DUMMYFUNCTION("""COMPUTED_VALUE"""),"N")</f>
        <v>N</v>
      </c>
      <c r="F842" s="98" t="str">
        <f>IFERROR(__xludf.DUMMYFUNCTION("""COMPUTED_VALUE"""),"Miraci Holdings")</f>
        <v>Miraci Holdings</v>
      </c>
      <c r="G842" s="98" t="str">
        <f>IFERROR(__xludf.DUMMYFUNCTION("""COMPUTED_VALUE"""),"A4157598")</f>
        <v>A4157598</v>
      </c>
      <c r="H842" s="98" t="str">
        <f>IFERROR(__xludf.DUMMYFUNCTION("""COMPUTED_VALUE"""),"Tamil Call")</f>
        <v>Tamil Call</v>
      </c>
      <c r="I842" s="98" t="str">
        <f>IFERROR(__xludf.DUMMYFUNCTION("""COMPUTED_VALUE"""),"Nittambuwa")</f>
        <v>Nittambuwa</v>
      </c>
      <c r="J842" s="98" t="str">
        <f>IFERROR(__xludf.DUMMYFUNCTION("""COMPUTED_VALUE"""),"Received At Destination")</f>
        <v>Received At Destination</v>
      </c>
      <c r="K842" s="98" t="str">
        <f>IFERROR(__xludf.DUMMYFUNCTION("""COMPUTED_VALUE"""),"Customer Care")</f>
        <v>Customer Care</v>
      </c>
      <c r="L842" s="98" t="str">
        <f>IFERROR(__xludf.DUMMYFUNCTION("""COMPUTED_VALUE"""),"Already Return Item")</f>
        <v>Already Return Item</v>
      </c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>
      <c r="A843" s="82"/>
      <c r="B843" s="106" t="str">
        <f>IFERROR(__xludf.DUMMYFUNCTION("""COMPUTED_VALUE"""),"1119")</f>
        <v>1119</v>
      </c>
      <c r="C843" s="106" t="str">
        <f>IFERROR(__xludf.DUMMYFUNCTION("""COMPUTED_VALUE"""),"Jeni")</f>
        <v>Jeni</v>
      </c>
      <c r="D843" s="106" t="str">
        <f>IFERROR(__xludf.DUMMYFUNCTION("""COMPUTED_VALUE"""),"710757047")</f>
        <v>710757047</v>
      </c>
      <c r="E843" s="106" t="str">
        <f>IFERROR(__xludf.DUMMYFUNCTION("""COMPUTED_VALUE"""),"N")</f>
        <v>N</v>
      </c>
      <c r="F843" s="107" t="str">
        <f>IFERROR(__xludf.DUMMYFUNCTION("""COMPUTED_VALUE"""),"Basues.Lk")</f>
        <v>Basues.Lk</v>
      </c>
      <c r="G843" s="106" t="str">
        <f>IFERROR(__xludf.DUMMYFUNCTION("""COMPUTED_VALUE"""),"BA766368")</f>
        <v>BA766368</v>
      </c>
      <c r="H843" s="106" t="str">
        <f>IFERROR(__xludf.DUMMYFUNCTION("""COMPUTED_VALUE"""),"Re Deliver")</f>
        <v>Re Deliver</v>
      </c>
      <c r="I843" s="106" t="str">
        <f>IFERROR(__xludf.DUMMYFUNCTION("""COMPUTED_VALUE"""),"Ja-Ela")</f>
        <v>Ja-Ela</v>
      </c>
      <c r="J843" s="106" t="str">
        <f>IFERROR(__xludf.DUMMYFUNCTION("""COMPUTED_VALUE"""),"Received At Destination")</f>
        <v>Received At Destination</v>
      </c>
      <c r="K843" s="106" t="str">
        <f>IFERROR(__xludf.DUMMYFUNCTION("""COMPUTED_VALUE"""),"Sales")</f>
        <v>Sales</v>
      </c>
      <c r="L843" s="106" t="str">
        <f>IFERROR(__xludf.DUMMYFUNCTION("""COMPUTED_VALUE"""),"Marketing Number Given")</f>
        <v>Marketing Number Given</v>
      </c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>
      <c r="A844" s="82"/>
      <c r="B844" s="98" t="str">
        <f>IFERROR(__xludf.DUMMYFUNCTION("""COMPUTED_VALUE"""),"1120")</f>
        <v>1120</v>
      </c>
      <c r="C844" s="98" t="str">
        <f>IFERROR(__xludf.DUMMYFUNCTION("""COMPUTED_VALUE"""),"Jeni")</f>
        <v>Jeni</v>
      </c>
      <c r="D844" s="98" t="str">
        <f>IFERROR(__xludf.DUMMYFUNCTION("""COMPUTED_VALUE"""),"766018323")</f>
        <v>766018323</v>
      </c>
      <c r="E844" s="98" t="str">
        <f>IFERROR(__xludf.DUMMYFUNCTION("""COMPUTED_VALUE"""),"Y")</f>
        <v>Y</v>
      </c>
      <c r="F844" s="98" t="str">
        <f>IFERROR(__xludf.DUMMYFUNCTION("""COMPUTED_VALUE"""),"Sahasra Team")</f>
        <v>Sahasra Team</v>
      </c>
      <c r="G844" s="98" t="str">
        <f>IFERROR(__xludf.DUMMYFUNCTION("""COMPUTED_VALUE"""),"A4157598")</f>
        <v>A4157598</v>
      </c>
      <c r="H844" s="98" t="str">
        <f>IFERROR(__xludf.DUMMYFUNCTION("""COMPUTED_VALUE"""),"Customer Want Return This Order")</f>
        <v>Customer Want Return This Order</v>
      </c>
      <c r="I844" s="98" t="str">
        <f>IFERROR(__xludf.DUMMYFUNCTION("""COMPUTED_VALUE"""),"Colombo Metro")</f>
        <v>Colombo Metro</v>
      </c>
      <c r="J844" s="98" t="str">
        <f>IFERROR(__xludf.DUMMYFUNCTION("""COMPUTED_VALUE"""),"Out For Delivery")</f>
        <v>Out For Delivery</v>
      </c>
      <c r="K844" s="98" t="str">
        <f>IFERROR(__xludf.DUMMYFUNCTION("""COMPUTED_VALUE"""),"Branch Operations")</f>
        <v>Branch Operations</v>
      </c>
      <c r="L844" s="98" t="str">
        <f>IFERROR(__xludf.DUMMYFUNCTION("""COMPUTED_VALUE"""),"On Route")</f>
        <v>On Route</v>
      </c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>
      <c r="A845" s="82"/>
      <c r="B845" s="106" t="str">
        <f>IFERROR(__xludf.DUMMYFUNCTION("""COMPUTED_VALUE"""),"1121")</f>
        <v>1121</v>
      </c>
      <c r="C845" s="106" t="str">
        <f>IFERROR(__xludf.DUMMYFUNCTION("""COMPUTED_VALUE"""),"Jeni")</f>
        <v>Jeni</v>
      </c>
      <c r="D845" s="106" t="str">
        <f>IFERROR(__xludf.DUMMYFUNCTION("""COMPUTED_VALUE"""),"718033587")</f>
        <v>718033587</v>
      </c>
      <c r="E845" s="106"/>
      <c r="F845" s="106" t="str">
        <f>IFERROR(__xludf.DUMMYFUNCTION("""COMPUTED_VALUE"""),"Camera Lanka.Lk")</f>
        <v>Camera Lanka.Lk</v>
      </c>
      <c r="G845" s="106" t="str">
        <f>IFERROR(__xludf.DUMMYFUNCTION("""COMPUTED_VALUE"""),"BE007011 ")</f>
        <v>BE007011 </v>
      </c>
      <c r="H845" s="106" t="str">
        <f>IFERROR(__xludf.DUMMYFUNCTION("""COMPUTED_VALUE"""),"Re Deliver")</f>
        <v>Re Deliver</v>
      </c>
      <c r="I845" s="106" t="str">
        <f>IFERROR(__xludf.DUMMYFUNCTION("""COMPUTED_VALUE"""),"Ja-Ela")</f>
        <v>Ja-Ela</v>
      </c>
      <c r="J845" s="106" t="str">
        <f>IFERROR(__xludf.DUMMYFUNCTION("""COMPUTED_VALUE"""),"Dispatched To Destination")</f>
        <v>Dispatched To Destination</v>
      </c>
      <c r="K845" s="106" t="str">
        <f>IFERROR(__xludf.DUMMYFUNCTION("""COMPUTED_VALUE"""),"Customer Care")</f>
        <v>Customer Care</v>
      </c>
      <c r="L845" s="106" t="str">
        <f>IFERROR(__xludf.DUMMYFUNCTION("""COMPUTED_VALUE"""),"Informed Branch")</f>
        <v>Informed Branch</v>
      </c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>
      <c r="A846" s="82"/>
      <c r="B846" s="98" t="str">
        <f>IFERROR(__xludf.DUMMYFUNCTION("""COMPUTED_VALUE"""),"1122")</f>
        <v>1122</v>
      </c>
      <c r="C846" s="98" t="str">
        <f>IFERROR(__xludf.DUMMYFUNCTION("""COMPUTED_VALUE"""),"Jeni")</f>
        <v>Jeni</v>
      </c>
      <c r="D846" s="98" t="str">
        <f>IFERROR(__xludf.DUMMYFUNCTION("""COMPUTED_VALUE"""),"718848966")</f>
        <v>718848966</v>
      </c>
      <c r="E846" s="98" t="str">
        <f>IFERROR(__xludf.DUMMYFUNCTION("""COMPUTED_VALUE"""),"Y")</f>
        <v>Y</v>
      </c>
      <c r="F846" s="98" t="str">
        <f>IFERROR(__xludf.DUMMYFUNCTION("""COMPUTED_VALUE"""),"Win Lanka")</f>
        <v>Win Lanka</v>
      </c>
      <c r="G846" s="98" t="str">
        <f>IFERROR(__xludf.DUMMYFUNCTION("""COMPUTED_VALUE"""),"BE072786")</f>
        <v>BE072786</v>
      </c>
      <c r="H846" s="98" t="str">
        <f>IFERROR(__xludf.DUMMYFUNCTION("""COMPUTED_VALUE"""),"Re Delivery")</f>
        <v>Re Delivery</v>
      </c>
      <c r="I846" s="98" t="str">
        <f>IFERROR(__xludf.DUMMYFUNCTION("""COMPUTED_VALUE"""),"Nuwara Eliya")</f>
        <v>Nuwara Eliya</v>
      </c>
      <c r="J846" s="98" t="str">
        <f>IFERROR(__xludf.DUMMYFUNCTION("""COMPUTED_VALUE"""),"Returned To Branch Rescheduled")</f>
        <v>Returned To Branch Rescheduled</v>
      </c>
      <c r="K846" s="98" t="str">
        <f>IFERROR(__xludf.DUMMYFUNCTION("""COMPUTED_VALUE"""),"Branch Operations")</f>
        <v>Branch Operations</v>
      </c>
      <c r="L846" s="98" t="str">
        <f>IFERROR(__xludf.DUMMYFUNCTION("""COMPUTED_VALUE"""),"Return Item")</f>
        <v>Return Item</v>
      </c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>
      <c r="A847" s="82"/>
      <c r="B847" s="106" t="str">
        <f>IFERROR(__xludf.DUMMYFUNCTION("""COMPUTED_VALUE"""),"1123")</f>
        <v>1123</v>
      </c>
      <c r="C847" s="106" t="str">
        <f>IFERROR(__xludf.DUMMYFUNCTION("""COMPUTED_VALUE"""),"Jeni")</f>
        <v>Jeni</v>
      </c>
      <c r="D847" s="106" t="str">
        <f>IFERROR(__xludf.DUMMYFUNCTION("""COMPUTED_VALUE"""),"777314702")</f>
        <v>777314702</v>
      </c>
      <c r="E847" s="106" t="str">
        <f>IFERROR(__xludf.DUMMYFUNCTION("""COMPUTED_VALUE"""),"Y")</f>
        <v>Y</v>
      </c>
      <c r="F847" s="106" t="str">
        <f>IFERROR(__xludf.DUMMYFUNCTION("""COMPUTED_VALUE"""),"Uhome")</f>
        <v>Uhome</v>
      </c>
      <c r="G847" s="106" t="str">
        <f>IFERROR(__xludf.DUMMYFUNCTION("""COMPUTED_VALUE"""),"BE109206")</f>
        <v>BE109206</v>
      </c>
      <c r="H847" s="106" t="str">
        <f>IFERROR(__xludf.DUMMYFUNCTION("""COMPUTED_VALUE"""),"Answerd &amp; Cut The Line")</f>
        <v>Answerd &amp; Cut The Line</v>
      </c>
      <c r="I847" s="106" t="str">
        <f>IFERROR(__xludf.DUMMYFUNCTION("""COMPUTED_VALUE"""),"Pilimathlawa")</f>
        <v>Pilimathlawa</v>
      </c>
      <c r="J847" s="106" t="str">
        <f>IFERROR(__xludf.DUMMYFUNCTION("""COMPUTED_VALUE"""),"Returned To Branch Rescheduled")</f>
        <v>Returned To Branch Rescheduled</v>
      </c>
      <c r="K847" s="106" t="str">
        <f>IFERROR(__xludf.DUMMYFUNCTION("""COMPUTED_VALUE"""),"Branch Operations")</f>
        <v>Branch Operations</v>
      </c>
      <c r="L847" s="106" t="str">
        <f>IFERROR(__xludf.DUMMYFUNCTION("""COMPUTED_VALUE"""),"Informed Branch")</f>
        <v>Informed Branch</v>
      </c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>
      <c r="A848" s="82"/>
      <c r="B848" s="98" t="str">
        <f>IFERROR(__xludf.DUMMYFUNCTION("""COMPUTED_VALUE"""),"1124")</f>
        <v>1124</v>
      </c>
      <c r="C848" s="98" t="str">
        <f>IFERROR(__xludf.DUMMYFUNCTION("""COMPUTED_VALUE"""),"Jeni")</f>
        <v>Jeni</v>
      </c>
      <c r="D848" s="98" t="str">
        <f>IFERROR(__xludf.DUMMYFUNCTION("""COMPUTED_VALUE"""),"768953933")</f>
        <v>768953933</v>
      </c>
      <c r="E848" s="98" t="str">
        <f>IFERROR(__xludf.DUMMYFUNCTION("""COMPUTED_VALUE"""),"N")</f>
        <v>N</v>
      </c>
      <c r="F848" s="98" t="str">
        <f>IFERROR(__xludf.DUMMYFUNCTION("""COMPUTED_VALUE"""),"Winpro Holdings")</f>
        <v>Winpro Holdings</v>
      </c>
      <c r="G848" s="98" t="str">
        <f>IFERROR(__xludf.DUMMYFUNCTION("""COMPUTED_VALUE"""),"A3929133")</f>
        <v>A3929133</v>
      </c>
      <c r="H848" s="98" t="str">
        <f>IFERROR(__xludf.DUMMYFUNCTION("""COMPUTED_VALUE"""),"Re Deliver")</f>
        <v>Re Deliver</v>
      </c>
      <c r="I848" s="98" t="str">
        <f>IFERROR(__xludf.DUMMYFUNCTION("""COMPUTED_VALUE"""),"Mirigama")</f>
        <v>Mirigama</v>
      </c>
      <c r="J848" s="98" t="str">
        <f>IFERROR(__xludf.DUMMYFUNCTION("""COMPUTED_VALUE"""),"Out For Delivery")</f>
        <v>Out For Delivery</v>
      </c>
      <c r="K848" s="98" t="str">
        <f>IFERROR(__xludf.DUMMYFUNCTION("""COMPUTED_VALUE"""),"Customer Care")</f>
        <v>Customer Care</v>
      </c>
      <c r="L848" s="98" t="str">
        <f>IFERROR(__xludf.DUMMYFUNCTION("""COMPUTED_VALUE"""),"Done")</f>
        <v>Done</v>
      </c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>
      <c r="A849" s="82"/>
      <c r="B849" s="106" t="str">
        <f>IFERROR(__xludf.DUMMYFUNCTION("""COMPUTED_VALUE"""),"1125")</f>
        <v>1125</v>
      </c>
      <c r="C849" s="106" t="str">
        <f>IFERROR(__xludf.DUMMYFUNCTION("""COMPUTED_VALUE"""),"Jeni")</f>
        <v>Jeni</v>
      </c>
      <c r="D849" s="106" t="str">
        <f>IFERROR(__xludf.DUMMYFUNCTION("""COMPUTED_VALUE"""),"770536323")</f>
        <v>770536323</v>
      </c>
      <c r="E849" s="106" t="str">
        <f>IFERROR(__xludf.DUMMYFUNCTION("""COMPUTED_VALUE"""),"Y")</f>
        <v>Y</v>
      </c>
      <c r="F849" s="106" t="str">
        <f>IFERROR(__xludf.DUMMYFUNCTION("""COMPUTED_VALUE"""),"Hk Fashion Mirigama")</f>
        <v>Hk Fashion Mirigama</v>
      </c>
      <c r="G849" s="106" t="str">
        <f>IFERROR(__xludf.DUMMYFUNCTION("""COMPUTED_VALUE"""),"WD336453")</f>
        <v>WD336453</v>
      </c>
      <c r="H849" s="106" t="str">
        <f>IFERROR(__xludf.DUMMYFUNCTION("""COMPUTED_VALUE"""),"D/D Kandy Branch")</f>
        <v>D/D Kandy Branch</v>
      </c>
      <c r="I849" s="106" t="str">
        <f>IFERROR(__xludf.DUMMYFUNCTION("""COMPUTED_VALUE"""),"Pilimathlawa")</f>
        <v>Pilimathlawa</v>
      </c>
      <c r="J849" s="106" t="str">
        <f>IFERROR(__xludf.DUMMYFUNCTION("""COMPUTED_VALUE"""),"Re-Assign Rider")</f>
        <v>Re-Assign Rider</v>
      </c>
      <c r="K849" s="106" t="str">
        <f>IFERROR(__xludf.DUMMYFUNCTION("""COMPUTED_VALUE"""),"Customer Care")</f>
        <v>Customer Care</v>
      </c>
      <c r="L849" s="106" t="str">
        <f>IFERROR(__xludf.DUMMYFUNCTION("""COMPUTED_VALUE"""),"Call Transfered To Branh And Informed To Them")</f>
        <v>Call Transfered To Branh And Informed To Them</v>
      </c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>
      <c r="A850" s="82"/>
      <c r="B850" s="98" t="str">
        <f>IFERROR(__xludf.DUMMYFUNCTION("""COMPUTED_VALUE"""),"1126")</f>
        <v>1126</v>
      </c>
      <c r="C850" s="98" t="str">
        <f>IFERROR(__xludf.DUMMYFUNCTION("""COMPUTED_VALUE"""),"Jeni")</f>
        <v>Jeni</v>
      </c>
      <c r="D850" s="98" t="str">
        <f>IFERROR(__xludf.DUMMYFUNCTION("""COMPUTED_VALUE"""),"762584307")</f>
        <v>762584307</v>
      </c>
      <c r="E850" s="98" t="str">
        <f>IFERROR(__xludf.DUMMYFUNCTION("""COMPUTED_VALUE"""),"N")</f>
        <v>N</v>
      </c>
      <c r="F850" s="98" t="str">
        <f>IFERROR(__xludf.DUMMYFUNCTION("""COMPUTED_VALUE"""),"Tsk E-Mart")</f>
        <v>Tsk E-Mart</v>
      </c>
      <c r="G850" s="98" t="str">
        <f>IFERROR(__xludf.DUMMYFUNCTION("""COMPUTED_VALUE"""),"BE025902")</f>
        <v>BE025902</v>
      </c>
      <c r="H850" s="98" t="str">
        <f>IFERROR(__xludf.DUMMYFUNCTION("""COMPUTED_VALUE"""),"Some Details /Delivery")</f>
        <v>Some Details /Delivery</v>
      </c>
      <c r="I850" s="98" t="str">
        <f>IFERROR(__xludf.DUMMYFUNCTION("""COMPUTED_VALUE"""),"Ratmalana")</f>
        <v>Ratmalana</v>
      </c>
      <c r="J850" s="98" t="str">
        <f>IFERROR(__xludf.DUMMYFUNCTION("""COMPUTED_VALUE"""),"Received At Destination")</f>
        <v>Received At Destination</v>
      </c>
      <c r="K850" s="98" t="str">
        <f>IFERROR(__xludf.DUMMYFUNCTION("""COMPUTED_VALUE"""),"Branch Operations")</f>
        <v>Branch Operations</v>
      </c>
      <c r="L850" s="98" t="str">
        <f>IFERROR(__xludf.DUMMYFUNCTION("""COMPUTED_VALUE"""),"Informed Branch Number Via A Whatsapp")</f>
        <v>Informed Branch Number Via A Whatsapp</v>
      </c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>
      <c r="A851" s="82"/>
      <c r="B851" s="106" t="str">
        <f>IFERROR(__xludf.DUMMYFUNCTION("""COMPUTED_VALUE"""),"1127")</f>
        <v>1127</v>
      </c>
      <c r="C851" s="106" t="str">
        <f>IFERROR(__xludf.DUMMYFUNCTION("""COMPUTED_VALUE"""),"Malik")</f>
        <v>Malik</v>
      </c>
      <c r="D851" s="106" t="str">
        <f>IFERROR(__xludf.DUMMYFUNCTION("""COMPUTED_VALUE"""),"723522266")</f>
        <v>723522266</v>
      </c>
      <c r="E851" s="106" t="str">
        <f>IFERROR(__xludf.DUMMYFUNCTION("""COMPUTED_VALUE"""),"Y")</f>
        <v>Y</v>
      </c>
      <c r="F851" s="106" t="str">
        <f>IFERROR(__xludf.DUMMYFUNCTION("""COMPUTED_VALUE"""),"Zee Max Holdings")</f>
        <v>Zee Max Holdings</v>
      </c>
      <c r="G851" s="106" t="str">
        <f>IFERROR(__xludf.DUMMYFUNCTION("""COMPUTED_VALUE"""),"BE067050")</f>
        <v>BE067050</v>
      </c>
      <c r="H851" s="106" t="str">
        <f>IFERROR(__xludf.DUMMYFUNCTION("""COMPUTED_VALUE"""),"Some Details /Delivery")</f>
        <v>Some Details /Delivery</v>
      </c>
      <c r="I851" s="106" t="str">
        <f>IFERROR(__xludf.DUMMYFUNCTION("""COMPUTED_VALUE"""),"Wennappuwa")</f>
        <v>Wennappuwa</v>
      </c>
      <c r="J851" s="106" t="str">
        <f>IFERROR(__xludf.DUMMYFUNCTION("""COMPUTED_VALUE"""),"Dispatched To Destination")</f>
        <v>Dispatched To Destination</v>
      </c>
      <c r="K851" s="106" t="str">
        <f>IFERROR(__xludf.DUMMYFUNCTION("""COMPUTED_VALUE"""),"Branch Operations")</f>
        <v>Branch Operations</v>
      </c>
      <c r="L851" s="106" t="str">
        <f>IFERROR(__xludf.DUMMYFUNCTION("""COMPUTED_VALUE"""),"Info Branch")</f>
        <v>Info Branch</v>
      </c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>
      <c r="A852" s="82"/>
      <c r="B852" s="98" t="str">
        <f>IFERROR(__xludf.DUMMYFUNCTION("""COMPUTED_VALUE"""),"1128")</f>
        <v>1128</v>
      </c>
      <c r="C852" s="98" t="str">
        <f>IFERROR(__xludf.DUMMYFUNCTION("""COMPUTED_VALUE"""),"Jeni")</f>
        <v>Jeni</v>
      </c>
      <c r="D852" s="98" t="str">
        <f>IFERROR(__xludf.DUMMYFUNCTION("""COMPUTED_VALUE"""),"710842078")</f>
        <v>710842078</v>
      </c>
      <c r="E852" s="98" t="str">
        <f>IFERROR(__xludf.DUMMYFUNCTION("""COMPUTED_VALUE"""),"Y")</f>
        <v>Y</v>
      </c>
      <c r="F852" s="98" t="str">
        <f>IFERROR(__xludf.DUMMYFUNCTION("""COMPUTED_VALUE"""),"Sr Center")</f>
        <v>Sr Center</v>
      </c>
      <c r="G852" s="98" t="str">
        <f>IFERROR(__xludf.DUMMYFUNCTION("""COMPUTED_VALUE"""),"A3149166")</f>
        <v>A3149166</v>
      </c>
      <c r="H852" s="98" t="str">
        <f>IFERROR(__xludf.DUMMYFUNCTION("""COMPUTED_VALUE"""),"Re Deliver")</f>
        <v>Re Deliver</v>
      </c>
      <c r="I852" s="98" t="str">
        <f>IFERROR(__xludf.DUMMYFUNCTION("""COMPUTED_VALUE"""),"Thalawathugoda")</f>
        <v>Thalawathugoda</v>
      </c>
      <c r="J852" s="98" t="str">
        <f>IFERROR(__xludf.DUMMYFUNCTION("""COMPUTED_VALUE"""),"Returned To Branch Failed To Deliver")</f>
        <v>Returned To Branch Failed To Deliver</v>
      </c>
      <c r="K852" s="98" t="str">
        <f>IFERROR(__xludf.DUMMYFUNCTION("""COMPUTED_VALUE"""),"Customer Care")</f>
        <v>Customer Care</v>
      </c>
      <c r="L852" s="98" t="str">
        <f>IFERROR(__xludf.DUMMYFUNCTION("""COMPUTED_VALUE"""),"On Route")</f>
        <v>On Route</v>
      </c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>
      <c r="A853" s="82"/>
      <c r="B853" s="106" t="str">
        <f>IFERROR(__xludf.DUMMYFUNCTION("""COMPUTED_VALUE"""),"1129")</f>
        <v>1129</v>
      </c>
      <c r="C853" s="106" t="str">
        <f>IFERROR(__xludf.DUMMYFUNCTION("""COMPUTED_VALUE"""),"Umesha")</f>
        <v>Umesha</v>
      </c>
      <c r="D853" s="106" t="str">
        <f>IFERROR(__xludf.DUMMYFUNCTION("""COMPUTED_VALUE"""),"741852301")</f>
        <v>741852301</v>
      </c>
      <c r="E853" s="106" t="str">
        <f>IFERROR(__xludf.DUMMYFUNCTION("""COMPUTED_VALUE"""),"N")</f>
        <v>N</v>
      </c>
      <c r="F853" s="106" t="str">
        <f>IFERROR(__xludf.DUMMYFUNCTION("""COMPUTED_VALUE"""),"Sadana")</f>
        <v>Sadana</v>
      </c>
      <c r="G853" s="106" t="str">
        <f>IFERROR(__xludf.DUMMYFUNCTION("""COMPUTED_VALUE"""),"15126322")</f>
        <v>15126322</v>
      </c>
      <c r="H853" s="106" t="str">
        <f>IFERROR(__xludf.DUMMYFUNCTION("""COMPUTED_VALUE"""),"Re Deliver")</f>
        <v>Re Deliver</v>
      </c>
      <c r="I853" s="106" t="str">
        <f>IFERROR(__xludf.DUMMYFUNCTION("""COMPUTED_VALUE"""),"Wennappuwa")</f>
        <v>Wennappuwa</v>
      </c>
      <c r="J853" s="106" t="str">
        <f>IFERROR(__xludf.DUMMYFUNCTION("""COMPUTED_VALUE"""),"Received At Destination")</f>
        <v>Received At Destination</v>
      </c>
      <c r="K853" s="106" t="str">
        <f>IFERROR(__xludf.DUMMYFUNCTION("""COMPUTED_VALUE"""),"Branch Operations")</f>
        <v>Branch Operations</v>
      </c>
      <c r="L853" s="106" t="str">
        <f>IFERROR(__xludf.DUMMYFUNCTION("""COMPUTED_VALUE"""),"Informed Branch")</f>
        <v>Informed Branch</v>
      </c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>
      <c r="A854" s="82"/>
      <c r="B854" s="98" t="str">
        <f>IFERROR(__xludf.DUMMYFUNCTION("""COMPUTED_VALUE"""),"1130")</f>
        <v>1130</v>
      </c>
      <c r="C854" s="98" t="str">
        <f>IFERROR(__xludf.DUMMYFUNCTION("""COMPUTED_VALUE"""),"Lakshani")</f>
        <v>Lakshani</v>
      </c>
      <c r="D854" s="98" t="str">
        <f>IFERROR(__xludf.DUMMYFUNCTION("""COMPUTED_VALUE"""),"779499619")</f>
        <v>779499619</v>
      </c>
      <c r="E854" s="98" t="str">
        <f>IFERROR(__xludf.DUMMYFUNCTION("""COMPUTED_VALUE"""),"N")</f>
        <v>N</v>
      </c>
      <c r="F854" s="98" t="str">
        <f>IFERROR(__xludf.DUMMYFUNCTION("""COMPUTED_VALUE"""),"Neth Fashion Clothing")</f>
        <v>Neth Fashion Clothing</v>
      </c>
      <c r="G854" s="98" t="str">
        <f>IFERROR(__xludf.DUMMYFUNCTION("""COMPUTED_VALUE"""),"BA751829")</f>
        <v>BA751829</v>
      </c>
      <c r="H854" s="98" t="str">
        <f>IFERROR(__xludf.DUMMYFUNCTION("""COMPUTED_VALUE"""),"Req Hr Department")</f>
        <v>Req Hr Department</v>
      </c>
      <c r="I854" s="98" t="str">
        <f>IFERROR(__xludf.DUMMYFUNCTION("""COMPUTED_VALUE"""),"Embilipitiya")</f>
        <v>Embilipitiya</v>
      </c>
      <c r="J854" s="98" t="str">
        <f>IFERROR(__xludf.DUMMYFUNCTION("""COMPUTED_VALUE"""),"Returned To Branch Failed To Deliver")</f>
        <v>Returned To Branch Failed To Deliver</v>
      </c>
      <c r="K854" s="98" t="str">
        <f>IFERROR(__xludf.DUMMYFUNCTION("""COMPUTED_VALUE"""),"Customer Care")</f>
        <v>Customer Care</v>
      </c>
      <c r="L854" s="98" t="str">
        <f>IFERROR(__xludf.DUMMYFUNCTION("""COMPUTED_VALUE"""),"Check And Call Back")</f>
        <v>Check And Call Back</v>
      </c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>
      <c r="A855" s="82"/>
      <c r="B855" s="106" t="str">
        <f>IFERROR(__xludf.DUMMYFUNCTION("""COMPUTED_VALUE"""),"1131")</f>
        <v>1131</v>
      </c>
      <c r="C855" s="106" t="str">
        <f>IFERROR(__xludf.DUMMYFUNCTION("""COMPUTED_VALUE"""),"Jeni")</f>
        <v>Jeni</v>
      </c>
      <c r="D855" s="106" t="str">
        <f>IFERROR(__xludf.DUMMYFUNCTION("""COMPUTED_VALUE"""),"779499619")</f>
        <v>779499619</v>
      </c>
      <c r="E855" s="106" t="str">
        <f>IFERROR(__xludf.DUMMYFUNCTION("""COMPUTED_VALUE"""),"N")</f>
        <v>N</v>
      </c>
      <c r="F855" s="106" t="str">
        <f>IFERROR(__xludf.DUMMYFUNCTION("""COMPUTED_VALUE"""),"70 254 2717")</f>
        <v>70 254 2717</v>
      </c>
      <c r="G855" s="106" t="str">
        <f>IFERROR(__xludf.DUMMYFUNCTION("""COMPUTED_VALUE"""),"BD910852")</f>
        <v>BD910852</v>
      </c>
      <c r="H855" s="106" t="str">
        <f>IFERROR(__xludf.DUMMYFUNCTION("""COMPUTED_VALUE"""),"Asked Some Details")</f>
        <v>Asked Some Details</v>
      </c>
      <c r="I855" s="106" t="str">
        <f>IFERROR(__xludf.DUMMYFUNCTION("""COMPUTED_VALUE"""),"Negombo")</f>
        <v>Negombo</v>
      </c>
      <c r="J855" s="106" t="str">
        <f>IFERROR(__xludf.DUMMYFUNCTION("""COMPUTED_VALUE"""),"Received At Destination")</f>
        <v>Received At Destination</v>
      </c>
      <c r="K855" s="106" t="str">
        <f>IFERROR(__xludf.DUMMYFUNCTION("""COMPUTED_VALUE"""),"Key Accounts")</f>
        <v>Key Accounts</v>
      </c>
      <c r="L855" s="106" t="str">
        <f>IFERROR(__xludf.DUMMYFUNCTION("""COMPUTED_VALUE"""),"Informed Branch")</f>
        <v>Informed Branch</v>
      </c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>
      <c r="A856" s="82"/>
      <c r="B856" s="98" t="str">
        <f>IFERROR(__xludf.DUMMYFUNCTION("""COMPUTED_VALUE"""),"1132")</f>
        <v>1132</v>
      </c>
      <c r="C856" s="98" t="str">
        <f>IFERROR(__xludf.DUMMYFUNCTION("""COMPUTED_VALUE"""),"Umesha")</f>
        <v>Umesha</v>
      </c>
      <c r="D856" s="98" t="str">
        <f>IFERROR(__xludf.DUMMYFUNCTION("""COMPUTED_VALUE"""),"702672294")</f>
        <v>702672294</v>
      </c>
      <c r="E856" s="98" t="str">
        <f>IFERROR(__xludf.DUMMYFUNCTION("""COMPUTED_VALUE"""),"Y")</f>
        <v>Y</v>
      </c>
      <c r="F856" s="108" t="str">
        <f>IFERROR(__xludf.DUMMYFUNCTION("""COMPUTED_VALUE"""),"Crown.Lk")</f>
        <v>Crown.Lk</v>
      </c>
      <c r="G856" s="98" t="str">
        <f>IFERROR(__xludf.DUMMYFUNCTION("""COMPUTED_VALUE"""),"BA780702")</f>
        <v>BA780702</v>
      </c>
      <c r="H856" s="98" t="str">
        <f>IFERROR(__xludf.DUMMYFUNCTION("""COMPUTED_VALUE"""),"New Register")</f>
        <v>New Register</v>
      </c>
      <c r="I856" s="98" t="str">
        <f>IFERROR(__xludf.DUMMYFUNCTION("""COMPUTED_VALUE"""),"Thalawathugoda")</f>
        <v>Thalawathugoda</v>
      </c>
      <c r="J856" s="98" t="str">
        <f>IFERROR(__xludf.DUMMYFUNCTION("""COMPUTED_VALUE"""),"Returned To Branch Rescheduled")</f>
        <v>Returned To Branch Rescheduled</v>
      </c>
      <c r="K856" s="98" t="str">
        <f>IFERROR(__xludf.DUMMYFUNCTION("""COMPUTED_VALUE"""),"Customer Care")</f>
        <v>Customer Care</v>
      </c>
      <c r="L856" s="98" t="str">
        <f>IFERROR(__xludf.DUMMYFUNCTION("""COMPUTED_VALUE"""),"Cleint Add Remark /Informed")</f>
        <v>Cleint Add Remark /Informed</v>
      </c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>
      <c r="A857" s="82"/>
      <c r="B857" s="106" t="str">
        <f>IFERROR(__xludf.DUMMYFUNCTION("""COMPUTED_VALUE"""),"1133")</f>
        <v>1133</v>
      </c>
      <c r="C857" s="106" t="str">
        <f>IFERROR(__xludf.DUMMYFUNCTION("""COMPUTED_VALUE"""),"Mandari")</f>
        <v>Mandari</v>
      </c>
      <c r="D857" s="106" t="str">
        <f>IFERROR(__xludf.DUMMYFUNCTION("""COMPUTED_VALUE"""),"352265997")</f>
        <v>352265997</v>
      </c>
      <c r="E857" s="106" t="str">
        <f>IFERROR(__xludf.DUMMYFUNCTION("""COMPUTED_VALUE"""),"Y")</f>
        <v>Y</v>
      </c>
      <c r="F857" s="107" t="str">
        <f>IFERROR(__xludf.DUMMYFUNCTION("""COMPUTED_VALUE"""),"Subito.Lk")</f>
        <v>Subito.Lk</v>
      </c>
      <c r="G857" s="106" t="str">
        <f>IFERROR(__xludf.DUMMYFUNCTION("""COMPUTED_VALUE"""),"WD257569")</f>
        <v>WD257569</v>
      </c>
      <c r="H857" s="106" t="str">
        <f>IFERROR(__xludf.DUMMYFUNCTION("""COMPUTED_VALUE"""),"Re Deliver Tomorrow")</f>
        <v>Re Deliver Tomorrow</v>
      </c>
      <c r="I857" s="106" t="str">
        <f>IFERROR(__xludf.DUMMYFUNCTION("""COMPUTED_VALUE"""),"Thalawathugoda")</f>
        <v>Thalawathugoda</v>
      </c>
      <c r="J857" s="106" t="str">
        <f>IFERROR(__xludf.DUMMYFUNCTION("""COMPUTED_VALUE"""),"Delivered")</f>
        <v>Delivered</v>
      </c>
      <c r="K857" s="106" t="str">
        <f>IFERROR(__xludf.DUMMYFUNCTION("""COMPUTED_VALUE"""),"Branch Operations")</f>
        <v>Branch Operations</v>
      </c>
      <c r="L857" s="106" t="str">
        <f>IFERROR(__xludf.DUMMYFUNCTION("""COMPUTED_VALUE"""),"Informed Malik")</f>
        <v>Informed Malik</v>
      </c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>
      <c r="A858" s="82"/>
      <c r="B858" s="98" t="str">
        <f>IFERROR(__xludf.DUMMYFUNCTION("""COMPUTED_VALUE"""),"1134")</f>
        <v>1134</v>
      </c>
      <c r="C858" s="98" t="str">
        <f>IFERROR(__xludf.DUMMYFUNCTION("""COMPUTED_VALUE"""),"Umesha")</f>
        <v>Umesha</v>
      </c>
      <c r="D858" s="98" t="str">
        <f>IFERROR(__xludf.DUMMYFUNCTION("""COMPUTED_VALUE"""),"710847052")</f>
        <v>710847052</v>
      </c>
      <c r="E858" s="98" t="str">
        <f>IFERROR(__xludf.DUMMYFUNCTION("""COMPUTED_VALUE"""),"Y")</f>
        <v>Y</v>
      </c>
      <c r="F858" s="98" t="str">
        <f>IFERROR(__xludf.DUMMYFUNCTION("""COMPUTED_VALUE"""),"Bella Natural Wellness (Pvt) Ltd")</f>
        <v>Bella Natural Wellness (Pvt) Ltd</v>
      </c>
      <c r="G858" s="98" t="str">
        <f>IFERROR(__xludf.DUMMYFUNCTION("""COMPUTED_VALUE"""),"A3373703")</f>
        <v>A3373703</v>
      </c>
      <c r="H858" s="98" t="str">
        <f>IFERROR(__xludf.DUMMYFUNCTION("""COMPUTED_VALUE"""),"Top Urgent")</f>
        <v>Top Urgent</v>
      </c>
      <c r="I858" s="98" t="str">
        <f>IFERROR(__xludf.DUMMYFUNCTION("""COMPUTED_VALUE"""),"Polonnaruwa")</f>
        <v>Polonnaruwa</v>
      </c>
      <c r="J858" s="98" t="str">
        <f>IFERROR(__xludf.DUMMYFUNCTION("""COMPUTED_VALUE"""),"Returned To Branch Rescheduled")</f>
        <v>Returned To Branch Rescheduled</v>
      </c>
      <c r="K858" s="98" t="str">
        <f>IFERROR(__xludf.DUMMYFUNCTION("""COMPUTED_VALUE"""),"Customer Care")</f>
        <v>Customer Care</v>
      </c>
      <c r="L858" s="98" t="str">
        <f>IFERROR(__xludf.DUMMYFUNCTION("""COMPUTED_VALUE"""),"Info Client")</f>
        <v>Info Client</v>
      </c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>
      <c r="A859" s="82"/>
      <c r="B859" s="106" t="str">
        <f>IFERROR(__xludf.DUMMYFUNCTION("""COMPUTED_VALUE"""),"1135")</f>
        <v>1135</v>
      </c>
      <c r="C859" s="106" t="str">
        <f>IFERROR(__xludf.DUMMYFUNCTION("""COMPUTED_VALUE"""),"Malik")</f>
        <v>Malik</v>
      </c>
      <c r="D859" s="106" t="str">
        <f>IFERROR(__xludf.DUMMYFUNCTION("""COMPUTED_VALUE"""),"716612485")</f>
        <v>716612485</v>
      </c>
      <c r="E859" s="106" t="str">
        <f>IFERROR(__xludf.DUMMYFUNCTION("""COMPUTED_VALUE"""),"Y")</f>
        <v>Y</v>
      </c>
      <c r="F859" s="107" t="str">
        <f>IFERROR(__xludf.DUMMYFUNCTION("""COMPUTED_VALUE"""),"Plusmart.Lk")</f>
        <v>Plusmart.Lk</v>
      </c>
      <c r="G859" s="106" t="str">
        <f>IFERROR(__xludf.DUMMYFUNCTION("""COMPUTED_VALUE"""),"A4086806")</f>
        <v>A4086806</v>
      </c>
      <c r="H859" s="106" t="str">
        <f>IFERROR(__xludf.DUMMYFUNCTION("""COMPUTED_VALUE"""),"Order Status")</f>
        <v>Order Status</v>
      </c>
      <c r="I859" s="106" t="str">
        <f>IFERROR(__xludf.DUMMYFUNCTION("""COMPUTED_VALUE"""),"Negombo")</f>
        <v>Negombo</v>
      </c>
      <c r="J859" s="106" t="str">
        <f>IFERROR(__xludf.DUMMYFUNCTION("""COMPUTED_VALUE"""),"Returned To Branch Failed To Deliver")</f>
        <v>Returned To Branch Failed To Deliver</v>
      </c>
      <c r="K859" s="106" t="str">
        <f>IFERROR(__xludf.DUMMYFUNCTION("""COMPUTED_VALUE"""),"Customer Care")</f>
        <v>Customer Care</v>
      </c>
      <c r="L859" s="106" t="str">
        <f>IFERROR(__xludf.DUMMYFUNCTION("""COMPUTED_VALUE"""),"Still Not Received Branch")</f>
        <v>Still Not Received Branch</v>
      </c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>
      <c r="A860" s="82"/>
      <c r="B860" s="98" t="str">
        <f>IFERROR(__xludf.DUMMYFUNCTION("""COMPUTED_VALUE"""),"1136")</f>
        <v>1136</v>
      </c>
      <c r="C860" s="98" t="str">
        <f>IFERROR(__xludf.DUMMYFUNCTION("""COMPUTED_VALUE"""),"Lakshani")</f>
        <v>Lakshani</v>
      </c>
      <c r="D860" s="98" t="str">
        <f>IFERROR(__xludf.DUMMYFUNCTION("""COMPUTED_VALUE"""),"722590507")</f>
        <v>722590507</v>
      </c>
      <c r="E860" s="98" t="str">
        <f>IFERROR(__xludf.DUMMYFUNCTION("""COMPUTED_VALUE"""),"N")</f>
        <v>N</v>
      </c>
      <c r="F860" s="98" t="str">
        <f>IFERROR(__xludf.DUMMYFUNCTION("""COMPUTED_VALUE"""),"Aurex Core")</f>
        <v>Aurex Core</v>
      </c>
      <c r="G860" s="98" t="str">
        <f>IFERROR(__xludf.DUMMYFUNCTION("""COMPUTED_VALUE"""),"BE091724")</f>
        <v>BE091724</v>
      </c>
      <c r="H860" s="98" t="str">
        <f>IFERROR(__xludf.DUMMYFUNCTION("""COMPUTED_VALUE"""),"Customer Toldhe Will Pick Thje Parcel At Branch")</f>
        <v>Customer Toldhe Will Pick Thje Parcel At Branch</v>
      </c>
      <c r="I860" s="98" t="str">
        <f>IFERROR(__xludf.DUMMYFUNCTION("""COMPUTED_VALUE"""),"Morawaka")</f>
        <v>Morawaka</v>
      </c>
      <c r="J860" s="98" t="str">
        <f>IFERROR(__xludf.DUMMYFUNCTION("""COMPUTED_VALUE"""),"Returned To Branch Rescheduled")</f>
        <v>Returned To Branch Rescheduled</v>
      </c>
      <c r="K860" s="98" t="str">
        <f>IFERROR(__xludf.DUMMYFUNCTION("""COMPUTED_VALUE"""),"Customer Care")</f>
        <v>Customer Care</v>
      </c>
      <c r="L860" s="98" t="str">
        <f>IFERROR(__xludf.DUMMYFUNCTION("""COMPUTED_VALUE"""),"Informed Branch")</f>
        <v>Informed Branch</v>
      </c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>
      <c r="A861" s="82"/>
      <c r="B861" s="106" t="str">
        <f>IFERROR(__xludf.DUMMYFUNCTION("""COMPUTED_VALUE"""),"1137")</f>
        <v>1137</v>
      </c>
      <c r="C861" s="106" t="str">
        <f>IFERROR(__xludf.DUMMYFUNCTION("""COMPUTED_VALUE"""),"Mandari")</f>
        <v>Mandari</v>
      </c>
      <c r="D861" s="106" t="str">
        <f>IFERROR(__xludf.DUMMYFUNCTION("""COMPUTED_VALUE"""),"754916035")</f>
        <v>754916035</v>
      </c>
      <c r="E861" s="106" t="str">
        <f>IFERROR(__xludf.DUMMYFUNCTION("""COMPUTED_VALUE"""),"N")</f>
        <v>N</v>
      </c>
      <c r="F861" s="106" t="str">
        <f>IFERROR(__xludf.DUMMYFUNCTION("""COMPUTED_VALUE"""),"Neth Fashion Clothing")</f>
        <v>Neth Fashion Clothing</v>
      </c>
      <c r="G861" s="106" t="str">
        <f>IFERROR(__xludf.DUMMYFUNCTION("""COMPUTED_VALUE"""),"WD212718")</f>
        <v>WD212718</v>
      </c>
      <c r="H861" s="106" t="str">
        <f>IFERROR(__xludf.DUMMYFUNCTION("""COMPUTED_VALUE"""),"Urgent Return Package")</f>
        <v>Urgent Return Package</v>
      </c>
      <c r="I861" s="106" t="str">
        <f>IFERROR(__xludf.DUMMYFUNCTION("""COMPUTED_VALUE"""),"Rajagiriya")</f>
        <v>Rajagiriya</v>
      </c>
      <c r="J861" s="106" t="str">
        <f>IFERROR(__xludf.DUMMYFUNCTION("""COMPUTED_VALUE"""),"Received At Destination")</f>
        <v>Received At Destination</v>
      </c>
      <c r="K861" s="106" t="str">
        <f>IFERROR(__xludf.DUMMYFUNCTION("""COMPUTED_VALUE"""),"Branch Operations")</f>
        <v>Branch Operations</v>
      </c>
      <c r="L861" s="106" t="str">
        <f>IFERROR(__xludf.DUMMYFUNCTION("""COMPUTED_VALUE"""),"Informed Branch")</f>
        <v>Informed Branch</v>
      </c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>
      <c r="A862" s="82"/>
      <c r="B862" s="98" t="str">
        <f>IFERROR(__xludf.DUMMYFUNCTION("""COMPUTED_VALUE"""),"1138")</f>
        <v>1138</v>
      </c>
      <c r="C862" s="98" t="str">
        <f>IFERROR(__xludf.DUMMYFUNCTION("""COMPUTED_VALUE"""),"Mandari")</f>
        <v>Mandari</v>
      </c>
      <c r="D862" s="98" t="str">
        <f>IFERROR(__xludf.DUMMYFUNCTION("""COMPUTED_VALUE"""),"736224314")</f>
        <v>736224314</v>
      </c>
      <c r="E862" s="98" t="str">
        <f>IFERROR(__xludf.DUMMYFUNCTION("""COMPUTED_VALUE"""),"N")</f>
        <v>N</v>
      </c>
      <c r="F862" s="98" t="str">
        <f>IFERROR(__xludf.DUMMYFUNCTION("""COMPUTED_VALUE"""),"Sr Center")</f>
        <v>Sr Center</v>
      </c>
      <c r="G862" s="98" t="str">
        <f>IFERROR(__xludf.DUMMYFUNCTION("""COMPUTED_VALUE"""),"A4409255")</f>
        <v>A4409255</v>
      </c>
      <c r="H862" s="98" t="str">
        <f>IFERROR(__xludf.DUMMYFUNCTION("""COMPUTED_VALUE"""),"System Issue")</f>
        <v>System Issue</v>
      </c>
      <c r="I862" s="98" t="str">
        <f>IFERROR(__xludf.DUMMYFUNCTION("""COMPUTED_VALUE"""),"Embilipitiya")</f>
        <v>Embilipitiya</v>
      </c>
      <c r="J862" s="98" t="str">
        <f>IFERROR(__xludf.DUMMYFUNCTION("""COMPUTED_VALUE"""),"Returned To Branch Rescheduled")</f>
        <v>Returned To Branch Rescheduled</v>
      </c>
      <c r="K862" s="98" t="str">
        <f>IFERROR(__xludf.DUMMYFUNCTION("""COMPUTED_VALUE"""),"Customer Care")</f>
        <v>Customer Care</v>
      </c>
      <c r="L862" s="98" t="str">
        <f>IFERROR(__xludf.DUMMYFUNCTION("""COMPUTED_VALUE"""),"Return Item")</f>
        <v>Return Item</v>
      </c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>
      <c r="A863" s="82"/>
      <c r="B863" s="106" t="str">
        <f>IFERROR(__xludf.DUMMYFUNCTION("""COMPUTED_VALUE"""),"1139")</f>
        <v>1139</v>
      </c>
      <c r="C863" s="106" t="str">
        <f>IFERROR(__xludf.DUMMYFUNCTION("""COMPUTED_VALUE"""),"Malik")</f>
        <v>Malik</v>
      </c>
      <c r="D863" s="106" t="str">
        <f>IFERROR(__xludf.DUMMYFUNCTION("""COMPUTED_VALUE"""),"765462634")</f>
        <v>765462634</v>
      </c>
      <c r="E863" s="106" t="str">
        <f>IFERROR(__xludf.DUMMYFUNCTION("""COMPUTED_VALUE"""),"N")</f>
        <v>N</v>
      </c>
      <c r="F863" s="106" t="str">
        <f>IFERROR(__xludf.DUMMYFUNCTION("""COMPUTED_VALUE"""),"Expro Dtf Solution")</f>
        <v>Expro Dtf Solution</v>
      </c>
      <c r="G863" s="106" t="str">
        <f>IFERROR(__xludf.DUMMYFUNCTION("""COMPUTED_VALUE"""),"A4338583")</f>
        <v>A4338583</v>
      </c>
      <c r="H863" s="106" t="str">
        <f>IFERROR(__xludf.DUMMYFUNCTION("""COMPUTED_VALUE"""),"Kadawatha Branch Location")</f>
        <v>Kadawatha Branch Location</v>
      </c>
      <c r="I863" s="106" t="str">
        <f>IFERROR(__xludf.DUMMYFUNCTION("""COMPUTED_VALUE"""),"Kalutara")</f>
        <v>Kalutara</v>
      </c>
      <c r="J863" s="106" t="str">
        <f>IFERROR(__xludf.DUMMYFUNCTION("""COMPUTED_VALUE"""),"Return To Ho (Invalid Destination)")</f>
        <v>Return To Ho (Invalid Destination)</v>
      </c>
      <c r="K863" s="106" t="str">
        <f>IFERROR(__xludf.DUMMYFUNCTION("""COMPUTED_VALUE"""),"Customer Care")</f>
        <v>Customer Care</v>
      </c>
      <c r="L863" s="106" t="str">
        <f>IFERROR(__xludf.DUMMYFUNCTION("""COMPUTED_VALUE"""),"Details Given")</f>
        <v>Details Given</v>
      </c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>
      <c r="A864" s="82"/>
      <c r="B864" s="98" t="str">
        <f>IFERROR(__xludf.DUMMYFUNCTION("""COMPUTED_VALUE"""),"1140")</f>
        <v>1140</v>
      </c>
      <c r="C864" s="98" t="str">
        <f>IFERROR(__xludf.DUMMYFUNCTION("""COMPUTED_VALUE"""),"Umesha")</f>
        <v>Umesha</v>
      </c>
      <c r="D864" s="98" t="str">
        <f>IFERROR(__xludf.DUMMYFUNCTION("""COMPUTED_VALUE"""),"707777289")</f>
        <v>707777289</v>
      </c>
      <c r="E864" s="98" t="str">
        <f>IFERROR(__xludf.DUMMYFUNCTION("""COMPUTED_VALUE"""),"Y")</f>
        <v>Y</v>
      </c>
      <c r="F864" s="98" t="str">
        <f>IFERROR(__xludf.DUMMYFUNCTION("""COMPUTED_VALUE"""),"72 244 8617")</f>
        <v>72 244 8617</v>
      </c>
      <c r="G864" s="98" t="str">
        <f>IFERROR(__xludf.DUMMYFUNCTION("""COMPUTED_VALUE"""),"79564297")</f>
        <v>79564297</v>
      </c>
      <c r="H864" s="98" t="str">
        <f>IFERROR(__xludf.DUMMYFUNCTION("""COMPUTED_VALUE"""),"Branch Number List")</f>
        <v>Branch Number List</v>
      </c>
      <c r="I864" s="98" t="str">
        <f>IFERROR(__xludf.DUMMYFUNCTION("""COMPUTED_VALUE"""),"Pilimathlawa")</f>
        <v>Pilimathlawa</v>
      </c>
      <c r="J864" s="98" t="str">
        <f>IFERROR(__xludf.DUMMYFUNCTION("""COMPUTED_VALUE"""),"Received At Destination")</f>
        <v>Received At Destination</v>
      </c>
      <c r="K864" s="98" t="str">
        <f>IFERROR(__xludf.DUMMYFUNCTION("""COMPUTED_VALUE"""),"Return")</f>
        <v>Return</v>
      </c>
      <c r="L864" s="98" t="str">
        <f>IFERROR(__xludf.DUMMYFUNCTION("""COMPUTED_VALUE"""),"Informed Branch And Rm")</f>
        <v>Informed Branch And Rm</v>
      </c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>
      <c r="A865" s="82"/>
      <c r="B865" s="106" t="str">
        <f>IFERROR(__xludf.DUMMYFUNCTION("""COMPUTED_VALUE"""),"1141")</f>
        <v>1141</v>
      </c>
      <c r="C865" s="106" t="str">
        <f>IFERROR(__xludf.DUMMYFUNCTION("""COMPUTED_VALUE"""),"Lakshani")</f>
        <v>Lakshani</v>
      </c>
      <c r="D865" s="106" t="str">
        <f>IFERROR(__xludf.DUMMYFUNCTION("""COMPUTED_VALUE"""),"742249207")</f>
        <v>742249207</v>
      </c>
      <c r="E865" s="106" t="str">
        <f>IFERROR(__xludf.DUMMYFUNCTION("""COMPUTED_VALUE"""),"N")</f>
        <v>N</v>
      </c>
      <c r="F865" s="106" t="str">
        <f>IFERROR(__xludf.DUMMYFUNCTION("""COMPUTED_VALUE"""),"Mangala Holdings")</f>
        <v>Mangala Holdings</v>
      </c>
      <c r="G865" s="106" t="str">
        <f>IFERROR(__xludf.DUMMYFUNCTION("""COMPUTED_VALUE"""),"A4051539")</f>
        <v>A4051539</v>
      </c>
      <c r="H865" s="106" t="str">
        <f>IFERROR(__xludf.DUMMYFUNCTION("""COMPUTED_VALUE"""),"No Proper Details")</f>
        <v>No Proper Details</v>
      </c>
      <c r="I865" s="106" t="str">
        <f>IFERROR(__xludf.DUMMYFUNCTION("""COMPUTED_VALUE"""),"Kurunegala")</f>
        <v>Kurunegala</v>
      </c>
      <c r="J865" s="106" t="str">
        <f>IFERROR(__xludf.DUMMYFUNCTION("""COMPUTED_VALUE"""),"Returned To Branch Failed To Deliver")</f>
        <v>Returned To Branch Failed To Deliver</v>
      </c>
      <c r="K865" s="106" t="str">
        <f>IFERROR(__xludf.DUMMYFUNCTION("""COMPUTED_VALUE"""),"Customer Care")</f>
        <v>Customer Care</v>
      </c>
      <c r="L865" s="106" t="str">
        <f>IFERROR(__xludf.DUMMYFUNCTION("""COMPUTED_VALUE"""),"Given Details")</f>
        <v>Given Details</v>
      </c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>
      <c r="A866" s="82"/>
      <c r="B866" s="98" t="str">
        <f>IFERROR(__xludf.DUMMYFUNCTION("""COMPUTED_VALUE"""),"1142")</f>
        <v>1142</v>
      </c>
      <c r="C866" s="98" t="str">
        <f>IFERROR(__xludf.DUMMYFUNCTION("""COMPUTED_VALUE"""),"Jeni")</f>
        <v>Jeni</v>
      </c>
      <c r="D866" s="98" t="str">
        <f>IFERROR(__xludf.DUMMYFUNCTION("""COMPUTED_VALUE"""),"712311134")</f>
        <v>712311134</v>
      </c>
      <c r="E866" s="98" t="str">
        <f>IFERROR(__xludf.DUMMYFUNCTION("""COMPUTED_VALUE"""),"Y")</f>
        <v>Y</v>
      </c>
      <c r="F866" s="108" t="str">
        <f>IFERROR(__xludf.DUMMYFUNCTION("""COMPUTED_VALUE"""),"Crown.Lk")</f>
        <v>Crown.Lk</v>
      </c>
      <c r="G866" s="98" t="str">
        <f>IFERROR(__xludf.DUMMYFUNCTION("""COMPUTED_VALUE"""),"A4086806")</f>
        <v>A4086806</v>
      </c>
      <c r="H866" s="98" t="str">
        <f>IFERROR(__xludf.DUMMYFUNCTION("""COMPUTED_VALUE"""),"Asked Some Details")</f>
        <v>Asked Some Details</v>
      </c>
      <c r="I866" s="98" t="str">
        <f>IFERROR(__xludf.DUMMYFUNCTION("""COMPUTED_VALUE"""),"Kandy")</f>
        <v>Kandy</v>
      </c>
      <c r="J866" s="98" t="str">
        <f>IFERROR(__xludf.DUMMYFUNCTION("""COMPUTED_VALUE"""),"Returned To Branch Rescheduled")</f>
        <v>Returned To Branch Rescheduled</v>
      </c>
      <c r="K866" s="98" t="str">
        <f>IFERROR(__xludf.DUMMYFUNCTION("""COMPUTED_VALUE"""),"Branch Operations")</f>
        <v>Branch Operations</v>
      </c>
      <c r="L866" s="98" t="str">
        <f>IFERROR(__xludf.DUMMYFUNCTION("""COMPUTED_VALUE"""),"Informed Branch")</f>
        <v>Informed Branch</v>
      </c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>
      <c r="A867" s="82"/>
      <c r="B867" s="106" t="str">
        <f>IFERROR(__xludf.DUMMYFUNCTION("""COMPUTED_VALUE"""),"1143")</f>
        <v>1143</v>
      </c>
      <c r="C867" s="106" t="str">
        <f>IFERROR(__xludf.DUMMYFUNCTION("""COMPUTED_VALUE"""),"Mandari")</f>
        <v>Mandari</v>
      </c>
      <c r="D867" s="106" t="str">
        <f>IFERROR(__xludf.DUMMYFUNCTION("""COMPUTED_VALUE"""),"733375691")</f>
        <v>733375691</v>
      </c>
      <c r="E867" s="106" t="str">
        <f>IFERROR(__xludf.DUMMYFUNCTION("""COMPUTED_VALUE"""),"N")</f>
        <v>N</v>
      </c>
      <c r="F867" s="106" t="str">
        <f>IFERROR(__xludf.DUMMYFUNCTION("""COMPUTED_VALUE"""),"Win Lanka")</f>
        <v>Win Lanka</v>
      </c>
      <c r="G867" s="106" t="str">
        <f>IFERROR(__xludf.DUMMYFUNCTION("""COMPUTED_VALUE"""),"BE075435")</f>
        <v>BE075435</v>
      </c>
      <c r="H867" s="106" t="str">
        <f>IFERROR(__xludf.DUMMYFUNCTION("""COMPUTED_VALUE"""),"Customer Want Return This Order")</f>
        <v>Customer Want Return This Order</v>
      </c>
      <c r="I867" s="106" t="str">
        <f>IFERROR(__xludf.DUMMYFUNCTION("""COMPUTED_VALUE"""),"Kuliyapitiya")</f>
        <v>Kuliyapitiya</v>
      </c>
      <c r="J867" s="106" t="str">
        <f>IFERROR(__xludf.DUMMYFUNCTION("""COMPUTED_VALUE"""),"Received At Destination")</f>
        <v>Received At Destination</v>
      </c>
      <c r="K867" s="106" t="str">
        <f>IFERROR(__xludf.DUMMYFUNCTION("""COMPUTED_VALUE"""),"Branch Operations")</f>
        <v>Branch Operations</v>
      </c>
      <c r="L867" s="106" t="str">
        <f>IFERROR(__xludf.DUMMYFUNCTION("""COMPUTED_VALUE"""),"Done")</f>
        <v>Done</v>
      </c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>
      <c r="A868" s="82"/>
      <c r="B868" s="98" t="str">
        <f>IFERROR(__xludf.DUMMYFUNCTION("""COMPUTED_VALUE"""),"1144")</f>
        <v>1144</v>
      </c>
      <c r="C868" s="98" t="str">
        <f>IFERROR(__xludf.DUMMYFUNCTION("""COMPUTED_VALUE"""),"Umesha")</f>
        <v>Umesha</v>
      </c>
      <c r="D868" s="98" t="str">
        <f>IFERROR(__xludf.DUMMYFUNCTION("""COMPUTED_VALUE"""),"710878429")</f>
        <v>710878429</v>
      </c>
      <c r="E868" s="98" t="str">
        <f>IFERROR(__xludf.DUMMYFUNCTION("""COMPUTED_VALUE"""),"Y")</f>
        <v>Y</v>
      </c>
      <c r="F868" s="98" t="str">
        <f>IFERROR(__xludf.DUMMYFUNCTION("""COMPUTED_VALUE"""),"Ad Happines (Hettipola)")</f>
        <v>Ad Happines (Hettipola)</v>
      </c>
      <c r="G868" s="98" t="str">
        <f>IFERROR(__xludf.DUMMYFUNCTION("""COMPUTED_VALUE"""),"BE079034")</f>
        <v>BE079034</v>
      </c>
      <c r="H868" s="98" t="str">
        <f>IFERROR(__xludf.DUMMYFUNCTION("""COMPUTED_VALUE"""),"Ask Nilesha")</f>
        <v>Ask Nilesha</v>
      </c>
      <c r="I868" s="98" t="str">
        <f>IFERROR(__xludf.DUMMYFUNCTION("""COMPUTED_VALUE"""),"Akuressa")</f>
        <v>Akuressa</v>
      </c>
      <c r="J868" s="98" t="str">
        <f>IFERROR(__xludf.DUMMYFUNCTION("""COMPUTED_VALUE"""),"Returned To Branch Failed To Deliver")</f>
        <v>Returned To Branch Failed To Deliver</v>
      </c>
      <c r="K868" s="98" t="str">
        <f>IFERROR(__xludf.DUMMYFUNCTION("""COMPUTED_VALUE"""),"Branch Operations")</f>
        <v>Branch Operations</v>
      </c>
      <c r="L868" s="98" t="str">
        <f>IFERROR(__xludf.DUMMYFUNCTION("""COMPUTED_VALUE"""),"Add A Re - Mark")</f>
        <v>Add A Re - Mark</v>
      </c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>
      <c r="A869" s="82"/>
      <c r="B869" s="106" t="str">
        <f>IFERROR(__xludf.DUMMYFUNCTION("""COMPUTED_VALUE"""),"1145")</f>
        <v>1145</v>
      </c>
      <c r="C869" s="106" t="str">
        <f>IFERROR(__xludf.DUMMYFUNCTION("""COMPUTED_VALUE"""),"Jeni")</f>
        <v>Jeni</v>
      </c>
      <c r="D869" s="106" t="str">
        <f>IFERROR(__xludf.DUMMYFUNCTION("""COMPUTED_VALUE"""),"743866343")</f>
        <v>743866343</v>
      </c>
      <c r="E869" s="106" t="str">
        <f>IFERROR(__xludf.DUMMYFUNCTION("""COMPUTED_VALUE"""),"N")</f>
        <v>N</v>
      </c>
      <c r="F869" s="106" t="str">
        <f>IFERROR(__xludf.DUMMYFUNCTION("""COMPUTED_VALUE"""),"Neha Skin")</f>
        <v>Neha Skin</v>
      </c>
      <c r="G869" s="106" t="str">
        <f>IFERROR(__xludf.DUMMYFUNCTION("""COMPUTED_VALUE"""),"A4322051")</f>
        <v>A4322051</v>
      </c>
      <c r="H869" s="106" t="str">
        <f>IFERROR(__xludf.DUMMYFUNCTION("""COMPUTED_VALUE"""),"Re Deliver")</f>
        <v>Re Deliver</v>
      </c>
      <c r="I869" s="106" t="str">
        <f>IFERROR(__xludf.DUMMYFUNCTION("""COMPUTED_VALUE"""),"Homagama")</f>
        <v>Homagama</v>
      </c>
      <c r="J869" s="106" t="str">
        <f>IFERROR(__xludf.DUMMYFUNCTION("""COMPUTED_VALUE"""),"Received At Destination")</f>
        <v>Received At Destination</v>
      </c>
      <c r="K869" s="106" t="str">
        <f>IFERROR(__xludf.DUMMYFUNCTION("""COMPUTED_VALUE"""),"Customer Care")</f>
        <v>Customer Care</v>
      </c>
      <c r="L869" s="106" t="str">
        <f>IFERROR(__xludf.DUMMYFUNCTION("""COMPUTED_VALUE"""),"Details Given")</f>
        <v>Details Given</v>
      </c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>
      <c r="A870" s="82"/>
      <c r="B870" s="98" t="str">
        <f>IFERROR(__xludf.DUMMYFUNCTION("""COMPUTED_VALUE"""),"1146")</f>
        <v>1146</v>
      </c>
      <c r="C870" s="98" t="str">
        <f>IFERROR(__xludf.DUMMYFUNCTION("""COMPUTED_VALUE"""),"Mandari")</f>
        <v>Mandari</v>
      </c>
      <c r="D870" s="98" t="str">
        <f>IFERROR(__xludf.DUMMYFUNCTION("""COMPUTED_VALUE"""),"767996043")</f>
        <v>767996043</v>
      </c>
      <c r="E870" s="98" t="str">
        <f>IFERROR(__xludf.DUMMYFUNCTION("""COMPUTED_VALUE"""),"Y")</f>
        <v>Y</v>
      </c>
      <c r="F870" s="98" t="str">
        <f>IFERROR(__xludf.DUMMYFUNCTION("""COMPUTED_VALUE"""),"Oneshop")</f>
        <v>Oneshop</v>
      </c>
      <c r="G870" s="98" t="str">
        <f>IFERROR(__xludf.DUMMYFUNCTION("""COMPUTED_VALUE"""),"A4248931")</f>
        <v>A4248931</v>
      </c>
      <c r="H870" s="98" t="str">
        <f>IFERROR(__xludf.DUMMYFUNCTION("""COMPUTED_VALUE"""),"Order Status")</f>
        <v>Order Status</v>
      </c>
      <c r="I870" s="98" t="str">
        <f>IFERROR(__xludf.DUMMYFUNCTION("""COMPUTED_VALUE"""),"Wattala")</f>
        <v>Wattala</v>
      </c>
      <c r="J870" s="98" t="str">
        <f>IFERROR(__xludf.DUMMYFUNCTION("""COMPUTED_VALUE"""),"Returned To Branch Rescheduled")</f>
        <v>Returned To Branch Rescheduled</v>
      </c>
      <c r="K870" s="98" t="str">
        <f>IFERROR(__xludf.DUMMYFUNCTION("""COMPUTED_VALUE"""),"Customer Care")</f>
        <v>Customer Care</v>
      </c>
      <c r="L870" s="98" t="str">
        <f>IFERROR(__xludf.DUMMYFUNCTION("""COMPUTED_VALUE"""),"Done")</f>
        <v>Done</v>
      </c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>
      <c r="A871" s="82"/>
      <c r="B871" s="106" t="str">
        <f>IFERROR(__xludf.DUMMYFUNCTION("""COMPUTED_VALUE"""),"1147")</f>
        <v>1147</v>
      </c>
      <c r="C871" s="106" t="str">
        <f>IFERROR(__xludf.DUMMYFUNCTION("""COMPUTED_VALUE"""),"Mandari")</f>
        <v>Mandari</v>
      </c>
      <c r="D871" s="106" t="str">
        <f>IFERROR(__xludf.DUMMYFUNCTION("""COMPUTED_VALUE"""),"777139060")</f>
        <v>777139060</v>
      </c>
      <c r="E871" s="106" t="str">
        <f>IFERROR(__xludf.DUMMYFUNCTION("""COMPUTED_VALUE"""),"N")</f>
        <v>N</v>
      </c>
      <c r="F871" s="106" t="str">
        <f>IFERROR(__xludf.DUMMYFUNCTION("""COMPUTED_VALUE"""),"Super Ayurvedic")</f>
        <v>Super Ayurvedic</v>
      </c>
      <c r="G871" s="106" t="str">
        <f>IFERROR(__xludf.DUMMYFUNCTION("""COMPUTED_VALUE"""),"BE108403")</f>
        <v>BE108403</v>
      </c>
      <c r="H871" s="106" t="str">
        <f>IFERROR(__xludf.DUMMYFUNCTION("""COMPUTED_VALUE"""),"Customer Want Return This Package")</f>
        <v>Customer Want Return This Package</v>
      </c>
      <c r="I871" s="106" t="str">
        <f>IFERROR(__xludf.DUMMYFUNCTION("""COMPUTED_VALUE"""),"Mirigama")</f>
        <v>Mirigama</v>
      </c>
      <c r="J871" s="106" t="str">
        <f>IFERROR(__xludf.DUMMYFUNCTION("""COMPUTED_VALUE"""),"Delivered")</f>
        <v>Delivered</v>
      </c>
      <c r="K871" s="106" t="str">
        <f>IFERROR(__xludf.DUMMYFUNCTION("""COMPUTED_VALUE"""),"Domestic")</f>
        <v>Domestic</v>
      </c>
      <c r="L871" s="106" t="str">
        <f>IFERROR(__xludf.DUMMYFUNCTION("""COMPUTED_VALUE"""),"Disconnected")</f>
        <v>Disconnected</v>
      </c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>
      <c r="A872" s="82"/>
      <c r="B872" s="98" t="str">
        <f>IFERROR(__xludf.DUMMYFUNCTION("""COMPUTED_VALUE"""),"1148")</f>
        <v>1148</v>
      </c>
      <c r="C872" s="98" t="str">
        <f>IFERROR(__xludf.DUMMYFUNCTION("""COMPUTED_VALUE"""),"Mandari")</f>
        <v>Mandari</v>
      </c>
      <c r="D872" s="98" t="str">
        <f>IFERROR(__xludf.DUMMYFUNCTION("""COMPUTED_VALUE"""),"743530160")</f>
        <v>743530160</v>
      </c>
      <c r="E872" s="98" t="str">
        <f>IFERROR(__xludf.DUMMYFUNCTION("""COMPUTED_VALUE"""),"Y")</f>
        <v>Y</v>
      </c>
      <c r="F872" s="98" t="str">
        <f>IFERROR(__xludf.DUMMYFUNCTION("""COMPUTED_VALUE"""),"Neth Fashion Clothing")</f>
        <v>Neth Fashion Clothing</v>
      </c>
      <c r="G872" s="98" t="str">
        <f>IFERROR(__xludf.DUMMYFUNCTION("""COMPUTED_VALUE"""),"A1106394")</f>
        <v>A1106394</v>
      </c>
      <c r="H872" s="98" t="str">
        <f>IFERROR(__xludf.DUMMYFUNCTION("""COMPUTED_VALUE"""),"Didn'T Know The Tracking Number")</f>
        <v>Didn'T Know The Tracking Number</v>
      </c>
      <c r="I872" s="98" t="str">
        <f>IFERROR(__xludf.DUMMYFUNCTION("""COMPUTED_VALUE"""),"Thalawathugoda")</f>
        <v>Thalawathugoda</v>
      </c>
      <c r="J872" s="98" t="str">
        <f>IFERROR(__xludf.DUMMYFUNCTION("""COMPUTED_VALUE"""),"Returned To Branch Rescheduled")</f>
        <v>Returned To Branch Rescheduled</v>
      </c>
      <c r="K872" s="98" t="str">
        <f>IFERROR(__xludf.DUMMYFUNCTION("""COMPUTED_VALUE"""),"Branch Operations")</f>
        <v>Branch Operations</v>
      </c>
      <c r="L872" s="98" t="str">
        <f>IFERROR(__xludf.DUMMYFUNCTION("""COMPUTED_VALUE"""),"Informed Branch")</f>
        <v>Informed Branch</v>
      </c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>
      <c r="A873" s="82"/>
      <c r="B873" s="106" t="str">
        <f>IFERROR(__xludf.DUMMYFUNCTION("""COMPUTED_VALUE"""),"1149")</f>
        <v>1149</v>
      </c>
      <c r="C873" s="106" t="str">
        <f>IFERROR(__xludf.DUMMYFUNCTION("""COMPUTED_VALUE"""),"Mandari")</f>
        <v>Mandari</v>
      </c>
      <c r="D873" s="106" t="str">
        <f>IFERROR(__xludf.DUMMYFUNCTION("""COMPUTED_VALUE"""),"762380553")</f>
        <v>762380553</v>
      </c>
      <c r="E873" s="106" t="str">
        <f>IFERROR(__xludf.DUMMYFUNCTION("""COMPUTED_VALUE"""),"N")</f>
        <v>N</v>
      </c>
      <c r="F873" s="106" t="str">
        <f>IFERROR(__xludf.DUMMYFUNCTION("""COMPUTED_VALUE"""),"Rooby Marketing")</f>
        <v>Rooby Marketing</v>
      </c>
      <c r="G873" s="106" t="str">
        <f>IFERROR(__xludf.DUMMYFUNCTION("""COMPUTED_VALUE"""),"A4598730")</f>
        <v>A4598730</v>
      </c>
      <c r="H873" s="106" t="str">
        <f>IFERROR(__xludf.DUMMYFUNCTION("""COMPUTED_VALUE"""),"Wennappuwa Branch Location")</f>
        <v>Wennappuwa Branch Location</v>
      </c>
      <c r="I873" s="106" t="str">
        <f>IFERROR(__xludf.DUMMYFUNCTION("""COMPUTED_VALUE"""),"Colombo Metro")</f>
        <v>Colombo Metro</v>
      </c>
      <c r="J873" s="106" t="str">
        <f>IFERROR(__xludf.DUMMYFUNCTION("""COMPUTED_VALUE"""),"Received At Destination")</f>
        <v>Received At Destination</v>
      </c>
      <c r="K873" s="106" t="str">
        <f>IFERROR(__xludf.DUMMYFUNCTION("""COMPUTED_VALUE"""),"Branch Operations")</f>
        <v>Branch Operations</v>
      </c>
      <c r="L873" s="106" t="str">
        <f>IFERROR(__xludf.DUMMYFUNCTION("""COMPUTED_VALUE"""),"Done")</f>
        <v>Done</v>
      </c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>
      <c r="A874" s="82"/>
      <c r="B874" s="98" t="str">
        <f>IFERROR(__xludf.DUMMYFUNCTION("""COMPUTED_VALUE"""),"1150")</f>
        <v>1150</v>
      </c>
      <c r="C874" s="98" t="str">
        <f>IFERROR(__xludf.DUMMYFUNCTION("""COMPUTED_VALUE"""),"Jeni")</f>
        <v>Jeni</v>
      </c>
      <c r="D874" s="98" t="str">
        <f>IFERROR(__xludf.DUMMYFUNCTION("""COMPUTED_VALUE"""),"705275249")</f>
        <v>705275249</v>
      </c>
      <c r="E874" s="98" t="str">
        <f>IFERROR(__xludf.DUMMYFUNCTION("""COMPUTED_VALUE"""),"Y")</f>
        <v>Y</v>
      </c>
      <c r="F874" s="98" t="str">
        <f>IFERROR(__xludf.DUMMYFUNCTION("""COMPUTED_VALUE"""),"Mahaovita Hela Osu")</f>
        <v>Mahaovita Hela Osu</v>
      </c>
      <c r="G874" s="98" t="str">
        <f>IFERROR(__xludf.DUMMYFUNCTION("""COMPUTED_VALUE"""),"BA779612")</f>
        <v>BA779612</v>
      </c>
      <c r="H874" s="98" t="str">
        <f>IFERROR(__xludf.DUMMYFUNCTION("""COMPUTED_VALUE"""),"No Proper Details")</f>
        <v>No Proper Details</v>
      </c>
      <c r="I874" s="98" t="str">
        <f>IFERROR(__xludf.DUMMYFUNCTION("""COMPUTED_VALUE"""),"Pilimathlawa")</f>
        <v>Pilimathlawa</v>
      </c>
      <c r="J874" s="98" t="str">
        <f>IFERROR(__xludf.DUMMYFUNCTION("""COMPUTED_VALUE"""),"Out For Delivery")</f>
        <v>Out For Delivery</v>
      </c>
      <c r="K874" s="98" t="str">
        <f>IFERROR(__xludf.DUMMYFUNCTION("""COMPUTED_VALUE"""),"Branch Operations")</f>
        <v>Branch Operations</v>
      </c>
      <c r="L874" s="98" t="str">
        <f>IFERROR(__xludf.DUMMYFUNCTION("""COMPUTED_VALUE"""),"Informed Branch")</f>
        <v>Informed Branch</v>
      </c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>
      <c r="A875" s="82"/>
      <c r="B875" s="106" t="str">
        <f>IFERROR(__xludf.DUMMYFUNCTION("""COMPUTED_VALUE"""),"1151")</f>
        <v>1151</v>
      </c>
      <c r="C875" s="106" t="str">
        <f>IFERROR(__xludf.DUMMYFUNCTION("""COMPUTED_VALUE"""),"Umesha")</f>
        <v>Umesha</v>
      </c>
      <c r="D875" s="106" t="str">
        <f>IFERROR(__xludf.DUMMYFUNCTION("""COMPUTED_VALUE"""),"722024324")</f>
        <v>722024324</v>
      </c>
      <c r="E875" s="106" t="str">
        <f>IFERROR(__xludf.DUMMYFUNCTION("""COMPUTED_VALUE"""),"N")</f>
        <v>N</v>
      </c>
      <c r="F875" s="106" t="str">
        <f>IFERROR(__xludf.DUMMYFUNCTION("""COMPUTED_VALUE"""),"Miraci Holdings")</f>
        <v>Miraci Holdings</v>
      </c>
      <c r="G875" s="106" t="str">
        <f>IFERROR(__xludf.DUMMYFUNCTION("""COMPUTED_VALUE"""),"BE079034")</f>
        <v>BE079034</v>
      </c>
      <c r="H875" s="106" t="str">
        <f>IFERROR(__xludf.DUMMYFUNCTION("""COMPUTED_VALUE"""),"Arrange To Deliver Today / Top Urgant")</f>
        <v>Arrange To Deliver Today / Top Urgant</v>
      </c>
      <c r="I875" s="106" t="str">
        <f>IFERROR(__xludf.DUMMYFUNCTION("""COMPUTED_VALUE"""),"Thalawathugoda")</f>
        <v>Thalawathugoda</v>
      </c>
      <c r="J875" s="106" t="str">
        <f>IFERROR(__xludf.DUMMYFUNCTION("""COMPUTED_VALUE"""),"Returned To Branch Rescheduled")</f>
        <v>Returned To Branch Rescheduled</v>
      </c>
      <c r="K875" s="106" t="str">
        <f>IFERROR(__xludf.DUMMYFUNCTION("""COMPUTED_VALUE"""),"Customer Care")</f>
        <v>Customer Care</v>
      </c>
      <c r="L875" s="106" t="str">
        <f>IFERROR(__xludf.DUMMYFUNCTION("""COMPUTED_VALUE"""),"Disconnected")</f>
        <v>Disconnected</v>
      </c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>
      <c r="A876" s="82"/>
      <c r="B876" s="98" t="str">
        <f>IFERROR(__xludf.DUMMYFUNCTION("""COMPUTED_VALUE"""),"1152")</f>
        <v>1152</v>
      </c>
      <c r="C876" s="98" t="str">
        <f>IFERROR(__xludf.DUMMYFUNCTION("""COMPUTED_VALUE"""),"Malik")</f>
        <v>Malik</v>
      </c>
      <c r="D876" s="98" t="str">
        <f>IFERROR(__xludf.DUMMYFUNCTION("""COMPUTED_VALUE"""),"742614427")</f>
        <v>742614427</v>
      </c>
      <c r="E876" s="98" t="str">
        <f>IFERROR(__xludf.DUMMYFUNCTION("""COMPUTED_VALUE"""),"Y")</f>
        <v>Y</v>
      </c>
      <c r="F876" s="98" t="str">
        <f>IFERROR(__xludf.DUMMYFUNCTION("""COMPUTED_VALUE"""),"Angel Attic")</f>
        <v>Angel Attic</v>
      </c>
      <c r="G876" s="98" t="str">
        <f>IFERROR(__xludf.DUMMYFUNCTION("""COMPUTED_VALUE"""),"BE046645")</f>
        <v>BE046645</v>
      </c>
      <c r="H876" s="98" t="str">
        <f>IFERROR(__xludf.DUMMYFUNCTION("""COMPUTED_VALUE"""),"Req Tamil Agent")</f>
        <v>Req Tamil Agent</v>
      </c>
      <c r="I876" s="98" t="str">
        <f>IFERROR(__xludf.DUMMYFUNCTION("""COMPUTED_VALUE"""),"Dambulla")</f>
        <v>Dambulla</v>
      </c>
      <c r="J876" s="98" t="str">
        <f>IFERROR(__xludf.DUMMYFUNCTION("""COMPUTED_VALUE"""),"Delivered")</f>
        <v>Delivered</v>
      </c>
      <c r="K876" s="98" t="str">
        <f>IFERROR(__xludf.DUMMYFUNCTION("""COMPUTED_VALUE"""),"Branch Operations")</f>
        <v>Branch Operations</v>
      </c>
      <c r="L876" s="98" t="str">
        <f>IFERROR(__xludf.DUMMYFUNCTION("""COMPUTED_VALUE"""),"Done")</f>
        <v>Done</v>
      </c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>
      <c r="A877" s="82"/>
      <c r="B877" s="106" t="str">
        <f>IFERROR(__xludf.DUMMYFUNCTION("""COMPUTED_VALUE"""),"1153")</f>
        <v>1153</v>
      </c>
      <c r="C877" s="106" t="str">
        <f>IFERROR(__xludf.DUMMYFUNCTION("""COMPUTED_VALUE"""),"Lakshani")</f>
        <v>Lakshani</v>
      </c>
      <c r="D877" s="106" t="str">
        <f>IFERROR(__xludf.DUMMYFUNCTION("""COMPUTED_VALUE"""),"710607191")</f>
        <v>710607191</v>
      </c>
      <c r="E877" s="106" t="str">
        <f>IFERROR(__xludf.DUMMYFUNCTION("""COMPUTED_VALUE"""),"Y")</f>
        <v>Y</v>
      </c>
      <c r="F877" s="107" t="str">
        <f>IFERROR(__xludf.DUMMYFUNCTION("""COMPUTED_VALUE"""),"Saleway.Lk")</f>
        <v>Saleway.Lk</v>
      </c>
      <c r="G877" s="106" t="str">
        <f>IFERROR(__xludf.DUMMYFUNCTION("""COMPUTED_VALUE"""),"BE091724")</f>
        <v>BE091724</v>
      </c>
      <c r="H877" s="106" t="str">
        <f>IFERROR(__xludf.DUMMYFUNCTION("""COMPUTED_VALUE"""),"Re Deliver")</f>
        <v>Re Deliver</v>
      </c>
      <c r="I877" s="106" t="str">
        <f>IFERROR(__xludf.DUMMYFUNCTION("""COMPUTED_VALUE"""),"Wennappuwa")</f>
        <v>Wennappuwa</v>
      </c>
      <c r="J877" s="106" t="str">
        <f>IFERROR(__xludf.DUMMYFUNCTION("""COMPUTED_VALUE"""),"Processing")</f>
        <v>Processing</v>
      </c>
      <c r="K877" s="106" t="str">
        <f>IFERROR(__xludf.DUMMYFUNCTION("""COMPUTED_VALUE"""),"Customer Care")</f>
        <v>Customer Care</v>
      </c>
      <c r="L877" s="106" t="str">
        <f>IFERROR(__xludf.DUMMYFUNCTION("""COMPUTED_VALUE"""),"Informed Branch")</f>
        <v>Informed Branch</v>
      </c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>
      <c r="A878" s="82"/>
      <c r="B878" s="98" t="str">
        <f>IFERROR(__xludf.DUMMYFUNCTION("""COMPUTED_VALUE"""),"1154")</f>
        <v>1154</v>
      </c>
      <c r="C878" s="98" t="str">
        <f>IFERROR(__xludf.DUMMYFUNCTION("""COMPUTED_VALUE"""),"Mandari")</f>
        <v>Mandari</v>
      </c>
      <c r="D878" s="98" t="str">
        <f>IFERROR(__xludf.DUMMYFUNCTION("""COMPUTED_VALUE"""),"757655582")</f>
        <v>757655582</v>
      </c>
      <c r="E878" s="98" t="str">
        <f>IFERROR(__xludf.DUMMYFUNCTION("""COMPUTED_VALUE"""),"Y")</f>
        <v>Y</v>
      </c>
      <c r="F878" s="98" t="str">
        <f>IFERROR(__xludf.DUMMYFUNCTION("""COMPUTED_VALUE"""),"Manjistha Hair Oil")</f>
        <v>Manjistha Hair Oil</v>
      </c>
      <c r="G878" s="98" t="str">
        <f>IFERROR(__xludf.DUMMYFUNCTION("""COMPUTED_VALUE"""),"A4409255")</f>
        <v>A4409255</v>
      </c>
      <c r="H878" s="98" t="str">
        <f>IFERROR(__xludf.DUMMYFUNCTION("""COMPUTED_VALUE"""),"Monaragala Branch No")</f>
        <v>Monaragala Branch No</v>
      </c>
      <c r="I878" s="98" t="str">
        <f>IFERROR(__xludf.DUMMYFUNCTION("""COMPUTED_VALUE"""),"Kegalle")</f>
        <v>Kegalle</v>
      </c>
      <c r="J878" s="98" t="str">
        <f>IFERROR(__xludf.DUMMYFUNCTION("""COMPUTED_VALUE"""),"Returned To Branch Rescheduled")</f>
        <v>Returned To Branch Rescheduled</v>
      </c>
      <c r="K878" s="98" t="str">
        <f>IFERROR(__xludf.DUMMYFUNCTION("""COMPUTED_VALUE"""),"Branch Operations")</f>
        <v>Branch Operations</v>
      </c>
      <c r="L878" s="98" t="str">
        <f>IFERROR(__xludf.DUMMYFUNCTION("""COMPUTED_VALUE"""),"Informed Deepika Genzo")</f>
        <v>Informed Deepika Genzo</v>
      </c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>
      <c r="A879" s="82"/>
      <c r="B879" s="106" t="str">
        <f>IFERROR(__xludf.DUMMYFUNCTION("""COMPUTED_VALUE"""),"1155")</f>
        <v>1155</v>
      </c>
      <c r="C879" s="106" t="str">
        <f>IFERROR(__xludf.DUMMYFUNCTION("""COMPUTED_VALUE"""),"Jeni")</f>
        <v>Jeni</v>
      </c>
      <c r="D879" s="106" t="str">
        <f>IFERROR(__xludf.DUMMYFUNCTION("""COMPUTED_VALUE"""),"769357268")</f>
        <v>769357268</v>
      </c>
      <c r="E879" s="106" t="str">
        <f>IFERROR(__xludf.DUMMYFUNCTION("""COMPUTED_VALUE"""),"N")</f>
        <v>N</v>
      </c>
      <c r="F879" s="106" t="str">
        <f>IFERROR(__xludf.DUMMYFUNCTION("""COMPUTED_VALUE"""),"Mona'S Closet")</f>
        <v>Mona'S Closet</v>
      </c>
      <c r="G879" s="106" t="str">
        <f>IFERROR(__xludf.DUMMYFUNCTION("""COMPUTED_VALUE"""),"BA779612")</f>
        <v>BA779612</v>
      </c>
      <c r="H879" s="106" t="str">
        <f>IFERROR(__xludf.DUMMYFUNCTION("""COMPUTED_VALUE"""),"712354035 - Customer Requested Re-Delivery. Please Arrange It For Tomorrow.")</f>
        <v>712354035 - Customer Requested Re-Delivery. Please Arrange It For Tomorrow.</v>
      </c>
      <c r="I879" s="106" t="str">
        <f>IFERROR(__xludf.DUMMYFUNCTION("""COMPUTED_VALUE"""),"Negombo")</f>
        <v>Negombo</v>
      </c>
      <c r="J879" s="106" t="str">
        <f>IFERROR(__xludf.DUMMYFUNCTION("""COMPUTED_VALUE"""),"Out For Delivery")</f>
        <v>Out For Delivery</v>
      </c>
      <c r="K879" s="106" t="str">
        <f>IFERROR(__xludf.DUMMYFUNCTION("""COMPUTED_VALUE"""),"Customer Care")</f>
        <v>Customer Care</v>
      </c>
      <c r="L879" s="106" t="str">
        <f>IFERROR(__xludf.DUMMYFUNCTION("""COMPUTED_VALUE"""),"Customer No Answer")</f>
        <v>Customer No Answer</v>
      </c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>
      <c r="A880" s="82"/>
      <c r="B880" s="98" t="str">
        <f>IFERROR(__xludf.DUMMYFUNCTION("""COMPUTED_VALUE"""),"1156")</f>
        <v>1156</v>
      </c>
      <c r="C880" s="98" t="str">
        <f>IFERROR(__xludf.DUMMYFUNCTION("""COMPUTED_VALUE"""),"Malik")</f>
        <v>Malik</v>
      </c>
      <c r="D880" s="98" t="str">
        <f>IFERROR(__xludf.DUMMYFUNCTION("""COMPUTED_VALUE"""),"705248186")</f>
        <v>705248186</v>
      </c>
      <c r="E880" s="98" t="str">
        <f>IFERROR(__xludf.DUMMYFUNCTION("""COMPUTED_VALUE"""),"N")</f>
        <v>N</v>
      </c>
      <c r="F880" s="98" t="str">
        <f>IFERROR(__xludf.DUMMYFUNCTION("""COMPUTED_VALUE"""),"Kanro Enterprises")</f>
        <v>Kanro Enterprises</v>
      </c>
      <c r="G880" s="98" t="str">
        <f>IFERROR(__xludf.DUMMYFUNCTION("""COMPUTED_VALUE"""),"BE085378")</f>
        <v>BE085378</v>
      </c>
      <c r="H880" s="98" t="str">
        <f>IFERROR(__xludf.DUMMYFUNCTION("""COMPUTED_VALUE"""),"Re Deliver")</f>
        <v>Re Deliver</v>
      </c>
      <c r="I880" s="98" t="str">
        <f>IFERROR(__xludf.DUMMYFUNCTION("""COMPUTED_VALUE"""),"Rajagiriya")</f>
        <v>Rajagiriya</v>
      </c>
      <c r="J880" s="98" t="str">
        <f>IFERROR(__xludf.DUMMYFUNCTION("""COMPUTED_VALUE"""),"Return To Ho (Invalid Destination)")</f>
        <v>Return To Ho (Invalid Destination)</v>
      </c>
      <c r="K880" s="98" t="str">
        <f>IFERROR(__xludf.DUMMYFUNCTION("""COMPUTED_VALUE"""),"Customer Care")</f>
        <v>Customer Care</v>
      </c>
      <c r="L880" s="98" t="str">
        <f>IFERROR(__xludf.DUMMYFUNCTION("""COMPUTED_VALUE"""),"Done")</f>
        <v>Done</v>
      </c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>
      <c r="A881" s="82"/>
      <c r="B881" s="106" t="str">
        <f>IFERROR(__xludf.DUMMYFUNCTION("""COMPUTED_VALUE"""),"1157")</f>
        <v>1157</v>
      </c>
      <c r="C881" s="106" t="str">
        <f>IFERROR(__xludf.DUMMYFUNCTION("""COMPUTED_VALUE"""),"Jeni")</f>
        <v>Jeni</v>
      </c>
      <c r="D881" s="106" t="str">
        <f>IFERROR(__xludf.DUMMYFUNCTION("""COMPUTED_VALUE"""),"778408996")</f>
        <v>778408996</v>
      </c>
      <c r="E881" s="106" t="str">
        <f>IFERROR(__xludf.DUMMYFUNCTION("""COMPUTED_VALUE"""),"N")</f>
        <v>N</v>
      </c>
      <c r="F881" s="106" t="str">
        <f>IFERROR(__xludf.DUMMYFUNCTION("""COMPUTED_VALUE"""),"Rosi Luggage &amp; Bags")</f>
        <v>Rosi Luggage &amp; Bags</v>
      </c>
      <c r="G881" s="106" t="str">
        <f>IFERROR(__xludf.DUMMYFUNCTION("""COMPUTED_VALUE"""),"A4598730")</f>
        <v>A4598730</v>
      </c>
      <c r="H881" s="106" t="str">
        <f>IFERROR(__xludf.DUMMYFUNCTION("""COMPUTED_VALUE"""),"Arrange To Deliver Today / Top Urgant")</f>
        <v>Arrange To Deliver Today / Top Urgant</v>
      </c>
      <c r="I881" s="106" t="str">
        <f>IFERROR(__xludf.DUMMYFUNCTION("""COMPUTED_VALUE"""),"Kurunegala")</f>
        <v>Kurunegala</v>
      </c>
      <c r="J881" s="106" t="str">
        <f>IFERROR(__xludf.DUMMYFUNCTION("""COMPUTED_VALUE"""),"Delivered")</f>
        <v>Delivered</v>
      </c>
      <c r="K881" s="106" t="str">
        <f>IFERROR(__xludf.DUMMYFUNCTION("""COMPUTED_VALUE"""),"Sales")</f>
        <v>Sales</v>
      </c>
      <c r="L881" s="106" t="str">
        <f>IFERROR(__xludf.DUMMYFUNCTION("""COMPUTED_VALUE"""),"Informed Genzo Nethmi")</f>
        <v>Informed Genzo Nethmi</v>
      </c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>
      <c r="A882" s="82"/>
      <c r="B882" s="98" t="str">
        <f>IFERROR(__xludf.DUMMYFUNCTION("""COMPUTED_VALUE"""),"1158")</f>
        <v>1158</v>
      </c>
      <c r="C882" s="98" t="str">
        <f>IFERROR(__xludf.DUMMYFUNCTION("""COMPUTED_VALUE"""),"Umesha")</f>
        <v>Umesha</v>
      </c>
      <c r="D882" s="98" t="str">
        <f>IFERROR(__xludf.DUMMYFUNCTION("""COMPUTED_VALUE"""),"768804852")</f>
        <v>768804852</v>
      </c>
      <c r="E882" s="98" t="str">
        <f>IFERROR(__xludf.DUMMYFUNCTION("""COMPUTED_VALUE"""),"N")</f>
        <v>N</v>
      </c>
      <c r="F882" s="98" t="str">
        <f>IFERROR(__xludf.DUMMYFUNCTION("""COMPUTED_VALUE"""),"Neth Fashion Clothing")</f>
        <v>Neth Fashion Clothing</v>
      </c>
      <c r="G882" s="98" t="str">
        <f>IFERROR(__xludf.DUMMYFUNCTION("""COMPUTED_VALUE"""),"A3373703")</f>
        <v>A3373703</v>
      </c>
      <c r="H882" s="98" t="str">
        <f>IFERROR(__xludf.DUMMYFUNCTION("""COMPUTED_VALUE"""),"Re Deliver")</f>
        <v>Re Deliver</v>
      </c>
      <c r="I882" s="98" t="str">
        <f>IFERROR(__xludf.DUMMYFUNCTION("""COMPUTED_VALUE"""),"Kuliyapitiya")</f>
        <v>Kuliyapitiya</v>
      </c>
      <c r="J882" s="98" t="str">
        <f>IFERROR(__xludf.DUMMYFUNCTION("""COMPUTED_VALUE"""),"Received At Destination")</f>
        <v>Received At Destination</v>
      </c>
      <c r="K882" s="98" t="str">
        <f>IFERROR(__xludf.DUMMYFUNCTION("""COMPUTED_VALUE"""),"Sales")</f>
        <v>Sales</v>
      </c>
      <c r="L882" s="98" t="str">
        <f>IFERROR(__xludf.DUMMYFUNCTION("""COMPUTED_VALUE"""),"Informed Genzo Team")</f>
        <v>Informed Genzo Team</v>
      </c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>
      <c r="A883" s="82"/>
      <c r="B883" s="106" t="str">
        <f>IFERROR(__xludf.DUMMYFUNCTION("""COMPUTED_VALUE"""),"1159")</f>
        <v>1159</v>
      </c>
      <c r="C883" s="106" t="str">
        <f>IFERROR(__xludf.DUMMYFUNCTION("""COMPUTED_VALUE"""),"Malik")</f>
        <v>Malik</v>
      </c>
      <c r="D883" s="106" t="str">
        <f>IFERROR(__xludf.DUMMYFUNCTION("""COMPUTED_VALUE"""),"760486453")</f>
        <v>760486453</v>
      </c>
      <c r="E883" s="106" t="str">
        <f>IFERROR(__xludf.DUMMYFUNCTION("""COMPUTED_VALUE"""),"N")</f>
        <v>N</v>
      </c>
      <c r="F883" s="106" t="str">
        <f>IFERROR(__xludf.DUMMYFUNCTION("""COMPUTED_VALUE"""),"Doctor Wasantha Lal")</f>
        <v>Doctor Wasantha Lal</v>
      </c>
      <c r="G883" s="106" t="str">
        <f>IFERROR(__xludf.DUMMYFUNCTION("""COMPUTED_VALUE"""),"A1106495")</f>
        <v>A1106495</v>
      </c>
      <c r="H883" s="106" t="str">
        <f>IFERROR(__xludf.DUMMYFUNCTION("""COMPUTED_VALUE"""),"Not Responded")</f>
        <v>Not Responded</v>
      </c>
      <c r="I883" s="106" t="str">
        <f>IFERROR(__xludf.DUMMYFUNCTION("""COMPUTED_VALUE"""),"Rikillagaskada")</f>
        <v>Rikillagaskada</v>
      </c>
      <c r="J883" s="106" t="str">
        <f>IFERROR(__xludf.DUMMYFUNCTION("""COMPUTED_VALUE"""),"Delivered")</f>
        <v>Delivered</v>
      </c>
      <c r="K883" s="106" t="str">
        <f>IFERROR(__xludf.DUMMYFUNCTION("""COMPUTED_VALUE"""),"Customer Care")</f>
        <v>Customer Care</v>
      </c>
      <c r="L883" s="106" t="str">
        <f>IFERROR(__xludf.DUMMYFUNCTION("""COMPUTED_VALUE"""),"Tranfer Cll")</f>
        <v>Tranfer Cll</v>
      </c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>
      <c r="A884" s="82"/>
      <c r="B884" s="98" t="str">
        <f>IFERROR(__xludf.DUMMYFUNCTION("""COMPUTED_VALUE"""),"1160")</f>
        <v>1160</v>
      </c>
      <c r="C884" s="98" t="str">
        <f>IFERROR(__xludf.DUMMYFUNCTION("""COMPUTED_VALUE"""),"Lakshani")</f>
        <v>Lakshani</v>
      </c>
      <c r="D884" s="98" t="str">
        <f>IFERROR(__xludf.DUMMYFUNCTION("""COMPUTED_VALUE"""),"721577778")</f>
        <v>721577778</v>
      </c>
      <c r="E884" s="98" t="str">
        <f>IFERROR(__xludf.DUMMYFUNCTION("""COMPUTED_VALUE"""),"N")</f>
        <v>N</v>
      </c>
      <c r="F884" s="98" t="str">
        <f>IFERROR(__xludf.DUMMYFUNCTION("""COMPUTED_VALUE"""),"Bluetex Pvt Ltd")</f>
        <v>Bluetex Pvt Ltd</v>
      </c>
      <c r="G884" s="98" t="str">
        <f>IFERROR(__xludf.DUMMYFUNCTION("""COMPUTED_VALUE"""),"A3845095")</f>
        <v>A3845095</v>
      </c>
      <c r="H884" s="98" t="str">
        <f>IFERROR(__xludf.DUMMYFUNCTION("""COMPUTED_VALUE"""),"Not Responded")</f>
        <v>Not Responded</v>
      </c>
      <c r="I884" s="98" t="str">
        <f>IFERROR(__xludf.DUMMYFUNCTION("""COMPUTED_VALUE"""),"Wennappuwa")</f>
        <v>Wennappuwa</v>
      </c>
      <c r="J884" s="98" t="str">
        <f>IFERROR(__xludf.DUMMYFUNCTION("""COMPUTED_VALUE"""),"Received At Destination")</f>
        <v>Received At Destination</v>
      </c>
      <c r="K884" s="98" t="str">
        <f>IFERROR(__xludf.DUMMYFUNCTION("""COMPUTED_VALUE"""),"Customer Care")</f>
        <v>Customer Care</v>
      </c>
      <c r="L884" s="98" t="str">
        <f>IFERROR(__xludf.DUMMYFUNCTION("""COMPUTED_VALUE"""),"Given No")</f>
        <v>Given No</v>
      </c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>
      <c r="A885" s="82"/>
      <c r="B885" s="106" t="str">
        <f>IFERROR(__xludf.DUMMYFUNCTION("""COMPUTED_VALUE"""),"1161")</f>
        <v>1161</v>
      </c>
      <c r="C885" s="106" t="str">
        <f>IFERROR(__xludf.DUMMYFUNCTION("""COMPUTED_VALUE"""),"Malik")</f>
        <v>Malik</v>
      </c>
      <c r="D885" s="106" t="str">
        <f>IFERROR(__xludf.DUMMYFUNCTION("""COMPUTED_VALUE"""),"771744713")</f>
        <v>771744713</v>
      </c>
      <c r="E885" s="106" t="str">
        <f>IFERROR(__xludf.DUMMYFUNCTION("""COMPUTED_VALUE"""),"N")</f>
        <v>N</v>
      </c>
      <c r="F885" s="106" t="str">
        <f>IFERROR(__xludf.DUMMYFUNCTION("""COMPUTED_VALUE"""),"Aurex Core")</f>
        <v>Aurex Core</v>
      </c>
      <c r="G885" s="106" t="str">
        <f>IFERROR(__xludf.DUMMYFUNCTION("""COMPUTED_VALUE"""),"A4715695")</f>
        <v>A4715695</v>
      </c>
      <c r="H885" s="106" t="str">
        <f>IFERROR(__xludf.DUMMYFUNCTION("""COMPUTED_VALUE"""),"Arrange To Deliver Today /Top Urgent")</f>
        <v>Arrange To Deliver Today /Top Urgent</v>
      </c>
      <c r="I885" s="106" t="str">
        <f>IFERROR(__xludf.DUMMYFUNCTION("""COMPUTED_VALUE"""),"Nittambuwa")</f>
        <v>Nittambuwa</v>
      </c>
      <c r="J885" s="106" t="str">
        <f>IFERROR(__xludf.DUMMYFUNCTION("""COMPUTED_VALUE"""),"Received At Destination")</f>
        <v>Received At Destination</v>
      </c>
      <c r="K885" s="106" t="str">
        <f>IFERROR(__xludf.DUMMYFUNCTION("""COMPUTED_VALUE"""),"Branch Operations")</f>
        <v>Branch Operations</v>
      </c>
      <c r="L885" s="106" t="str">
        <f>IFERROR(__xludf.DUMMYFUNCTION("""COMPUTED_VALUE"""),"Informed Branch")</f>
        <v>Informed Branch</v>
      </c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>
      <c r="A886" s="82"/>
      <c r="B886" s="98" t="str">
        <f>IFERROR(__xludf.DUMMYFUNCTION("""COMPUTED_VALUE"""),"1162")</f>
        <v>1162</v>
      </c>
      <c r="C886" s="98" t="str">
        <f>IFERROR(__xludf.DUMMYFUNCTION("""COMPUTED_VALUE"""),"Jeni")</f>
        <v>Jeni</v>
      </c>
      <c r="D886" s="98" t="str">
        <f>IFERROR(__xludf.DUMMYFUNCTION("""COMPUTED_VALUE"""),"767578324")</f>
        <v>767578324</v>
      </c>
      <c r="E886" s="98" t="str">
        <f>IFERROR(__xludf.DUMMYFUNCTION("""COMPUTED_VALUE"""),"Y")</f>
        <v>Y</v>
      </c>
      <c r="F886" s="108" t="str">
        <f>IFERROR(__xludf.DUMMYFUNCTION("""COMPUTED_VALUE"""),"Shopymore.Lk")</f>
        <v>Shopymore.Lk</v>
      </c>
      <c r="G886" s="98" t="str">
        <f>IFERROR(__xludf.DUMMYFUNCTION("""COMPUTED_VALUE"""),"BE090458")</f>
        <v>BE090458</v>
      </c>
      <c r="H886" s="98" t="str">
        <f>IFERROR(__xludf.DUMMYFUNCTION("""COMPUTED_VALUE"""),"Kalmunai Branch Rm Number")</f>
        <v>Kalmunai Branch Rm Number</v>
      </c>
      <c r="I886" s="98" t="str">
        <f>IFERROR(__xludf.DUMMYFUNCTION("""COMPUTED_VALUE"""),"Embilipitiya")</f>
        <v>Embilipitiya</v>
      </c>
      <c r="J886" s="98" t="str">
        <f>IFERROR(__xludf.DUMMYFUNCTION("""COMPUTED_VALUE"""),"Processing")</f>
        <v>Processing</v>
      </c>
      <c r="K886" s="98" t="str">
        <f>IFERROR(__xludf.DUMMYFUNCTION("""COMPUTED_VALUE"""),"Customer Care")</f>
        <v>Customer Care</v>
      </c>
      <c r="L886" s="98" t="str">
        <f>IFERROR(__xludf.DUMMYFUNCTION("""COMPUTED_VALUE"""),"Return Item")</f>
        <v>Return Item</v>
      </c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>
      <c r="A887" s="82"/>
      <c r="B887" s="106" t="str">
        <f>IFERROR(__xludf.DUMMYFUNCTION("""COMPUTED_VALUE"""),"1163")</f>
        <v>1163</v>
      </c>
      <c r="C887" s="106" t="str">
        <f>IFERROR(__xludf.DUMMYFUNCTION("""COMPUTED_VALUE"""),"Umesha")</f>
        <v>Umesha</v>
      </c>
      <c r="D887" s="106" t="str">
        <f>IFERROR(__xludf.DUMMYFUNCTION("""COMPUTED_VALUE"""),"765792009")</f>
        <v>765792009</v>
      </c>
      <c r="E887" s="106" t="str">
        <f>IFERROR(__xludf.DUMMYFUNCTION("""COMPUTED_VALUE"""),"N")</f>
        <v>N</v>
      </c>
      <c r="F887" s="106" t="str">
        <f>IFERROR(__xludf.DUMMYFUNCTION("""COMPUTED_VALUE"""),"Stylefix")</f>
        <v>Stylefix</v>
      </c>
      <c r="G887" s="106" t="str">
        <f>IFERROR(__xludf.DUMMYFUNCTION("""COMPUTED_VALUE"""),"BA766431")</f>
        <v>BA766431</v>
      </c>
      <c r="H887" s="106" t="str">
        <f>IFERROR(__xludf.DUMMYFUNCTION("""COMPUTED_VALUE"""),"Some Details")</f>
        <v>Some Details</v>
      </c>
      <c r="I887" s="106" t="str">
        <f>IFERROR(__xludf.DUMMYFUNCTION("""COMPUTED_VALUE"""),"Kahatagasdigiliya")</f>
        <v>Kahatagasdigiliya</v>
      </c>
      <c r="J887" s="106" t="str">
        <f>IFERROR(__xludf.DUMMYFUNCTION("""COMPUTED_VALUE"""),"Delivered")</f>
        <v>Delivered</v>
      </c>
      <c r="K887" s="106" t="str">
        <f>IFERROR(__xludf.DUMMYFUNCTION("""COMPUTED_VALUE"""),"Customer Care")</f>
        <v>Customer Care</v>
      </c>
      <c r="L887" s="106" t="str">
        <f>IFERROR(__xludf.DUMMYFUNCTION("""COMPUTED_VALUE"""),"Informed Branch")</f>
        <v>Informed Branch</v>
      </c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>
      <c r="A888" s="82"/>
      <c r="B888" s="98" t="str">
        <f>IFERROR(__xludf.DUMMYFUNCTION("""COMPUTED_VALUE"""),"1164")</f>
        <v>1164</v>
      </c>
      <c r="C888" s="98" t="str">
        <f>IFERROR(__xludf.DUMMYFUNCTION("""COMPUTED_VALUE"""),"Malik")</f>
        <v>Malik</v>
      </c>
      <c r="D888" s="98" t="str">
        <f>IFERROR(__xludf.DUMMYFUNCTION("""COMPUTED_VALUE"""),"730389354")</f>
        <v>730389354</v>
      </c>
      <c r="E888" s="98" t="str">
        <f>IFERROR(__xludf.DUMMYFUNCTION("""COMPUTED_VALUE"""),"Y")</f>
        <v>Y</v>
      </c>
      <c r="F888" s="98" t="str">
        <f>IFERROR(__xludf.DUMMYFUNCTION("""COMPUTED_VALUE"""),"Mahaovita Hela Osu")</f>
        <v>Mahaovita Hela Osu</v>
      </c>
      <c r="G888" s="98" t="str">
        <f>IFERROR(__xludf.DUMMYFUNCTION("""COMPUTED_VALUE"""),"A4157598")</f>
        <v>A4157598</v>
      </c>
      <c r="H888" s="98" t="str">
        <f>IFERROR(__xludf.DUMMYFUNCTION("""COMPUTED_VALUE"""),"Arrange To Deliver Today")</f>
        <v>Arrange To Deliver Today</v>
      </c>
      <c r="I888" s="98" t="str">
        <f>IFERROR(__xludf.DUMMYFUNCTION("""COMPUTED_VALUE"""),"Colombo Metro")</f>
        <v>Colombo Metro</v>
      </c>
      <c r="J888" s="98" t="str">
        <f>IFERROR(__xludf.DUMMYFUNCTION("""COMPUTED_VALUE"""),"Delivered")</f>
        <v>Delivered</v>
      </c>
      <c r="K888" s="98" t="str">
        <f>IFERROR(__xludf.DUMMYFUNCTION("""COMPUTED_VALUE"""),"Domestic")</f>
        <v>Domestic</v>
      </c>
      <c r="L888" s="98" t="str">
        <f>IFERROR(__xludf.DUMMYFUNCTION("""COMPUTED_VALUE"""),"Disconnect")</f>
        <v>Disconnect</v>
      </c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>
      <c r="A889" s="82"/>
      <c r="B889" s="106" t="str">
        <f>IFERROR(__xludf.DUMMYFUNCTION("""COMPUTED_VALUE"""),"1165")</f>
        <v>1165</v>
      </c>
      <c r="C889" s="106" t="str">
        <f>IFERROR(__xludf.DUMMYFUNCTION("""COMPUTED_VALUE"""),"Lakshani")</f>
        <v>Lakshani</v>
      </c>
      <c r="D889" s="106" t="str">
        <f>IFERROR(__xludf.DUMMYFUNCTION("""COMPUTED_VALUE"""),"779499619")</f>
        <v>779499619</v>
      </c>
      <c r="E889" s="106" t="str">
        <f>IFERROR(__xludf.DUMMYFUNCTION("""COMPUTED_VALUE"""),"Y")</f>
        <v>Y</v>
      </c>
      <c r="F889" s="107" t="str">
        <f>IFERROR(__xludf.DUMMYFUNCTION("""COMPUTED_VALUE"""),"Netwave.Lk")</f>
        <v>Netwave.Lk</v>
      </c>
      <c r="G889" s="106" t="str">
        <f>IFERROR(__xludf.DUMMYFUNCTION("""COMPUTED_VALUE"""),"BE112942")</f>
        <v>BE112942</v>
      </c>
      <c r="H889" s="106" t="str">
        <f>IFERROR(__xludf.DUMMYFUNCTION("""COMPUTED_VALUE"""),"Answerd &amp; Cut The Line")</f>
        <v>Answerd &amp; Cut The Line</v>
      </c>
      <c r="I889" s="106" t="str">
        <f>IFERROR(__xludf.DUMMYFUNCTION("""COMPUTED_VALUE"""),"Ratmalana")</f>
        <v>Ratmalana</v>
      </c>
      <c r="J889" s="106" t="str">
        <f>IFERROR(__xludf.DUMMYFUNCTION("""COMPUTED_VALUE"""),"Returned To Client")</f>
        <v>Returned To Client</v>
      </c>
      <c r="K889" s="106" t="str">
        <f>IFERROR(__xludf.DUMMYFUNCTION("""COMPUTED_VALUE"""),"Branch Operations")</f>
        <v>Branch Operations</v>
      </c>
      <c r="L889" s="106" t="str">
        <f>IFERROR(__xludf.DUMMYFUNCTION("""COMPUTED_VALUE"""),"Informed Branch")</f>
        <v>Informed Branch</v>
      </c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>
      <c r="A890" s="82"/>
      <c r="B890" s="98" t="str">
        <f>IFERROR(__xludf.DUMMYFUNCTION("""COMPUTED_VALUE"""),"1166")</f>
        <v>1166</v>
      </c>
      <c r="C890" s="98" t="str">
        <f>IFERROR(__xludf.DUMMYFUNCTION("""COMPUTED_VALUE"""),"Jeni")</f>
        <v>Jeni</v>
      </c>
      <c r="D890" s="98" t="str">
        <f>IFERROR(__xludf.DUMMYFUNCTION("""COMPUTED_VALUE"""),"714235224")</f>
        <v>714235224</v>
      </c>
      <c r="E890" s="98" t="str">
        <f>IFERROR(__xludf.DUMMYFUNCTION("""COMPUTED_VALUE"""),"N")</f>
        <v>N</v>
      </c>
      <c r="F890" s="98" t="str">
        <f>IFERROR(__xludf.DUMMYFUNCTION("""COMPUTED_VALUE"""),"Thiyora Boutique")</f>
        <v>Thiyora Boutique</v>
      </c>
      <c r="G890" s="98" t="str">
        <f>IFERROR(__xludf.DUMMYFUNCTION("""COMPUTED_VALUE"""),"BA778333")</f>
        <v>BA778333</v>
      </c>
      <c r="H890" s="98" t="str">
        <f>IFERROR(__xludf.DUMMYFUNCTION("""COMPUTED_VALUE"""),"Payment Issue")</f>
        <v>Payment Issue</v>
      </c>
      <c r="I890" s="98" t="str">
        <f>IFERROR(__xludf.DUMMYFUNCTION("""COMPUTED_VALUE"""),"Thalawathugoda")</f>
        <v>Thalawathugoda</v>
      </c>
      <c r="J890" s="98" t="str">
        <f>IFERROR(__xludf.DUMMYFUNCTION("""COMPUTED_VALUE"""),"Out For Delivery")</f>
        <v>Out For Delivery</v>
      </c>
      <c r="K890" s="98" t="str">
        <f>IFERROR(__xludf.DUMMYFUNCTION("""COMPUTED_VALUE"""),"Customer Care")</f>
        <v>Customer Care</v>
      </c>
      <c r="L890" s="98" t="str">
        <f>IFERROR(__xludf.DUMMYFUNCTION("""COMPUTED_VALUE"""),"Still Not Received Branch")</f>
        <v>Still Not Received Branch</v>
      </c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>
      <c r="A891" s="82"/>
      <c r="B891" s="106" t="str">
        <f>IFERROR(__xludf.DUMMYFUNCTION("""COMPUTED_VALUE"""),"1167")</f>
        <v>1167</v>
      </c>
      <c r="C891" s="106" t="str">
        <f>IFERROR(__xludf.DUMMYFUNCTION("""COMPUTED_VALUE"""),"Malik")</f>
        <v>Malik</v>
      </c>
      <c r="D891" s="106" t="str">
        <f>IFERROR(__xludf.DUMMYFUNCTION("""COMPUTED_VALUE"""),"770369310")</f>
        <v>770369310</v>
      </c>
      <c r="E891" s="106" t="str">
        <f>IFERROR(__xludf.DUMMYFUNCTION("""COMPUTED_VALUE"""),"Y")</f>
        <v>Y</v>
      </c>
      <c r="F891" s="106" t="str">
        <f>IFERROR(__xludf.DUMMYFUNCTION("""COMPUTED_VALUE"""),"Sahasra Team")</f>
        <v>Sahasra Team</v>
      </c>
      <c r="G891" s="106" t="str">
        <f>IFERROR(__xludf.DUMMYFUNCTION("""COMPUTED_VALUE"""),"A4470093")</f>
        <v>A4470093</v>
      </c>
      <c r="H891" s="106" t="str">
        <f>IFERROR(__xludf.DUMMYFUNCTION("""COMPUTED_VALUE"""),"Way Bill Not To The System")</f>
        <v>Way Bill Not To The System</v>
      </c>
      <c r="I891" s="106" t="str">
        <f>IFERROR(__xludf.DUMMYFUNCTION("""COMPUTED_VALUE"""),"Rajagiriya")</f>
        <v>Rajagiriya</v>
      </c>
      <c r="J891" s="106" t="str">
        <f>IFERROR(__xludf.DUMMYFUNCTION("""COMPUTED_VALUE"""),"Returned To Branch Rescheduled")</f>
        <v>Returned To Branch Rescheduled</v>
      </c>
      <c r="K891" s="106" t="str">
        <f>IFERROR(__xludf.DUMMYFUNCTION("""COMPUTED_VALUE"""),"Customer Care")</f>
        <v>Customer Care</v>
      </c>
      <c r="L891" s="106" t="str">
        <f>IFERROR(__xludf.DUMMYFUNCTION("""COMPUTED_VALUE"""),"Informed Branch")</f>
        <v>Informed Branch</v>
      </c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>
      <c r="A892" s="82"/>
      <c r="B892" s="98" t="str">
        <f>IFERROR(__xludf.DUMMYFUNCTION("""COMPUTED_VALUE"""),"1168")</f>
        <v>1168</v>
      </c>
      <c r="C892" s="98" t="str">
        <f>IFERROR(__xludf.DUMMYFUNCTION("""COMPUTED_VALUE"""),"Jeni")</f>
        <v>Jeni</v>
      </c>
      <c r="D892" s="98" t="str">
        <f>IFERROR(__xludf.DUMMYFUNCTION("""COMPUTED_VALUE"""),"777949984")</f>
        <v>777949984</v>
      </c>
      <c r="E892" s="98" t="str">
        <f>IFERROR(__xludf.DUMMYFUNCTION("""COMPUTED_VALUE"""),"Y")</f>
        <v>Y</v>
      </c>
      <c r="F892" s="98" t="str">
        <f>IFERROR(__xludf.DUMMYFUNCTION("""COMPUTED_VALUE"""),"Golden House")</f>
        <v>Golden House</v>
      </c>
      <c r="G892" s="98" t="str">
        <f>IFERROR(__xludf.DUMMYFUNCTION("""COMPUTED_VALUE"""),"A4086806")</f>
        <v>A4086806</v>
      </c>
      <c r="H892" s="98" t="str">
        <f>IFERROR(__xludf.DUMMYFUNCTION("""COMPUTED_VALUE"""),"Gampola Branch No")</f>
        <v>Gampola Branch No</v>
      </c>
      <c r="I892" s="98" t="str">
        <f>IFERROR(__xludf.DUMMYFUNCTION("""COMPUTED_VALUE"""),"Pilimathlawa")</f>
        <v>Pilimathlawa</v>
      </c>
      <c r="J892" s="98" t="str">
        <f>IFERROR(__xludf.DUMMYFUNCTION("""COMPUTED_VALUE"""),"Dispatched To Destination")</f>
        <v>Dispatched To Destination</v>
      </c>
      <c r="K892" s="98" t="str">
        <f>IFERROR(__xludf.DUMMYFUNCTION("""COMPUTED_VALUE"""),"Branch Operations")</f>
        <v>Branch Operations</v>
      </c>
      <c r="L892" s="98" t="str">
        <f>IFERROR(__xludf.DUMMYFUNCTION("""COMPUTED_VALUE"""),"Done")</f>
        <v>Done</v>
      </c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>
      <c r="A893" s="82"/>
      <c r="B893" s="106" t="str">
        <f>IFERROR(__xludf.DUMMYFUNCTION("""COMPUTED_VALUE"""),"1169")</f>
        <v>1169</v>
      </c>
      <c r="C893" s="106" t="str">
        <f>IFERROR(__xludf.DUMMYFUNCTION("""COMPUTED_VALUE"""),"Umesha")</f>
        <v>Umesha</v>
      </c>
      <c r="D893" s="106" t="str">
        <f>IFERROR(__xludf.DUMMYFUNCTION("""COMPUTED_VALUE"""),"777557368")</f>
        <v>777557368</v>
      </c>
      <c r="E893" s="106" t="str">
        <f>IFERROR(__xludf.DUMMYFUNCTION("""COMPUTED_VALUE"""),"N")</f>
        <v>N</v>
      </c>
      <c r="F893" s="106" t="str">
        <f>IFERROR(__xludf.DUMMYFUNCTION("""COMPUTED_VALUE"""),"Sasindu Aqua Farm")</f>
        <v>Sasindu Aqua Farm</v>
      </c>
      <c r="G893" s="106" t="str">
        <f>IFERROR(__xludf.DUMMYFUNCTION("""COMPUTED_VALUE"""),"BE083483")</f>
        <v>BE083483</v>
      </c>
      <c r="H893" s="106" t="str">
        <f>IFERROR(__xludf.DUMMYFUNCTION("""COMPUTED_VALUE"""),"0702412739 - Re Delivery - 7/1")</f>
        <v>0702412739 - Re Delivery - 7/1</v>
      </c>
      <c r="I893" s="106" t="str">
        <f>IFERROR(__xludf.DUMMYFUNCTION("""COMPUTED_VALUE"""),"Ambalangoda")</f>
        <v>Ambalangoda</v>
      </c>
      <c r="J893" s="106" t="str">
        <f>IFERROR(__xludf.DUMMYFUNCTION("""COMPUTED_VALUE"""),"Returned To Branch Rescheduled")</f>
        <v>Returned To Branch Rescheduled</v>
      </c>
      <c r="K893" s="106" t="str">
        <f>IFERROR(__xludf.DUMMYFUNCTION("""COMPUTED_VALUE"""),"Branch Operations")</f>
        <v>Branch Operations</v>
      </c>
      <c r="L893" s="106" t="str">
        <f>IFERROR(__xludf.DUMMYFUNCTION("""COMPUTED_VALUE"""),"Informed Branch Number Via A Whatsapp")</f>
        <v>Informed Branch Number Via A Whatsapp</v>
      </c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>
      <c r="A894" s="82"/>
      <c r="B894" s="98" t="str">
        <f>IFERROR(__xludf.DUMMYFUNCTION("""COMPUTED_VALUE"""),"1170")</f>
        <v>1170</v>
      </c>
      <c r="C894" s="98" t="str">
        <f>IFERROR(__xludf.DUMMYFUNCTION("""COMPUTED_VALUE"""),"Umesha")</f>
        <v>Umesha</v>
      </c>
      <c r="D894" s="98" t="str">
        <f>IFERROR(__xludf.DUMMYFUNCTION("""COMPUTED_VALUE"""),"772735540")</f>
        <v>772735540</v>
      </c>
      <c r="E894" s="98" t="str">
        <f>IFERROR(__xludf.DUMMYFUNCTION("""COMPUTED_VALUE"""),"N")</f>
        <v>N</v>
      </c>
      <c r="F894" s="98" t="str">
        <f>IFERROR(__xludf.DUMMYFUNCTION("""COMPUTED_VALUE"""),"Dd Holding")</f>
        <v>Dd Holding</v>
      </c>
      <c r="G894" s="98" t="str">
        <f>IFERROR(__xludf.DUMMYFUNCTION("""COMPUTED_VALUE"""),"BA770261")</f>
        <v>BA770261</v>
      </c>
      <c r="H894" s="98" t="str">
        <f>IFERROR(__xludf.DUMMYFUNCTION("""COMPUTED_VALUE"""),"No Proper Details")</f>
        <v>No Proper Details</v>
      </c>
      <c r="I894" s="98" t="str">
        <f>IFERROR(__xludf.DUMMYFUNCTION("""COMPUTED_VALUE"""),"Kurunegala")</f>
        <v>Kurunegala</v>
      </c>
      <c r="J894" s="98" t="str">
        <f>IFERROR(__xludf.DUMMYFUNCTION("""COMPUTED_VALUE"""),"Out For Delivery")</f>
        <v>Out For Delivery</v>
      </c>
      <c r="K894" s="98" t="str">
        <f>IFERROR(__xludf.DUMMYFUNCTION("""COMPUTED_VALUE"""),"Customer Care")</f>
        <v>Customer Care</v>
      </c>
      <c r="L894" s="98" t="str">
        <f>IFERROR(__xludf.DUMMYFUNCTION("""COMPUTED_VALUE"""),"Given Details")</f>
        <v>Given Details</v>
      </c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>
      <c r="A895" s="82"/>
      <c r="B895" s="106" t="str">
        <f>IFERROR(__xludf.DUMMYFUNCTION("""COMPUTED_VALUE"""),"1171")</f>
        <v>1171</v>
      </c>
      <c r="C895" s="106" t="str">
        <f>IFERROR(__xludf.DUMMYFUNCTION("""COMPUTED_VALUE"""),"Malik")</f>
        <v>Malik</v>
      </c>
      <c r="D895" s="106" t="str">
        <f>IFERROR(__xludf.DUMMYFUNCTION("""COMPUTED_VALUE"""),"770063998")</f>
        <v>770063998</v>
      </c>
      <c r="E895" s="106" t="str">
        <f>IFERROR(__xludf.DUMMYFUNCTION("""COMPUTED_VALUE"""),"Y")</f>
        <v>Y</v>
      </c>
      <c r="F895" s="106" t="str">
        <f>IFERROR(__xludf.DUMMYFUNCTION("""COMPUTED_VALUE"""),"Easytech Solutions")</f>
        <v>Easytech Solutions</v>
      </c>
      <c r="G895" s="106" t="str">
        <f>IFERROR(__xludf.DUMMYFUNCTION("""COMPUTED_VALUE"""),"A3698571")</f>
        <v>A3698571</v>
      </c>
      <c r="H895" s="106" t="str">
        <f>IFERROR(__xludf.DUMMYFUNCTION("""COMPUTED_VALUE"""),"Req Tamil Agent")</f>
        <v>Req Tamil Agent</v>
      </c>
      <c r="I895" s="106" t="str">
        <f>IFERROR(__xludf.DUMMYFUNCTION("""COMPUTED_VALUE"""),"Ratmalana")</f>
        <v>Ratmalana</v>
      </c>
      <c r="J895" s="106" t="str">
        <f>IFERROR(__xludf.DUMMYFUNCTION("""COMPUTED_VALUE"""),"Received At Destination")</f>
        <v>Received At Destination</v>
      </c>
      <c r="K895" s="106" t="str">
        <f>IFERROR(__xludf.DUMMYFUNCTION("""COMPUTED_VALUE"""),"Branch Operations")</f>
        <v>Branch Operations</v>
      </c>
      <c r="L895" s="106" t="str">
        <f>IFERROR(__xludf.DUMMYFUNCTION("""COMPUTED_VALUE"""),"Informed Cline")</f>
        <v>Informed Cline</v>
      </c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>
      <c r="A896" s="82"/>
      <c r="B896" s="98" t="str">
        <f>IFERROR(__xludf.DUMMYFUNCTION("""COMPUTED_VALUE"""),"1172")</f>
        <v>1172</v>
      </c>
      <c r="C896" s="98" t="str">
        <f>IFERROR(__xludf.DUMMYFUNCTION("""COMPUTED_VALUE"""),"Mandari")</f>
        <v>Mandari</v>
      </c>
      <c r="D896" s="98" t="str">
        <f>IFERROR(__xludf.DUMMYFUNCTION("""COMPUTED_VALUE"""),"740541293")</f>
        <v>740541293</v>
      </c>
      <c r="E896" s="98" t="str">
        <f>IFERROR(__xludf.DUMMYFUNCTION("""COMPUTED_VALUE"""),"Y")</f>
        <v>Y</v>
      </c>
      <c r="F896" s="98" t="str">
        <f>IFERROR(__xludf.DUMMYFUNCTION("""COMPUTED_VALUE"""),"Sahasra Team")</f>
        <v>Sahasra Team</v>
      </c>
      <c r="G896" s="98" t="str">
        <f>IFERROR(__xludf.DUMMYFUNCTION("""COMPUTED_VALUE"""),"BA783928")</f>
        <v>BA783928</v>
      </c>
      <c r="H896" s="98" t="str">
        <f>IFERROR(__xludf.DUMMYFUNCTION("""COMPUTED_VALUE"""),"Customer Want Return This Package")</f>
        <v>Customer Want Return This Package</v>
      </c>
      <c r="I896" s="98" t="str">
        <f>IFERROR(__xludf.DUMMYFUNCTION("""COMPUTED_VALUE"""),"Matale")</f>
        <v>Matale</v>
      </c>
      <c r="J896" s="98" t="str">
        <f>IFERROR(__xludf.DUMMYFUNCTION("""COMPUTED_VALUE"""),"Returned To Branch Rescheduled")</f>
        <v>Returned To Branch Rescheduled</v>
      </c>
      <c r="K896" s="98" t="str">
        <f>IFERROR(__xludf.DUMMYFUNCTION("""COMPUTED_VALUE"""),"Customer Care")</f>
        <v>Customer Care</v>
      </c>
      <c r="L896" s="98" t="str">
        <f>IFERROR(__xludf.DUMMYFUNCTION("""COMPUTED_VALUE"""),"Informed Domestic Sayni")</f>
        <v>Informed Domestic Sayni</v>
      </c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>
      <c r="A897" s="82"/>
      <c r="B897" s="106" t="str">
        <f>IFERROR(__xludf.DUMMYFUNCTION("""COMPUTED_VALUE"""),"1173")</f>
        <v>1173</v>
      </c>
      <c r="C897" s="106" t="str">
        <f>IFERROR(__xludf.DUMMYFUNCTION("""COMPUTED_VALUE"""),"Lakshani")</f>
        <v>Lakshani</v>
      </c>
      <c r="D897" s="106" t="str">
        <f>IFERROR(__xludf.DUMMYFUNCTION("""COMPUTED_VALUE"""),"764181863")</f>
        <v>764181863</v>
      </c>
      <c r="E897" s="106" t="str">
        <f>IFERROR(__xludf.DUMMYFUNCTION("""COMPUTED_VALUE"""),"N")</f>
        <v>N</v>
      </c>
      <c r="F897" s="106" t="str">
        <f>IFERROR(__xludf.DUMMYFUNCTION("""COMPUTED_VALUE"""),"Mangala Holdings")</f>
        <v>Mangala Holdings</v>
      </c>
      <c r="G897" s="106" t="str">
        <f>IFERROR(__xludf.DUMMYFUNCTION("""COMPUTED_VALUE"""),"BA760477")</f>
        <v>BA760477</v>
      </c>
      <c r="H897" s="106" t="str">
        <f>IFERROR(__xludf.DUMMYFUNCTION("""COMPUTED_VALUE"""),"Arrange To Deliver Today / Top Urgant")</f>
        <v>Arrange To Deliver Today / Top Urgant</v>
      </c>
      <c r="I897" s="106" t="str">
        <f>IFERROR(__xludf.DUMMYFUNCTION("""COMPUTED_VALUE"""),"Kurunegala")</f>
        <v>Kurunegala</v>
      </c>
      <c r="J897" s="106" t="str">
        <f>IFERROR(__xludf.DUMMYFUNCTION("""COMPUTED_VALUE"""),"Delivered")</f>
        <v>Delivered</v>
      </c>
      <c r="K897" s="106" t="str">
        <f>IFERROR(__xludf.DUMMYFUNCTION("""COMPUTED_VALUE"""),"Customer Care")</f>
        <v>Customer Care</v>
      </c>
      <c r="L897" s="106" t="str">
        <f>IFERROR(__xludf.DUMMYFUNCTION("""COMPUTED_VALUE"""),"Informed Branch")</f>
        <v>Informed Branch</v>
      </c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>
      <c r="A898" s="82"/>
      <c r="B898" s="98" t="str">
        <f>IFERROR(__xludf.DUMMYFUNCTION("""COMPUTED_VALUE"""),"1174")</f>
        <v>1174</v>
      </c>
      <c r="C898" s="98" t="str">
        <f>IFERROR(__xludf.DUMMYFUNCTION("""COMPUTED_VALUE"""),"Jeni")</f>
        <v>Jeni</v>
      </c>
      <c r="D898" s="98" t="str">
        <f>IFERROR(__xludf.DUMMYFUNCTION("""COMPUTED_VALUE"""),"765462824")</f>
        <v>765462824</v>
      </c>
      <c r="E898" s="98" t="str">
        <f>IFERROR(__xludf.DUMMYFUNCTION("""COMPUTED_VALUE"""),"N")</f>
        <v>N</v>
      </c>
      <c r="F898" s="98" t="str">
        <f>IFERROR(__xludf.DUMMYFUNCTION("""COMPUTED_VALUE"""),"Alpha.Com(Pvt)Ltd")</f>
        <v>Alpha.Com(Pvt)Ltd</v>
      </c>
      <c r="G898" s="98" t="str">
        <f>IFERROR(__xludf.DUMMYFUNCTION("""COMPUTED_VALUE"""),"A4157598")</f>
        <v>A4157598</v>
      </c>
      <c r="H898" s="98" t="str">
        <f>IFERROR(__xludf.DUMMYFUNCTION("""COMPUTED_VALUE"""),"Tamil")</f>
        <v>Tamil</v>
      </c>
      <c r="I898" s="98" t="str">
        <f>IFERROR(__xludf.DUMMYFUNCTION("""COMPUTED_VALUE"""),"Wennappuwa")</f>
        <v>Wennappuwa</v>
      </c>
      <c r="J898" s="98" t="str">
        <f>IFERROR(__xludf.DUMMYFUNCTION("""COMPUTED_VALUE"""),"Returned To Branch Failed To Deliver")</f>
        <v>Returned To Branch Failed To Deliver</v>
      </c>
      <c r="K898" s="98" t="str">
        <f>IFERROR(__xludf.DUMMYFUNCTION("""COMPUTED_VALUE"""),"Branch Operations")</f>
        <v>Branch Operations</v>
      </c>
      <c r="L898" s="98" t="str">
        <f>IFERROR(__xludf.DUMMYFUNCTION("""COMPUTED_VALUE"""),"Still Not Received Branch")</f>
        <v>Still Not Received Branch</v>
      </c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>
      <c r="A899" s="82"/>
      <c r="B899" s="106" t="str">
        <f>IFERROR(__xludf.DUMMYFUNCTION("""COMPUTED_VALUE"""),"1175")</f>
        <v>1175</v>
      </c>
      <c r="C899" s="106" t="str">
        <f>IFERROR(__xludf.DUMMYFUNCTION("""COMPUTED_VALUE"""),"Jeni")</f>
        <v>Jeni</v>
      </c>
      <c r="D899" s="106" t="str">
        <f>IFERROR(__xludf.DUMMYFUNCTION("""COMPUTED_VALUE"""),"705248186")</f>
        <v>705248186</v>
      </c>
      <c r="E899" s="106" t="str">
        <f>IFERROR(__xludf.DUMMYFUNCTION("""COMPUTED_VALUE"""),"Y")</f>
        <v>Y</v>
      </c>
      <c r="F899" s="106" t="str">
        <f>IFERROR(__xludf.DUMMYFUNCTION("""COMPUTED_VALUE"""),"Camera Lanka.Lk")</f>
        <v>Camera Lanka.Lk</v>
      </c>
      <c r="G899" s="106" t="str">
        <f>IFERROR(__xludf.DUMMYFUNCTION("""COMPUTED_VALUE"""),"A4601910")</f>
        <v>A4601910</v>
      </c>
      <c r="H899" s="106" t="str">
        <f>IFERROR(__xludf.DUMMYFUNCTION("""COMPUTED_VALUE"""),"Re Deliver")</f>
        <v>Re Deliver</v>
      </c>
      <c r="I899" s="106" t="str">
        <f>IFERROR(__xludf.DUMMYFUNCTION("""COMPUTED_VALUE"""),"Colombo Metro")</f>
        <v>Colombo Metro</v>
      </c>
      <c r="J899" s="106" t="str">
        <f>IFERROR(__xludf.DUMMYFUNCTION("""COMPUTED_VALUE"""),"Returned To Branch Rescheduled")</f>
        <v>Returned To Branch Rescheduled</v>
      </c>
      <c r="K899" s="106" t="str">
        <f>IFERROR(__xludf.DUMMYFUNCTION("""COMPUTED_VALUE"""),"Branch Operations")</f>
        <v>Branch Operations</v>
      </c>
      <c r="L899" s="106" t="str">
        <f>IFERROR(__xludf.DUMMYFUNCTION("""COMPUTED_VALUE"""),"Already Return Item")</f>
        <v>Already Return Item</v>
      </c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>
      <c r="A900" s="82"/>
      <c r="B900" s="98" t="str">
        <f>IFERROR(__xludf.DUMMYFUNCTION("""COMPUTED_VALUE"""),"1176")</f>
        <v>1176</v>
      </c>
      <c r="C900" s="98" t="str">
        <f>IFERROR(__xludf.DUMMYFUNCTION("""COMPUTED_VALUE"""),"Malik")</f>
        <v>Malik</v>
      </c>
      <c r="D900" s="98" t="str">
        <f>IFERROR(__xludf.DUMMYFUNCTION("""COMPUTED_VALUE"""),"711718921")</f>
        <v>711718921</v>
      </c>
      <c r="E900" s="98" t="str">
        <f>IFERROR(__xludf.DUMMYFUNCTION("""COMPUTED_VALUE"""),"Y")</f>
        <v>Y</v>
      </c>
      <c r="F900" s="98" t="str">
        <f>IFERROR(__xludf.DUMMYFUNCTION("""COMPUTED_VALUE"""),"Lakshini Dilrukshi")</f>
        <v>Lakshini Dilrukshi</v>
      </c>
      <c r="G900" s="98" t="str">
        <f>IFERROR(__xludf.DUMMYFUNCTION("""COMPUTED_VALUE"""),"A3536683")</f>
        <v>A3536683</v>
      </c>
      <c r="H900" s="98" t="str">
        <f>IFERROR(__xludf.DUMMYFUNCTION("""COMPUTED_VALUE"""),"Customer Req Open The Package")</f>
        <v>Customer Req Open The Package</v>
      </c>
      <c r="I900" s="98" t="str">
        <f>IFERROR(__xludf.DUMMYFUNCTION("""COMPUTED_VALUE"""),"Thalawathugoda")</f>
        <v>Thalawathugoda</v>
      </c>
      <c r="J900" s="98" t="str">
        <f>IFERROR(__xludf.DUMMYFUNCTION("""COMPUTED_VALUE"""),"Returned To Branch Failed To Deliver")</f>
        <v>Returned To Branch Failed To Deliver</v>
      </c>
      <c r="K900" s="98" t="str">
        <f>IFERROR(__xludf.DUMMYFUNCTION("""COMPUTED_VALUE"""),"Customer Care")</f>
        <v>Customer Care</v>
      </c>
      <c r="L900" s="98" t="str">
        <f>IFERROR(__xludf.DUMMYFUNCTION("""COMPUTED_VALUE"""),"Given Details")</f>
        <v>Given Details</v>
      </c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>
      <c r="A901" s="82"/>
      <c r="B901" s="106" t="str">
        <f>IFERROR(__xludf.DUMMYFUNCTION("""COMPUTED_VALUE"""),"1177")</f>
        <v>1177</v>
      </c>
      <c r="C901" s="106" t="str">
        <f>IFERROR(__xludf.DUMMYFUNCTION("""COMPUTED_VALUE"""),"Mandari")</f>
        <v>Mandari</v>
      </c>
      <c r="D901" s="106" t="str">
        <f>IFERROR(__xludf.DUMMYFUNCTION("""COMPUTED_VALUE"""),"740350585")</f>
        <v>740350585</v>
      </c>
      <c r="E901" s="106" t="str">
        <f>IFERROR(__xludf.DUMMYFUNCTION("""COMPUTED_VALUE"""),"N")</f>
        <v>N</v>
      </c>
      <c r="F901" s="106" t="str">
        <f>IFERROR(__xludf.DUMMYFUNCTION("""COMPUTED_VALUE"""),"Ceylon Store")</f>
        <v>Ceylon Store</v>
      </c>
      <c r="G901" s="106" t="str">
        <f>IFERROR(__xludf.DUMMYFUNCTION("""COMPUTED_VALUE"""),"A4309144")</f>
        <v>A4309144</v>
      </c>
      <c r="H901" s="106" t="str">
        <f>IFERROR(__xludf.DUMMYFUNCTION("""COMPUTED_VALUE"""),"New Register")</f>
        <v>New Register</v>
      </c>
      <c r="I901" s="106" t="str">
        <f>IFERROR(__xludf.DUMMYFUNCTION("""COMPUTED_VALUE"""),"Colombo Metro")</f>
        <v>Colombo Metro</v>
      </c>
      <c r="J901" s="106" t="str">
        <f>IFERROR(__xludf.DUMMYFUNCTION("""COMPUTED_VALUE"""),"Dispatched To Destination")</f>
        <v>Dispatched To Destination</v>
      </c>
      <c r="K901" s="106" t="str">
        <f>IFERROR(__xludf.DUMMYFUNCTION("""COMPUTED_VALUE"""),"Customer Care")</f>
        <v>Customer Care</v>
      </c>
      <c r="L901" s="106" t="str">
        <f>IFERROR(__xludf.DUMMYFUNCTION("""COMPUTED_VALUE"""),"Given Details")</f>
        <v>Given Details</v>
      </c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>
      <c r="A902" s="82"/>
      <c r="B902" s="98" t="str">
        <f>IFERROR(__xludf.DUMMYFUNCTION("""COMPUTED_VALUE"""),"1178")</f>
        <v>1178</v>
      </c>
      <c r="C902" s="98" t="str">
        <f>IFERROR(__xludf.DUMMYFUNCTION("""COMPUTED_VALUE"""),"Mandari")</f>
        <v>Mandari</v>
      </c>
      <c r="D902" s="98" t="str">
        <f>IFERROR(__xludf.DUMMYFUNCTION("""COMPUTED_VALUE"""),"771106087")</f>
        <v>771106087</v>
      </c>
      <c r="E902" s="98" t="str">
        <f>IFERROR(__xludf.DUMMYFUNCTION("""COMPUTED_VALUE"""),"Y")</f>
        <v>Y</v>
      </c>
      <c r="F902" s="98" t="str">
        <f>IFERROR(__xludf.DUMMYFUNCTION("""COMPUTED_VALUE"""),"Elenorabyro")</f>
        <v>Elenorabyro</v>
      </c>
      <c r="G902" s="98" t="str">
        <f>IFERROR(__xludf.DUMMYFUNCTION("""COMPUTED_VALUE"""),"A4702183")</f>
        <v>A4702183</v>
      </c>
      <c r="H902" s="98" t="str">
        <f>IFERROR(__xludf.DUMMYFUNCTION("""COMPUTED_VALUE"""),"Re Deliver")</f>
        <v>Re Deliver</v>
      </c>
      <c r="I902" s="98" t="str">
        <f>IFERROR(__xludf.DUMMYFUNCTION("""COMPUTED_VALUE"""),"Colombo Metro")</f>
        <v>Colombo Metro</v>
      </c>
      <c r="J902" s="98" t="str">
        <f>IFERROR(__xludf.DUMMYFUNCTION("""COMPUTED_VALUE"""),"Received At Destination")</f>
        <v>Received At Destination</v>
      </c>
      <c r="K902" s="98" t="str">
        <f>IFERROR(__xludf.DUMMYFUNCTION("""COMPUTED_VALUE"""),"Customer Care")</f>
        <v>Customer Care</v>
      </c>
      <c r="L902" s="98" t="str">
        <f>IFERROR(__xludf.DUMMYFUNCTION("""COMPUTED_VALUE"""),"Informed Genzo Nethmi")</f>
        <v>Informed Genzo Nethmi</v>
      </c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>
      <c r="A903" s="82"/>
      <c r="B903" s="106" t="str">
        <f>IFERROR(__xludf.DUMMYFUNCTION("""COMPUTED_VALUE"""),"1179")</f>
        <v>1179</v>
      </c>
      <c r="C903" s="106" t="str">
        <f>IFERROR(__xludf.DUMMYFUNCTION("""COMPUTED_VALUE"""),"Malik")</f>
        <v>Malik</v>
      </c>
      <c r="D903" s="106" t="str">
        <f>IFERROR(__xludf.DUMMYFUNCTION("""COMPUTED_VALUE"""),"793574279")</f>
        <v>793574279</v>
      </c>
      <c r="E903" s="106" t="str">
        <f>IFERROR(__xludf.DUMMYFUNCTION("""COMPUTED_VALUE"""),"N")</f>
        <v>N</v>
      </c>
      <c r="F903" s="106" t="str">
        <f>IFERROR(__xludf.DUMMYFUNCTION("""COMPUTED_VALUE"""),"Happyfly")</f>
        <v>Happyfly</v>
      </c>
      <c r="G903" s="106" t="str">
        <f>IFERROR(__xludf.DUMMYFUNCTION("""COMPUTED_VALUE"""),"BE070737")</f>
        <v>BE070737</v>
      </c>
      <c r="H903" s="106" t="str">
        <f>IFERROR(__xludf.DUMMYFUNCTION("""COMPUTED_VALUE"""),"Customer Want Return This Order")</f>
        <v>Customer Want Return This Order</v>
      </c>
      <c r="I903" s="106" t="str">
        <f>IFERROR(__xludf.DUMMYFUNCTION("""COMPUTED_VALUE"""),"Rajagiriya")</f>
        <v>Rajagiriya</v>
      </c>
      <c r="J903" s="106" t="str">
        <f>IFERROR(__xludf.DUMMYFUNCTION("""COMPUTED_VALUE"""),"Delivered")</f>
        <v>Delivered</v>
      </c>
      <c r="K903" s="106" t="str">
        <f>IFERROR(__xludf.DUMMYFUNCTION("""COMPUTED_VALUE"""),"Customer Care")</f>
        <v>Customer Care</v>
      </c>
      <c r="L903" s="106" t="str">
        <f>IFERROR(__xludf.DUMMYFUNCTION("""COMPUTED_VALUE"""),"Informed Genzo Nethmi")</f>
        <v>Informed Genzo Nethmi</v>
      </c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>
      <c r="A904" s="82"/>
      <c r="B904" s="98" t="str">
        <f>IFERROR(__xludf.DUMMYFUNCTION("""COMPUTED_VALUE"""),"1180")</f>
        <v>1180</v>
      </c>
      <c r="C904" s="98" t="str">
        <f>IFERROR(__xludf.DUMMYFUNCTION("""COMPUTED_VALUE"""),"Umesha")</f>
        <v>Umesha</v>
      </c>
      <c r="D904" s="98" t="str">
        <f>IFERROR(__xludf.DUMMYFUNCTION("""COMPUTED_VALUE"""),"769429641")</f>
        <v>769429641</v>
      </c>
      <c r="E904" s="98" t="str">
        <f>IFERROR(__xludf.DUMMYFUNCTION("""COMPUTED_VALUE"""),"Y")</f>
        <v>Y</v>
      </c>
      <c r="F904" s="108" t="str">
        <f>IFERROR(__xludf.DUMMYFUNCTION("""COMPUTED_VALUE"""),"Crown.Lk")</f>
        <v>Crown.Lk</v>
      </c>
      <c r="G904" s="98" t="str">
        <f>IFERROR(__xludf.DUMMYFUNCTION("""COMPUTED_VALUE"""),"BA752662")</f>
        <v>BA752662</v>
      </c>
      <c r="H904" s="98" t="str">
        <f>IFERROR(__xludf.DUMMYFUNCTION("""COMPUTED_VALUE"""),"Re Deliver")</f>
        <v>Re Deliver</v>
      </c>
      <c r="I904" s="98" t="str">
        <f>IFERROR(__xludf.DUMMYFUNCTION("""COMPUTED_VALUE"""),"Kurunegala")</f>
        <v>Kurunegala</v>
      </c>
      <c r="J904" s="98" t="str">
        <f>IFERROR(__xludf.DUMMYFUNCTION("""COMPUTED_VALUE"""),"Returned To Client")</f>
        <v>Returned To Client</v>
      </c>
      <c r="K904" s="98" t="str">
        <f>IFERROR(__xludf.DUMMYFUNCTION("""COMPUTED_VALUE"""),"Customer Care")</f>
        <v>Customer Care</v>
      </c>
      <c r="L904" s="98" t="str">
        <f>IFERROR(__xludf.DUMMYFUNCTION("""COMPUTED_VALUE"""),"Informed Domestic Department")</f>
        <v>Informed Domestic Department</v>
      </c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>
      <c r="A905" s="82"/>
      <c r="B905" s="106" t="str">
        <f>IFERROR(__xludf.DUMMYFUNCTION("""COMPUTED_VALUE"""),"1181")</f>
        <v>1181</v>
      </c>
      <c r="C905" s="106" t="str">
        <f>IFERROR(__xludf.DUMMYFUNCTION("""COMPUTED_VALUE"""),"Lakshani")</f>
        <v>Lakshani</v>
      </c>
      <c r="D905" s="106" t="str">
        <f>IFERROR(__xludf.DUMMYFUNCTION("""COMPUTED_VALUE"""),"776300227")</f>
        <v>776300227</v>
      </c>
      <c r="E905" s="106" t="str">
        <f>IFERROR(__xludf.DUMMYFUNCTION("""COMPUTED_VALUE"""),"N")</f>
        <v>N</v>
      </c>
      <c r="F905" s="106" t="str">
        <f>IFERROR(__xludf.DUMMYFUNCTION("""COMPUTED_VALUE"""),"Sparkly Design House Pvt Ltd")</f>
        <v>Sparkly Design House Pvt Ltd</v>
      </c>
      <c r="G905" s="106" t="str">
        <f>IFERROR(__xludf.DUMMYFUNCTION("""COMPUTED_VALUE"""),"BE100080")</f>
        <v>BE100080</v>
      </c>
      <c r="H905" s="106" t="str">
        <f>IFERROR(__xludf.DUMMYFUNCTION("""COMPUTED_VALUE"""),"Customer Want Return The Package")</f>
        <v>Customer Want Return The Package</v>
      </c>
      <c r="I905" s="106" t="str">
        <f>IFERROR(__xludf.DUMMYFUNCTION("""COMPUTED_VALUE"""),"Kahatagasdigiliya")</f>
        <v>Kahatagasdigiliya</v>
      </c>
      <c r="J905" s="106" t="str">
        <f>IFERROR(__xludf.DUMMYFUNCTION("""COMPUTED_VALUE"""),"Returned To Branch Rescheduled")</f>
        <v>Returned To Branch Rescheduled</v>
      </c>
      <c r="K905" s="106" t="str">
        <f>IFERROR(__xludf.DUMMYFUNCTION("""COMPUTED_VALUE"""),"Customer Care")</f>
        <v>Customer Care</v>
      </c>
      <c r="L905" s="106" t="str">
        <f>IFERROR(__xludf.DUMMYFUNCTION("""COMPUTED_VALUE"""),"Informed Branch")</f>
        <v>Informed Branch</v>
      </c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>
      <c r="A906" s="82"/>
      <c r="B906" s="98" t="str">
        <f>IFERROR(__xludf.DUMMYFUNCTION("""COMPUTED_VALUE"""),"1182")</f>
        <v>1182</v>
      </c>
      <c r="C906" s="98" t="str">
        <f>IFERROR(__xludf.DUMMYFUNCTION("""COMPUTED_VALUE"""),"Umesha")</f>
        <v>Umesha</v>
      </c>
      <c r="D906" s="98" t="str">
        <f>IFERROR(__xludf.DUMMYFUNCTION("""COMPUTED_VALUE"""),"112622082")</f>
        <v>112622082</v>
      </c>
      <c r="E906" s="98" t="str">
        <f>IFERROR(__xludf.DUMMYFUNCTION("""COMPUTED_VALUE"""),"Y")</f>
        <v>Y</v>
      </c>
      <c r="F906" s="108" t="str">
        <f>IFERROR(__xludf.DUMMYFUNCTION("""COMPUTED_VALUE"""),"Primex.Lk")</f>
        <v>Primex.Lk</v>
      </c>
      <c r="G906" s="98" t="str">
        <f>IFERROR(__xludf.DUMMYFUNCTION("""COMPUTED_VALUE"""),"79564297")</f>
        <v>79564297</v>
      </c>
      <c r="H906" s="98" t="str">
        <f>IFERROR(__xludf.DUMMYFUNCTION("""COMPUTED_VALUE"""),"Domestic Rate")</f>
        <v>Domestic Rate</v>
      </c>
      <c r="I906" s="98" t="str">
        <f>IFERROR(__xludf.DUMMYFUNCTION("""COMPUTED_VALUE"""),"Mirigama")</f>
        <v>Mirigama</v>
      </c>
      <c r="J906" s="98" t="str">
        <f>IFERROR(__xludf.DUMMYFUNCTION("""COMPUTED_VALUE"""),"Received At Destination")</f>
        <v>Received At Destination</v>
      </c>
      <c r="K906" s="98" t="str">
        <f>IFERROR(__xludf.DUMMYFUNCTION("""COMPUTED_VALUE"""),"Customer Care")</f>
        <v>Customer Care</v>
      </c>
      <c r="L906" s="98" t="str">
        <f>IFERROR(__xludf.DUMMYFUNCTION("""COMPUTED_VALUE"""),"Call Transfer Jeni")</f>
        <v>Call Transfer Jeni</v>
      </c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>
      <c r="A907" s="82"/>
      <c r="B907" s="106" t="str">
        <f>IFERROR(__xludf.DUMMYFUNCTION("""COMPUTED_VALUE"""),"1183")</f>
        <v>1183</v>
      </c>
      <c r="C907" s="106" t="str">
        <f>IFERROR(__xludf.DUMMYFUNCTION("""COMPUTED_VALUE"""),"Mandari")</f>
        <v>Mandari</v>
      </c>
      <c r="D907" s="106" t="str">
        <f>IFERROR(__xludf.DUMMYFUNCTION("""COMPUTED_VALUE"""),"772172443")</f>
        <v>772172443</v>
      </c>
      <c r="E907" s="106" t="str">
        <f>IFERROR(__xludf.DUMMYFUNCTION("""COMPUTED_VALUE"""),"N")</f>
        <v>N</v>
      </c>
      <c r="F907" s="106" t="str">
        <f>IFERROR(__xludf.DUMMYFUNCTION("""COMPUTED_VALUE"""),"Shani Co.")</f>
        <v>Shani Co.</v>
      </c>
      <c r="G907" s="106" t="str">
        <f>IFERROR(__xludf.DUMMYFUNCTION("""COMPUTED_VALUE"""),"BE085378")</f>
        <v>BE085378</v>
      </c>
      <c r="H907" s="106" t="str">
        <f>IFERROR(__xludf.DUMMYFUNCTION("""COMPUTED_VALUE"""),"Cleint Want Return Order")</f>
        <v>Cleint Want Return Order</v>
      </c>
      <c r="I907" s="106" t="str">
        <f>IFERROR(__xludf.DUMMYFUNCTION("""COMPUTED_VALUE"""),"Wattala")</f>
        <v>Wattala</v>
      </c>
      <c r="J907" s="106" t="str">
        <f>IFERROR(__xludf.DUMMYFUNCTION("""COMPUTED_VALUE"""),"Delivered")</f>
        <v>Delivered</v>
      </c>
      <c r="K907" s="106" t="str">
        <f>IFERROR(__xludf.DUMMYFUNCTION("""COMPUTED_VALUE"""),"Customer Care")</f>
        <v>Customer Care</v>
      </c>
      <c r="L907" s="106" t="str">
        <f>IFERROR(__xludf.DUMMYFUNCTION("""COMPUTED_VALUE"""),"On Route")</f>
        <v>On Route</v>
      </c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>
      <c r="A908" s="82"/>
      <c r="B908" s="98" t="str">
        <f>IFERROR(__xludf.DUMMYFUNCTION("""COMPUTED_VALUE"""),"1184")</f>
        <v>1184</v>
      </c>
      <c r="C908" s="98" t="str">
        <f>IFERROR(__xludf.DUMMYFUNCTION("""COMPUTED_VALUE"""),"Umesha")</f>
        <v>Umesha</v>
      </c>
      <c r="D908" s="98" t="str">
        <f>IFERROR(__xludf.DUMMYFUNCTION("""COMPUTED_VALUE"""),"764260766")</f>
        <v>764260766</v>
      </c>
      <c r="E908" s="98" t="str">
        <f>IFERROR(__xludf.DUMMYFUNCTION("""COMPUTED_VALUE"""),"N")</f>
        <v>N</v>
      </c>
      <c r="F908" s="98" t="str">
        <f>IFERROR(__xludf.DUMMYFUNCTION("""COMPUTED_VALUE"""),"Clothing Brands")</f>
        <v>Clothing Brands</v>
      </c>
      <c r="G908" s="98" t="str">
        <f>IFERROR(__xludf.DUMMYFUNCTION("""COMPUTED_VALUE"""),"90815443")</f>
        <v>90815443</v>
      </c>
      <c r="H908" s="98" t="str">
        <f>IFERROR(__xludf.DUMMYFUNCTION("""COMPUTED_VALUE"""),"Re Deliver")</f>
        <v>Re Deliver</v>
      </c>
      <c r="I908" s="98" t="str">
        <f>IFERROR(__xludf.DUMMYFUNCTION("""COMPUTED_VALUE"""),"Rajagiriya")</f>
        <v>Rajagiriya</v>
      </c>
      <c r="J908" s="98" t="str">
        <f>IFERROR(__xludf.DUMMYFUNCTION("""COMPUTED_VALUE"""),"Returned To Branch Failed To Deliver")</f>
        <v>Returned To Branch Failed To Deliver</v>
      </c>
      <c r="K908" s="98" t="str">
        <f>IFERROR(__xludf.DUMMYFUNCTION("""COMPUTED_VALUE"""),"Branch Operations")</f>
        <v>Branch Operations</v>
      </c>
      <c r="L908" s="98" t="str">
        <f>IFERROR(__xludf.DUMMYFUNCTION("""COMPUTED_VALUE"""),"Informed /Transfered Call")</f>
        <v>Informed /Transfered Call</v>
      </c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>
      <c r="A909" s="82"/>
      <c r="B909" s="106" t="str">
        <f>IFERROR(__xludf.DUMMYFUNCTION("""COMPUTED_VALUE"""),"1185")</f>
        <v>1185</v>
      </c>
      <c r="C909" s="106" t="str">
        <f>IFERROR(__xludf.DUMMYFUNCTION("""COMPUTED_VALUE"""),"Umesha")</f>
        <v>Umesha</v>
      </c>
      <c r="D909" s="106" t="str">
        <f>IFERROR(__xludf.DUMMYFUNCTION("""COMPUTED_VALUE"""),"747200032")</f>
        <v>747200032</v>
      </c>
      <c r="E909" s="106" t="str">
        <f>IFERROR(__xludf.DUMMYFUNCTION("""COMPUTED_VALUE"""),"N")</f>
        <v>N</v>
      </c>
      <c r="F909" s="106" t="str">
        <f>IFERROR(__xludf.DUMMYFUNCTION("""COMPUTED_VALUE"""),"Faith Store")</f>
        <v>Faith Store</v>
      </c>
      <c r="G909" s="106" t="str">
        <f>IFERROR(__xludf.DUMMYFUNCTION("""COMPUTED_VALUE"""),"A4526260")</f>
        <v>A4526260</v>
      </c>
      <c r="H909" s="106" t="str">
        <f>IFERROR(__xludf.DUMMYFUNCTION("""COMPUTED_VALUE"""),"Re Deliver")</f>
        <v>Re Deliver</v>
      </c>
      <c r="I909" s="106" t="str">
        <f>IFERROR(__xludf.DUMMYFUNCTION("""COMPUTED_VALUE"""),"Ratmalana")</f>
        <v>Ratmalana</v>
      </c>
      <c r="J909" s="106" t="str">
        <f>IFERROR(__xludf.DUMMYFUNCTION("""COMPUTED_VALUE"""),"Returned To Client")</f>
        <v>Returned To Client</v>
      </c>
      <c r="K909" s="106" t="str">
        <f>IFERROR(__xludf.DUMMYFUNCTION("""COMPUTED_VALUE"""),"Customer Care")</f>
        <v>Customer Care</v>
      </c>
      <c r="L909" s="106" t="str">
        <f>IFERROR(__xludf.DUMMYFUNCTION("""COMPUTED_VALUE"""),"Informed Branch Number Via A Whatsapp")</f>
        <v>Informed Branch Number Via A Whatsapp</v>
      </c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>
      <c r="A910" s="82"/>
      <c r="B910" s="98" t="str">
        <f>IFERROR(__xludf.DUMMYFUNCTION("""COMPUTED_VALUE"""),"1186")</f>
        <v>1186</v>
      </c>
      <c r="C910" s="98" t="str">
        <f>IFERROR(__xludf.DUMMYFUNCTION("""COMPUTED_VALUE"""),"Mandari")</f>
        <v>Mandari</v>
      </c>
      <c r="D910" s="98" t="str">
        <f>IFERROR(__xludf.DUMMYFUNCTION("""COMPUTED_VALUE"""),"768804852")</f>
        <v>768804852</v>
      </c>
      <c r="E910" s="98" t="str">
        <f>IFERROR(__xludf.DUMMYFUNCTION("""COMPUTED_VALUE"""),"Y")</f>
        <v>Y</v>
      </c>
      <c r="F910" s="98" t="str">
        <f>IFERROR(__xludf.DUMMYFUNCTION("""COMPUTED_VALUE"""),"Tsk E-Mart")</f>
        <v>Tsk E-Mart</v>
      </c>
      <c r="G910" s="98" t="str">
        <f>IFERROR(__xludf.DUMMYFUNCTION("""COMPUTED_VALUE"""),"A4581256")</f>
        <v>A4581256</v>
      </c>
      <c r="H910" s="98" t="str">
        <f>IFERROR(__xludf.DUMMYFUNCTION("""COMPUTED_VALUE"""),"Urgent Today")</f>
        <v>Urgent Today</v>
      </c>
      <c r="I910" s="98" t="str">
        <f>IFERROR(__xludf.DUMMYFUNCTION("""COMPUTED_VALUE"""),"Wattala")</f>
        <v>Wattala</v>
      </c>
      <c r="J910" s="98" t="str">
        <f>IFERROR(__xludf.DUMMYFUNCTION("""COMPUTED_VALUE"""),"Returned To Branch Rescheduled")</f>
        <v>Returned To Branch Rescheduled</v>
      </c>
      <c r="K910" s="98" t="str">
        <f>IFERROR(__xludf.DUMMYFUNCTION("""COMPUTED_VALUE"""),"Customer Care")</f>
        <v>Customer Care</v>
      </c>
      <c r="L910" s="98" t="str">
        <f>IFERROR(__xludf.DUMMYFUNCTION("""COMPUTED_VALUE"""),"Client Said Already Contact About Return Departmnet They Will Said Re Arrange This Order")</f>
        <v>Client Said Already Contact About Return Departmnet They Will Said Re Arrange This Order</v>
      </c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>
      <c r="A911" s="82"/>
      <c r="B911" s="106" t="str">
        <f>IFERROR(__xludf.DUMMYFUNCTION("""COMPUTED_VALUE"""),"1187")</f>
        <v>1187</v>
      </c>
      <c r="C911" s="106" t="str">
        <f>IFERROR(__xludf.DUMMYFUNCTION("""COMPUTED_VALUE"""),"Jeni")</f>
        <v>Jeni</v>
      </c>
      <c r="D911" s="106" t="str">
        <f>IFERROR(__xludf.DUMMYFUNCTION("""COMPUTED_VALUE"""),"779019892")</f>
        <v>779019892</v>
      </c>
      <c r="E911" s="106" t="str">
        <f>IFERROR(__xludf.DUMMYFUNCTION("""COMPUTED_VALUE"""),"N")</f>
        <v>N</v>
      </c>
      <c r="F911" s="106" t="str">
        <f>IFERROR(__xludf.DUMMYFUNCTION("""COMPUTED_VALUE"""),"Super Ayurvedic")</f>
        <v>Super Ayurvedic</v>
      </c>
      <c r="G911" s="106" t="str">
        <f>IFERROR(__xludf.DUMMYFUNCTION("""COMPUTED_VALUE"""),"BE108403")</f>
        <v>BE108403</v>
      </c>
      <c r="H911" s="106" t="str">
        <f>IFERROR(__xludf.DUMMYFUNCTION("""COMPUTED_VALUE"""),"Tamil Call")</f>
        <v>Tamil Call</v>
      </c>
      <c r="I911" s="106" t="str">
        <f>IFERROR(__xludf.DUMMYFUNCTION("""COMPUTED_VALUE"""),"Rajagiriya")</f>
        <v>Rajagiriya</v>
      </c>
      <c r="J911" s="106" t="str">
        <f>IFERROR(__xludf.DUMMYFUNCTION("""COMPUTED_VALUE"""),"Delivered")</f>
        <v>Delivered</v>
      </c>
      <c r="K911" s="106" t="str">
        <f>IFERROR(__xludf.DUMMYFUNCTION("""COMPUTED_VALUE"""),"Branch Operations")</f>
        <v>Branch Operations</v>
      </c>
      <c r="L911" s="106" t="str">
        <f>IFERROR(__xludf.DUMMYFUNCTION("""COMPUTED_VALUE"""),"Done")</f>
        <v>Done</v>
      </c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>
      <c r="A912" s="82"/>
      <c r="B912" s="98" t="str">
        <f>IFERROR(__xludf.DUMMYFUNCTION("""COMPUTED_VALUE"""),"1188")</f>
        <v>1188</v>
      </c>
      <c r="C912" s="98" t="str">
        <f>IFERROR(__xludf.DUMMYFUNCTION("""COMPUTED_VALUE"""),"Lakshani")</f>
        <v>Lakshani</v>
      </c>
      <c r="D912" s="98" t="str">
        <f>IFERROR(__xludf.DUMMYFUNCTION("""COMPUTED_VALUE"""),"718956094")</f>
        <v>718956094</v>
      </c>
      <c r="E912" s="98" t="str">
        <f>IFERROR(__xludf.DUMMYFUNCTION("""COMPUTED_VALUE"""),"Y")</f>
        <v>Y</v>
      </c>
      <c r="F912" s="98" t="str">
        <f>IFERROR(__xludf.DUMMYFUNCTION("""COMPUTED_VALUE"""),"Dream Cart")</f>
        <v>Dream Cart</v>
      </c>
      <c r="G912" s="98" t="str">
        <f>IFERROR(__xludf.DUMMYFUNCTION("""COMPUTED_VALUE"""),"A3965626")</f>
        <v>A3965626</v>
      </c>
      <c r="H912" s="98" t="str">
        <f>IFERROR(__xludf.DUMMYFUNCTION("""COMPUTED_VALUE"""),"Urgent Today /0743614933-Customer New Number")</f>
        <v>Urgent Today /0743614933-Customer New Number</v>
      </c>
      <c r="I912" s="98" t="str">
        <f>IFERROR(__xludf.DUMMYFUNCTION("""COMPUTED_VALUE"""),"Panadura")</f>
        <v>Panadura</v>
      </c>
      <c r="J912" s="98" t="str">
        <f>IFERROR(__xludf.DUMMYFUNCTION("""COMPUTED_VALUE"""),"Out For Delivery")</f>
        <v>Out For Delivery</v>
      </c>
      <c r="K912" s="98" t="str">
        <f>IFERROR(__xludf.DUMMYFUNCTION("""COMPUTED_VALUE"""),"Branch Operations")</f>
        <v>Branch Operations</v>
      </c>
      <c r="L912" s="98" t="str">
        <f>IFERROR(__xludf.DUMMYFUNCTION("""COMPUTED_VALUE"""),"Informed Branch Number Via A Whatsapp")</f>
        <v>Informed Branch Number Via A Whatsapp</v>
      </c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>
      <c r="A913" s="82"/>
      <c r="B913" s="106" t="str">
        <f>IFERROR(__xludf.DUMMYFUNCTION("""COMPUTED_VALUE"""),"1189")</f>
        <v>1189</v>
      </c>
      <c r="C913" s="106" t="str">
        <f>IFERROR(__xludf.DUMMYFUNCTION("""COMPUTED_VALUE"""),"Umesha")</f>
        <v>Umesha</v>
      </c>
      <c r="D913" s="106" t="str">
        <f>IFERROR(__xludf.DUMMYFUNCTION("""COMPUTED_VALUE"""),"774868808")</f>
        <v>774868808</v>
      </c>
      <c r="E913" s="106" t="str">
        <f>IFERROR(__xludf.DUMMYFUNCTION("""COMPUTED_VALUE"""),"N")</f>
        <v>N</v>
      </c>
      <c r="F913" s="106" t="str">
        <f>IFERROR(__xludf.DUMMYFUNCTION("""COMPUTED_VALUE"""),"2202 Active")</f>
        <v>2202 Active</v>
      </c>
      <c r="G913" s="106" t="str">
        <f>IFERROR(__xludf.DUMMYFUNCTION("""COMPUTED_VALUE"""),"BA779577")</f>
        <v>BA779577</v>
      </c>
      <c r="H913" s="106" t="str">
        <f>IFERROR(__xludf.DUMMYFUNCTION("""COMPUTED_VALUE"""),"Metro Branch Number")</f>
        <v>Metro Branch Number</v>
      </c>
      <c r="I913" s="106" t="str">
        <f>IFERROR(__xludf.DUMMYFUNCTION("""COMPUTED_VALUE"""),"Thalawathugoda")</f>
        <v>Thalawathugoda</v>
      </c>
      <c r="J913" s="106" t="str">
        <f>IFERROR(__xludf.DUMMYFUNCTION("""COMPUTED_VALUE"""),"Out For Delivery")</f>
        <v>Out For Delivery</v>
      </c>
      <c r="K913" s="106" t="str">
        <f>IFERROR(__xludf.DUMMYFUNCTION("""COMPUTED_VALUE"""),"Customer Care")</f>
        <v>Customer Care</v>
      </c>
      <c r="L913" s="106" t="str">
        <f>IFERROR(__xludf.DUMMYFUNCTION("""COMPUTED_VALUE"""),"Delivered")</f>
        <v>Delivered</v>
      </c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>
      <c r="A914" s="82"/>
      <c r="B914" s="98" t="str">
        <f>IFERROR(__xludf.DUMMYFUNCTION("""COMPUTED_VALUE"""),"1190")</f>
        <v>1190</v>
      </c>
      <c r="C914" s="98" t="str">
        <f>IFERROR(__xludf.DUMMYFUNCTION("""COMPUTED_VALUE"""),"Jeni")</f>
        <v>Jeni</v>
      </c>
      <c r="D914" s="98" t="str">
        <f>IFERROR(__xludf.DUMMYFUNCTION("""COMPUTED_VALUE"""),"770304833")</f>
        <v>770304833</v>
      </c>
      <c r="E914" s="98" t="str">
        <f>IFERROR(__xludf.DUMMYFUNCTION("""COMPUTED_VALUE"""),"N")</f>
        <v>N</v>
      </c>
      <c r="F914" s="98" t="str">
        <f>IFERROR(__xludf.DUMMYFUNCTION("""COMPUTED_VALUE"""),"Lesa Fashion")</f>
        <v>Lesa Fashion</v>
      </c>
      <c r="G914" s="98" t="str">
        <f>IFERROR(__xludf.DUMMYFUNCTION("""COMPUTED_VALUE"""),"BE129344")</f>
        <v>BE129344</v>
      </c>
      <c r="H914" s="98" t="str">
        <f>IFERROR(__xludf.DUMMYFUNCTION("""COMPUTED_VALUE"""),"Arrange Delivery Today / Top Urgent")</f>
        <v>Arrange Delivery Today / Top Urgent</v>
      </c>
      <c r="I914" s="98" t="str">
        <f>IFERROR(__xludf.DUMMYFUNCTION("""COMPUTED_VALUE"""),"Trincomalee")</f>
        <v>Trincomalee</v>
      </c>
      <c r="J914" s="98" t="str">
        <f>IFERROR(__xludf.DUMMYFUNCTION("""COMPUTED_VALUE"""),"Delivered")</f>
        <v>Delivered</v>
      </c>
      <c r="K914" s="98" t="str">
        <f>IFERROR(__xludf.DUMMYFUNCTION("""COMPUTED_VALUE"""),"Customer Care")</f>
        <v>Customer Care</v>
      </c>
      <c r="L914" s="98" t="str">
        <f>IFERROR(__xludf.DUMMYFUNCTION("""COMPUTED_VALUE"""),"Disconnect")</f>
        <v>Disconnect</v>
      </c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>
      <c r="A915" s="82"/>
      <c r="B915" s="106" t="str">
        <f>IFERROR(__xludf.DUMMYFUNCTION("""COMPUTED_VALUE"""),"1191")</f>
        <v>1191</v>
      </c>
      <c r="C915" s="106" t="str">
        <f>IFERROR(__xludf.DUMMYFUNCTION("""COMPUTED_VALUE"""),"Mandari")</f>
        <v>Mandari</v>
      </c>
      <c r="D915" s="106" t="str">
        <f>IFERROR(__xludf.DUMMYFUNCTION("""COMPUTED_VALUE"""),"744470922")</f>
        <v>744470922</v>
      </c>
      <c r="E915" s="106" t="str">
        <f>IFERROR(__xludf.DUMMYFUNCTION("""COMPUTED_VALUE"""),"N")</f>
        <v>N</v>
      </c>
      <c r="F915" s="106" t="str">
        <f>IFERROR(__xludf.DUMMYFUNCTION("""COMPUTED_VALUE"""),"Miraci Holdings")</f>
        <v>Miraci Holdings</v>
      </c>
      <c r="G915" s="106" t="str">
        <f>IFERROR(__xludf.DUMMYFUNCTION("""COMPUTED_VALUE"""),"A4470093")</f>
        <v>A4470093</v>
      </c>
      <c r="H915" s="106" t="str">
        <f>IFERROR(__xludf.DUMMYFUNCTION("""COMPUTED_VALUE"""),"Re Deliver")</f>
        <v>Re Deliver</v>
      </c>
      <c r="I915" s="106" t="str">
        <f>IFERROR(__xludf.DUMMYFUNCTION("""COMPUTED_VALUE"""),"Mahiyanganaya")</f>
        <v>Mahiyanganaya</v>
      </c>
      <c r="J915" s="106" t="str">
        <f>IFERROR(__xludf.DUMMYFUNCTION("""COMPUTED_VALUE"""),"Returned To Branch Failed To Deliver")</f>
        <v>Returned To Branch Failed To Deliver</v>
      </c>
      <c r="K915" s="106" t="str">
        <f>IFERROR(__xludf.DUMMYFUNCTION("""COMPUTED_VALUE"""),"Branch Operations")</f>
        <v>Branch Operations</v>
      </c>
      <c r="L915" s="106" t="str">
        <f>IFERROR(__xludf.DUMMYFUNCTION("""COMPUTED_VALUE"""),"Informed Branch")</f>
        <v>Informed Branch</v>
      </c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>
      <c r="A916" s="82"/>
      <c r="B916" s="98" t="str">
        <f>IFERROR(__xludf.DUMMYFUNCTION("""COMPUTED_VALUE"""),"1192")</f>
        <v>1192</v>
      </c>
      <c r="C916" s="98" t="str">
        <f>IFERROR(__xludf.DUMMYFUNCTION("""COMPUTED_VALUE"""),"Jeni")</f>
        <v>Jeni</v>
      </c>
      <c r="D916" s="98" t="str">
        <f>IFERROR(__xludf.DUMMYFUNCTION("""COMPUTED_VALUE"""),"743530160")</f>
        <v>743530160</v>
      </c>
      <c r="E916" s="98" t="str">
        <f>IFERROR(__xludf.DUMMYFUNCTION("""COMPUTED_VALUE"""),"N")</f>
        <v>N</v>
      </c>
      <c r="F916" s="98" t="str">
        <f>IFERROR(__xludf.DUMMYFUNCTION("""COMPUTED_VALUE"""),"Faith Store")</f>
        <v>Faith Store</v>
      </c>
      <c r="G916" s="98" t="str">
        <f>IFERROR(__xludf.DUMMYFUNCTION("""COMPUTED_VALUE"""),"A4395705")</f>
        <v>A4395705</v>
      </c>
      <c r="H916" s="98" t="str">
        <f>IFERROR(__xludf.DUMMYFUNCTION("""COMPUTED_VALUE"""),"Some Details / Return To Client")</f>
        <v>Some Details / Return To Client</v>
      </c>
      <c r="I916" s="98" t="str">
        <f>IFERROR(__xludf.DUMMYFUNCTION("""COMPUTED_VALUE"""),"Ja-Ela")</f>
        <v>Ja-Ela</v>
      </c>
      <c r="J916" s="98" t="str">
        <f>IFERROR(__xludf.DUMMYFUNCTION("""COMPUTED_VALUE"""),"Returned To Branch Rescheduled")</f>
        <v>Returned To Branch Rescheduled</v>
      </c>
      <c r="K916" s="98" t="str">
        <f>IFERROR(__xludf.DUMMYFUNCTION("""COMPUTED_VALUE"""),"Customer Care")</f>
        <v>Customer Care</v>
      </c>
      <c r="L916" s="98" t="str">
        <f>IFERROR(__xludf.DUMMYFUNCTION("""COMPUTED_VALUE"""),"1St Number Busy / 2Nd Number No Answer")</f>
        <v>1St Number Busy / 2Nd Number No Answer</v>
      </c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>
      <c r="A917" s="82"/>
      <c r="B917" s="106" t="str">
        <f>IFERROR(__xludf.DUMMYFUNCTION("""COMPUTED_VALUE"""),"1193")</f>
        <v>1193</v>
      </c>
      <c r="C917" s="106" t="str">
        <f>IFERROR(__xludf.DUMMYFUNCTION("""COMPUTED_VALUE"""),"Malik")</f>
        <v>Malik</v>
      </c>
      <c r="D917" s="106" t="str">
        <f>IFERROR(__xludf.DUMMYFUNCTION("""COMPUTED_VALUE"""),"778273462")</f>
        <v>778273462</v>
      </c>
      <c r="E917" s="106" t="str">
        <f>IFERROR(__xludf.DUMMYFUNCTION("""COMPUTED_VALUE"""),"N")</f>
        <v>N</v>
      </c>
      <c r="F917" s="106" t="str">
        <f>IFERROR(__xludf.DUMMYFUNCTION("""COMPUTED_VALUE"""),"Baloreena")</f>
        <v>Baloreena</v>
      </c>
      <c r="G917" s="106" t="str">
        <f>IFERROR(__xludf.DUMMYFUNCTION("""COMPUTED_VALUE"""),"A4706450")</f>
        <v>A4706450</v>
      </c>
      <c r="H917" s="106" t="str">
        <f>IFERROR(__xludf.DUMMYFUNCTION("""COMPUTED_VALUE"""),"Rea Tamil Agent")</f>
        <v>Rea Tamil Agent</v>
      </c>
      <c r="I917" s="106" t="str">
        <f>IFERROR(__xludf.DUMMYFUNCTION("""COMPUTED_VALUE"""),"Polonnaruwa")</f>
        <v>Polonnaruwa</v>
      </c>
      <c r="J917" s="106" t="str">
        <f>IFERROR(__xludf.DUMMYFUNCTION("""COMPUTED_VALUE"""),"Processing")</f>
        <v>Processing</v>
      </c>
      <c r="K917" s="106" t="str">
        <f>IFERROR(__xludf.DUMMYFUNCTION("""COMPUTED_VALUE"""),"Customer Care")</f>
        <v>Customer Care</v>
      </c>
      <c r="L917" s="106" t="str">
        <f>IFERROR(__xludf.DUMMYFUNCTION("""COMPUTED_VALUE"""),"Ask To Call Back With Proper Details")</f>
        <v>Ask To Call Back With Proper Details</v>
      </c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>
      <c r="A918" s="82"/>
      <c r="B918" s="98" t="str">
        <f>IFERROR(__xludf.DUMMYFUNCTION("""COMPUTED_VALUE"""),"1194")</f>
        <v>1194</v>
      </c>
      <c r="C918" s="98" t="str">
        <f>IFERROR(__xludf.DUMMYFUNCTION("""COMPUTED_VALUE"""),"Jeni")</f>
        <v>Jeni</v>
      </c>
      <c r="D918" s="98" t="str">
        <f>IFERROR(__xludf.DUMMYFUNCTION("""COMPUTED_VALUE"""),"769140589")</f>
        <v>769140589</v>
      </c>
      <c r="E918" s="98" t="str">
        <f>IFERROR(__xludf.DUMMYFUNCTION("""COMPUTED_VALUE"""),"N")</f>
        <v>N</v>
      </c>
      <c r="F918" s="98" t="str">
        <f>IFERROR(__xludf.DUMMYFUNCTION("""COMPUTED_VALUE"""),"Golden House")</f>
        <v>Golden House</v>
      </c>
      <c r="G918" s="98" t="str">
        <f>IFERROR(__xludf.DUMMYFUNCTION("""COMPUTED_VALUE"""),"BE065289")</f>
        <v>BE065289</v>
      </c>
      <c r="H918" s="98" t="str">
        <f>IFERROR(__xludf.DUMMYFUNCTION("""COMPUTED_VALUE"""),"Ask Nilesha")</f>
        <v>Ask Nilesha</v>
      </c>
      <c r="I918" s="98" t="str">
        <f>IFERROR(__xludf.DUMMYFUNCTION("""COMPUTED_VALUE"""),"Horana")</f>
        <v>Horana</v>
      </c>
      <c r="J918" s="98" t="str">
        <f>IFERROR(__xludf.DUMMYFUNCTION("""COMPUTED_VALUE"""),"Received At Destination")</f>
        <v>Received At Destination</v>
      </c>
      <c r="K918" s="98" t="str">
        <f>IFERROR(__xludf.DUMMYFUNCTION("""COMPUTED_VALUE"""),"Customer Care")</f>
        <v>Customer Care</v>
      </c>
      <c r="L918" s="98" t="str">
        <f>IFERROR(__xludf.DUMMYFUNCTION("""COMPUTED_VALUE"""),"Informed Genzo Team")</f>
        <v>Informed Genzo Team</v>
      </c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>
      <c r="A919" s="82"/>
      <c r="B919" s="106" t="str">
        <f>IFERROR(__xludf.DUMMYFUNCTION("""COMPUTED_VALUE"""),"1195")</f>
        <v>1195</v>
      </c>
      <c r="C919" s="106" t="str">
        <f>IFERROR(__xludf.DUMMYFUNCTION("""COMPUTED_VALUE"""),"Umesha")</f>
        <v>Umesha</v>
      </c>
      <c r="D919" s="106" t="str">
        <f>IFERROR(__xludf.DUMMYFUNCTION("""COMPUTED_VALUE"""),"774306540")</f>
        <v>774306540</v>
      </c>
      <c r="E919" s="106" t="str">
        <f>IFERROR(__xludf.DUMMYFUNCTION("""COMPUTED_VALUE"""),"N")</f>
        <v>N</v>
      </c>
      <c r="F919" s="106" t="str">
        <f>IFERROR(__xludf.DUMMYFUNCTION("""COMPUTED_VALUE"""),"Rooby Marketing")</f>
        <v>Rooby Marketing</v>
      </c>
      <c r="G919" s="106" t="str">
        <f>IFERROR(__xludf.DUMMYFUNCTION("""COMPUTED_VALUE"""),"BE091724")</f>
        <v>BE091724</v>
      </c>
      <c r="H919" s="106" t="str">
        <f>IFERROR(__xludf.DUMMYFUNCTION("""COMPUTED_VALUE"""),"Re Delivery")</f>
        <v>Re Delivery</v>
      </c>
      <c r="I919" s="106" t="str">
        <f>IFERROR(__xludf.DUMMYFUNCTION("""COMPUTED_VALUE"""),"Homagama")</f>
        <v>Homagama</v>
      </c>
      <c r="J919" s="106" t="str">
        <f>IFERROR(__xludf.DUMMYFUNCTION("""COMPUTED_VALUE"""),"Received At Destination")</f>
        <v>Received At Destination</v>
      </c>
      <c r="K919" s="106" t="str">
        <f>IFERROR(__xludf.DUMMYFUNCTION("""COMPUTED_VALUE"""),"Customer Care")</f>
        <v>Customer Care</v>
      </c>
      <c r="L919" s="106" t="str">
        <f>IFERROR(__xludf.DUMMYFUNCTION("""COMPUTED_VALUE"""),"Tranfer Cll")</f>
        <v>Tranfer Cll</v>
      </c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>
      <c r="A920" s="82"/>
      <c r="B920" s="98" t="str">
        <f>IFERROR(__xludf.DUMMYFUNCTION("""COMPUTED_VALUE"""),"1196")</f>
        <v>1196</v>
      </c>
      <c r="C920" s="98" t="str">
        <f>IFERROR(__xludf.DUMMYFUNCTION("""COMPUTED_VALUE"""),"Jeni")</f>
        <v>Jeni</v>
      </c>
      <c r="D920" s="98" t="str">
        <f>IFERROR(__xludf.DUMMYFUNCTION("""COMPUTED_VALUE"""),"719551229")</f>
        <v>719551229</v>
      </c>
      <c r="E920" s="98" t="str">
        <f>IFERROR(__xludf.DUMMYFUNCTION("""COMPUTED_VALUE"""),"N")</f>
        <v>N</v>
      </c>
      <c r="F920" s="98" t="str">
        <f>IFERROR(__xludf.DUMMYFUNCTION("""COMPUTED_VALUE"""),"Expert Lanka New")</f>
        <v>Expert Lanka New</v>
      </c>
      <c r="G920" s="98" t="str">
        <f>IFERROR(__xludf.DUMMYFUNCTION("""COMPUTED_VALUE"""),"BE072786")</f>
        <v>BE072786</v>
      </c>
      <c r="H920" s="98" t="str">
        <f>IFERROR(__xludf.DUMMYFUNCTION("""COMPUTED_VALUE"""),"Re Deliver")</f>
        <v>Re Deliver</v>
      </c>
      <c r="I920" s="98" t="str">
        <f>IFERROR(__xludf.DUMMYFUNCTION("""COMPUTED_VALUE"""),"Nittambuwa")</f>
        <v>Nittambuwa</v>
      </c>
      <c r="J920" s="98" t="str">
        <f>IFERROR(__xludf.DUMMYFUNCTION("""COMPUTED_VALUE"""),"Returned To Branch Rescheduled")</f>
        <v>Returned To Branch Rescheduled</v>
      </c>
      <c r="K920" s="98" t="str">
        <f>IFERROR(__xludf.DUMMYFUNCTION("""COMPUTED_VALUE"""),"Domestic")</f>
        <v>Domestic</v>
      </c>
      <c r="L920" s="98" t="str">
        <f>IFERROR(__xludf.DUMMYFUNCTION("""COMPUTED_VALUE"""),"Not Responding")</f>
        <v>Not Responding</v>
      </c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>
      <c r="A921" s="82"/>
      <c r="B921" s="106" t="str">
        <f>IFERROR(__xludf.DUMMYFUNCTION("""COMPUTED_VALUE"""),"1197")</f>
        <v>1197</v>
      </c>
      <c r="C921" s="106" t="str">
        <f>IFERROR(__xludf.DUMMYFUNCTION("""COMPUTED_VALUE"""),"Lakshani")</f>
        <v>Lakshani</v>
      </c>
      <c r="D921" s="106" t="str">
        <f>IFERROR(__xludf.DUMMYFUNCTION("""COMPUTED_VALUE"""),"779449477")</f>
        <v>779449477</v>
      </c>
      <c r="E921" s="106" t="str">
        <f>IFERROR(__xludf.DUMMYFUNCTION("""COMPUTED_VALUE"""),"N")</f>
        <v>N</v>
      </c>
      <c r="F921" s="106" t="str">
        <f>IFERROR(__xludf.DUMMYFUNCTION("""COMPUTED_VALUE"""),"Oneshop")</f>
        <v>Oneshop</v>
      </c>
      <c r="G921" s="106" t="str">
        <f>IFERROR(__xludf.DUMMYFUNCTION("""COMPUTED_VALUE"""),"A4364264")</f>
        <v>A4364264</v>
      </c>
      <c r="H921" s="106" t="str">
        <f>IFERROR(__xludf.DUMMYFUNCTION("""COMPUTED_VALUE"""),"New Registration")</f>
        <v>New Registration</v>
      </c>
      <c r="I921" s="106" t="str">
        <f>IFERROR(__xludf.DUMMYFUNCTION("""COMPUTED_VALUE"""),"Kahawatta")</f>
        <v>Kahawatta</v>
      </c>
      <c r="J921" s="106" t="str">
        <f>IFERROR(__xludf.DUMMYFUNCTION("""COMPUTED_VALUE"""),"Delivered")</f>
        <v>Delivered</v>
      </c>
      <c r="K921" s="106" t="str">
        <f>IFERROR(__xludf.DUMMYFUNCTION("""COMPUTED_VALUE"""),"Branch Operations")</f>
        <v>Branch Operations</v>
      </c>
      <c r="L921" s="106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>
      <c r="A922" s="82"/>
      <c r="B922" s="98" t="str">
        <f>IFERROR(__xludf.DUMMYFUNCTION("""COMPUTED_VALUE"""),"1198")</f>
        <v>1198</v>
      </c>
      <c r="C922" s="98" t="str">
        <f>IFERROR(__xludf.DUMMYFUNCTION("""COMPUTED_VALUE"""),"Jeni")</f>
        <v>Jeni</v>
      </c>
      <c r="D922" s="98" t="str">
        <f>IFERROR(__xludf.DUMMYFUNCTION("""COMPUTED_VALUE"""),"757578955")</f>
        <v>757578955</v>
      </c>
      <c r="E922" s="98" t="str">
        <f>IFERROR(__xludf.DUMMYFUNCTION("""COMPUTED_VALUE"""),"Y")</f>
        <v>Y</v>
      </c>
      <c r="F922" s="98" t="str">
        <f>IFERROR(__xludf.DUMMYFUNCTION("""COMPUTED_VALUE"""),"C&amp;L Markerting")</f>
        <v>C&amp;L Markerting</v>
      </c>
      <c r="G922" s="98" t="str">
        <f>IFERROR(__xludf.DUMMYFUNCTION("""COMPUTED_VALUE"""),"A4364264")</f>
        <v>A4364264</v>
      </c>
      <c r="H922" s="98" t="str">
        <f>IFERROR(__xludf.DUMMYFUNCTION("""COMPUTED_VALUE"""),"Order Status")</f>
        <v>Order Status</v>
      </c>
      <c r="I922" s="98" t="str">
        <f>IFERROR(__xludf.DUMMYFUNCTION("""COMPUTED_VALUE"""),"Colombo Metro")</f>
        <v>Colombo Metro</v>
      </c>
      <c r="J922" s="98" t="str">
        <f>IFERROR(__xludf.DUMMYFUNCTION("""COMPUTED_VALUE"""),"Returned To Branch Rescheduled")</f>
        <v>Returned To Branch Rescheduled</v>
      </c>
      <c r="K922" s="98" t="str">
        <f>IFERROR(__xludf.DUMMYFUNCTION("""COMPUTED_VALUE"""),"Branch Operations")</f>
        <v>Branch Operations</v>
      </c>
      <c r="L922" s="98" t="str">
        <f>IFERROR(__xludf.DUMMYFUNCTION("""COMPUTED_VALUE"""),"Informed Branch")</f>
        <v>Informed Branch</v>
      </c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>
      <c r="A923" s="82"/>
      <c r="B923" s="106" t="str">
        <f>IFERROR(__xludf.DUMMYFUNCTION("""COMPUTED_VALUE"""),"1199")</f>
        <v>1199</v>
      </c>
      <c r="C923" s="106" t="str">
        <f>IFERROR(__xludf.DUMMYFUNCTION("""COMPUTED_VALUE"""),"Lakshani")</f>
        <v>Lakshani</v>
      </c>
      <c r="D923" s="106" t="str">
        <f>IFERROR(__xludf.DUMMYFUNCTION("""COMPUTED_VALUE"""),"706386218")</f>
        <v>706386218</v>
      </c>
      <c r="E923" s="106" t="str">
        <f>IFERROR(__xludf.DUMMYFUNCTION("""COMPUTED_VALUE"""),"N")</f>
        <v>N</v>
      </c>
      <c r="F923" s="106" t="str">
        <f>IFERROR(__xludf.DUMMYFUNCTION("""COMPUTED_VALUE"""),"Kw Holdings")</f>
        <v>Kw Holdings</v>
      </c>
      <c r="G923" s="106" t="str">
        <f>IFERROR(__xludf.DUMMYFUNCTION("""COMPUTED_VALUE"""),"BE100619")</f>
        <v>BE100619</v>
      </c>
      <c r="H923" s="106" t="str">
        <f>IFERROR(__xludf.DUMMYFUNCTION("""COMPUTED_VALUE"""),"Customer Want Return This Package")</f>
        <v>Customer Want Return This Package</v>
      </c>
      <c r="I923" s="106" t="str">
        <f>IFERROR(__xludf.DUMMYFUNCTION("""COMPUTED_VALUE"""),"Dambulla")</f>
        <v>Dambulla</v>
      </c>
      <c r="J923" s="106" t="str">
        <f>IFERROR(__xludf.DUMMYFUNCTION("""COMPUTED_VALUE"""),"Delivered")</f>
        <v>Delivered</v>
      </c>
      <c r="K923" s="106" t="str">
        <f>IFERROR(__xludf.DUMMYFUNCTION("""COMPUTED_VALUE"""),"Return")</f>
        <v>Return</v>
      </c>
      <c r="L923" s="106" t="str">
        <f>IFERROR(__xludf.DUMMYFUNCTION("""COMPUTED_VALUE"""),"Balangoda Branch")</f>
        <v>Balangoda Branch</v>
      </c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>
      <c r="A924" s="82"/>
      <c r="B924" s="98" t="str">
        <f>IFERROR(__xludf.DUMMYFUNCTION("""COMPUTED_VALUE"""),"1200")</f>
        <v>1200</v>
      </c>
      <c r="C924" s="98" t="str">
        <f>IFERROR(__xludf.DUMMYFUNCTION("""COMPUTED_VALUE"""),"Umesha")</f>
        <v>Umesha</v>
      </c>
      <c r="D924" s="98" t="str">
        <f>IFERROR(__xludf.DUMMYFUNCTION("""COMPUTED_VALUE"""),"765779370")</f>
        <v>765779370</v>
      </c>
      <c r="E924" s="98" t="str">
        <f>IFERROR(__xludf.DUMMYFUNCTION("""COMPUTED_VALUE"""),"N")</f>
        <v>N</v>
      </c>
      <c r="F924" s="108" t="str">
        <f>IFERROR(__xludf.DUMMYFUNCTION("""COMPUTED_VALUE"""),"Primex.Lk")</f>
        <v>Primex.Lk</v>
      </c>
      <c r="G924" s="98" t="str">
        <f>IFERROR(__xludf.DUMMYFUNCTION("""COMPUTED_VALUE"""),"64298889")</f>
        <v>64298889</v>
      </c>
      <c r="H924" s="98" t="str">
        <f>IFERROR(__xludf.DUMMYFUNCTION("""COMPUTED_VALUE"""),"Branch Number List")</f>
        <v>Branch Number List</v>
      </c>
      <c r="I924" s="98" t="str">
        <f>IFERROR(__xludf.DUMMYFUNCTION("""COMPUTED_VALUE"""),"Nittambuwa")</f>
        <v>Nittambuwa</v>
      </c>
      <c r="J924" s="98" t="str">
        <f>IFERROR(__xludf.DUMMYFUNCTION("""COMPUTED_VALUE"""),"Returned To Branch Rescheduled")</f>
        <v>Returned To Branch Rescheduled</v>
      </c>
      <c r="K924" s="98" t="str">
        <f>IFERROR(__xludf.DUMMYFUNCTION("""COMPUTED_VALUE"""),"Branch Operations")</f>
        <v>Branch Operations</v>
      </c>
      <c r="L924" s="98" t="str">
        <f>IFERROR(__xludf.DUMMYFUNCTION("""COMPUTED_VALUE"""),"Done")</f>
        <v>Done</v>
      </c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>
      <c r="A925" s="82"/>
      <c r="B925" s="106" t="str">
        <f>IFERROR(__xludf.DUMMYFUNCTION("""COMPUTED_VALUE"""),"1201")</f>
        <v>1201</v>
      </c>
      <c r="C925" s="106" t="str">
        <f>IFERROR(__xludf.DUMMYFUNCTION("""COMPUTED_VALUE"""),"Jeni")</f>
        <v>Jeni</v>
      </c>
      <c r="D925" s="106" t="str">
        <f>IFERROR(__xludf.DUMMYFUNCTION("""COMPUTED_VALUE"""),"705130700")</f>
        <v>705130700</v>
      </c>
      <c r="E925" s="106" t="str">
        <f>IFERROR(__xludf.DUMMYFUNCTION("""COMPUTED_VALUE"""),"N")</f>
        <v>N</v>
      </c>
      <c r="F925" s="106" t="str">
        <f>IFERROR(__xludf.DUMMYFUNCTION("""COMPUTED_VALUE"""),"Win Lanka")</f>
        <v>Win Lanka</v>
      </c>
      <c r="G925" s="106" t="str">
        <f>IFERROR(__xludf.DUMMYFUNCTION("""COMPUTED_VALUE"""),"BE134651")</f>
        <v>BE134651</v>
      </c>
      <c r="H925" s="106" t="str">
        <f>IFERROR(__xludf.DUMMYFUNCTION("""COMPUTED_VALUE"""),"Re Deliver")</f>
        <v>Re Deliver</v>
      </c>
      <c r="I925" s="106" t="str">
        <f>IFERROR(__xludf.DUMMYFUNCTION("""COMPUTED_VALUE"""),"Wattala")</f>
        <v>Wattala</v>
      </c>
      <c r="J925" s="106" t="str">
        <f>IFERROR(__xludf.DUMMYFUNCTION("""COMPUTED_VALUE"""),"Returned To Branch Rescheduled")</f>
        <v>Returned To Branch Rescheduled</v>
      </c>
      <c r="K925" s="106" t="str">
        <f>IFERROR(__xludf.DUMMYFUNCTION("""COMPUTED_VALUE"""),"Customer Care")</f>
        <v>Customer Care</v>
      </c>
      <c r="L925" s="106" t="str">
        <f>IFERROR(__xludf.DUMMYFUNCTION("""COMPUTED_VALUE"""),"Done")</f>
        <v>Done</v>
      </c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>
      <c r="A926" s="82"/>
      <c r="B926" s="98" t="str">
        <f>IFERROR(__xludf.DUMMYFUNCTION("""COMPUTED_VALUE"""),"1202")</f>
        <v>1202</v>
      </c>
      <c r="C926" s="98" t="str">
        <f>IFERROR(__xludf.DUMMYFUNCTION("""COMPUTED_VALUE"""),"Umesha")</f>
        <v>Umesha</v>
      </c>
      <c r="D926" s="98" t="str">
        <f>IFERROR(__xludf.DUMMYFUNCTION("""COMPUTED_VALUE"""),"763757384")</f>
        <v>763757384</v>
      </c>
      <c r="E926" s="98" t="str">
        <f>IFERROR(__xludf.DUMMYFUNCTION("""COMPUTED_VALUE"""),"N")</f>
        <v>N</v>
      </c>
      <c r="F926" s="98" t="str">
        <f>IFERROR(__xludf.DUMMYFUNCTION("""COMPUTED_VALUE"""),"Nexwin")</f>
        <v>Nexwin</v>
      </c>
      <c r="G926" s="98" t="str">
        <f>IFERROR(__xludf.DUMMYFUNCTION("""COMPUTED_VALUE"""),"BE081169")</f>
        <v>BE081169</v>
      </c>
      <c r="H926" s="98" t="str">
        <f>IFERROR(__xludf.DUMMYFUNCTION("""COMPUTED_VALUE"""),"No Proper Details")</f>
        <v>No Proper Details</v>
      </c>
      <c r="I926" s="98" t="str">
        <f>IFERROR(__xludf.DUMMYFUNCTION("""COMPUTED_VALUE"""),"Ja-Ela")</f>
        <v>Ja-Ela</v>
      </c>
      <c r="J926" s="98" t="str">
        <f>IFERROR(__xludf.DUMMYFUNCTION("""COMPUTED_VALUE"""),"Received At Destination")</f>
        <v>Received At Destination</v>
      </c>
      <c r="K926" s="98" t="str">
        <f>IFERROR(__xludf.DUMMYFUNCTION("""COMPUTED_VALUE"""),"Branch Operations")</f>
        <v>Branch Operations</v>
      </c>
      <c r="L926" s="98" t="str">
        <f>IFERROR(__xludf.DUMMYFUNCTION("""COMPUTED_VALUE"""),"Informed Branch")</f>
        <v>Informed Branch</v>
      </c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>
      <c r="A927" s="82"/>
      <c r="B927" s="106" t="str">
        <f>IFERROR(__xludf.DUMMYFUNCTION("""COMPUTED_VALUE"""),"1203")</f>
        <v>1203</v>
      </c>
      <c r="C927" s="106" t="str">
        <f>IFERROR(__xludf.DUMMYFUNCTION("""COMPUTED_VALUE"""),"Mandari")</f>
        <v>Mandari</v>
      </c>
      <c r="D927" s="106" t="str">
        <f>IFERROR(__xludf.DUMMYFUNCTION("""COMPUTED_VALUE"""),"782354351")</f>
        <v>782354351</v>
      </c>
      <c r="E927" s="106" t="str">
        <f>IFERROR(__xludf.DUMMYFUNCTION("""COMPUTED_VALUE"""),"Y")</f>
        <v>Y</v>
      </c>
      <c r="F927" s="106" t="str">
        <f>IFERROR(__xludf.DUMMYFUNCTION("""COMPUTED_VALUE"""),"Ceyshopz")</f>
        <v>Ceyshopz</v>
      </c>
      <c r="G927" s="106" t="str">
        <f>IFERROR(__xludf.DUMMYFUNCTION("""COMPUTED_VALUE"""),"A4309144")</f>
        <v>A4309144</v>
      </c>
      <c r="H927" s="106" t="str">
        <f>IFERROR(__xludf.DUMMYFUNCTION("""COMPUTED_VALUE"""),"New Registration")</f>
        <v>New Registration</v>
      </c>
      <c r="I927" s="106" t="str">
        <f>IFERROR(__xludf.DUMMYFUNCTION("""COMPUTED_VALUE"""),"Wennappuwa")</f>
        <v>Wennappuwa</v>
      </c>
      <c r="J927" s="106" t="str">
        <f>IFERROR(__xludf.DUMMYFUNCTION("""COMPUTED_VALUE"""),"Received At Destination")</f>
        <v>Received At Destination</v>
      </c>
      <c r="K927" s="106" t="str">
        <f>IFERROR(__xludf.DUMMYFUNCTION("""COMPUTED_VALUE"""),"Customer Care")</f>
        <v>Customer Care</v>
      </c>
      <c r="L927" s="106" t="str">
        <f>IFERROR(__xludf.DUMMYFUNCTION("""COMPUTED_VALUE"""),"Informed Branch Number Via A Whatsapp")</f>
        <v>Informed Branch Number Via A Whatsapp</v>
      </c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>
      <c r="A928" s="82"/>
      <c r="B928" s="98" t="str">
        <f>IFERROR(__xludf.DUMMYFUNCTION("""COMPUTED_VALUE"""),"1204")</f>
        <v>1204</v>
      </c>
      <c r="C928" s="98" t="str">
        <f>IFERROR(__xludf.DUMMYFUNCTION("""COMPUTED_VALUE"""),"Jeni")</f>
        <v>Jeni</v>
      </c>
      <c r="D928" s="98" t="str">
        <f>IFERROR(__xludf.DUMMYFUNCTION("""COMPUTED_VALUE"""),"778694249")</f>
        <v>778694249</v>
      </c>
      <c r="E928" s="98" t="str">
        <f>IFERROR(__xludf.DUMMYFUNCTION("""COMPUTED_VALUE"""),"Y")</f>
        <v>Y</v>
      </c>
      <c r="F928" s="98" t="str">
        <f>IFERROR(__xludf.DUMMYFUNCTION("""COMPUTED_VALUE"""),"Janitha Kumari")</f>
        <v>Janitha Kumari</v>
      </c>
      <c r="G928" s="98" t="str">
        <f>IFERROR(__xludf.DUMMYFUNCTION("""COMPUTED_VALUE"""),"BD935969")</f>
        <v>BD935969</v>
      </c>
      <c r="H928" s="98" t="str">
        <f>IFERROR(__xludf.DUMMYFUNCTION("""COMPUTED_VALUE"""),"Re Deliver")</f>
        <v>Re Deliver</v>
      </c>
      <c r="I928" s="98" t="str">
        <f>IFERROR(__xludf.DUMMYFUNCTION("""COMPUTED_VALUE"""),"Nuwara Eliya")</f>
        <v>Nuwara Eliya</v>
      </c>
      <c r="J928" s="98" t="str">
        <f>IFERROR(__xludf.DUMMYFUNCTION("""COMPUTED_VALUE"""),"Delivered")</f>
        <v>Delivered</v>
      </c>
      <c r="K928" s="98" t="str">
        <f>IFERROR(__xludf.DUMMYFUNCTION("""COMPUTED_VALUE"""),"Branch Operations")</f>
        <v>Branch Operations</v>
      </c>
      <c r="L928" s="98" t="str">
        <f>IFERROR(__xludf.DUMMYFUNCTION("""COMPUTED_VALUE"""),"Disconnect")</f>
        <v>Disconnect</v>
      </c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>
      <c r="A929" s="82"/>
      <c r="B929" s="106" t="str">
        <f>IFERROR(__xludf.DUMMYFUNCTION("""COMPUTED_VALUE"""),"1205")</f>
        <v>1205</v>
      </c>
      <c r="C929" s="106" t="str">
        <f>IFERROR(__xludf.DUMMYFUNCTION("""COMPUTED_VALUE"""),"Jeni")</f>
        <v>Jeni</v>
      </c>
      <c r="D929" s="106" t="str">
        <f>IFERROR(__xludf.DUMMYFUNCTION("""COMPUTED_VALUE"""),"701017804")</f>
        <v>701017804</v>
      </c>
      <c r="E929" s="106" t="str">
        <f>IFERROR(__xludf.DUMMYFUNCTION("""COMPUTED_VALUE"""),"Y")</f>
        <v>Y</v>
      </c>
      <c r="F929" s="106" t="str">
        <f>IFERROR(__xludf.DUMMYFUNCTION("""COMPUTED_VALUE"""),"Elenorabyro")</f>
        <v>Elenorabyro</v>
      </c>
      <c r="G929" s="106" t="str">
        <f>IFERROR(__xludf.DUMMYFUNCTION("""COMPUTED_VALUE"""),"A3029315")</f>
        <v>A3029315</v>
      </c>
      <c r="H929" s="106" t="str">
        <f>IFERROR(__xludf.DUMMYFUNCTION("""COMPUTED_VALUE"""),"Ask Some Details")</f>
        <v>Ask Some Details</v>
      </c>
      <c r="I929" s="106" t="str">
        <f>IFERROR(__xludf.DUMMYFUNCTION("""COMPUTED_VALUE"""),"Trincomalee")</f>
        <v>Trincomalee</v>
      </c>
      <c r="J929" s="106" t="str">
        <f>IFERROR(__xludf.DUMMYFUNCTION("""COMPUTED_VALUE"""),"Received At Destination")</f>
        <v>Received At Destination</v>
      </c>
      <c r="K929" s="106" t="str">
        <f>IFERROR(__xludf.DUMMYFUNCTION("""COMPUTED_VALUE"""),"Recovery")</f>
        <v>Recovery</v>
      </c>
      <c r="L929" s="106" t="str">
        <f>IFERROR(__xludf.DUMMYFUNCTION("""COMPUTED_VALUE"""),"Given No")</f>
        <v>Given No</v>
      </c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>
      <c r="A930" s="82"/>
      <c r="B930" s="98" t="str">
        <f>IFERROR(__xludf.DUMMYFUNCTION("""COMPUTED_VALUE"""),"1206")</f>
        <v>1206</v>
      </c>
      <c r="C930" s="98" t="str">
        <f>IFERROR(__xludf.DUMMYFUNCTION("""COMPUTED_VALUE"""),"Mandari")</f>
        <v>Mandari</v>
      </c>
      <c r="D930" s="98" t="str">
        <f>IFERROR(__xludf.DUMMYFUNCTION("""COMPUTED_VALUE"""),"798763889")</f>
        <v>798763889</v>
      </c>
      <c r="E930" s="98" t="str">
        <f>IFERROR(__xludf.DUMMYFUNCTION("""COMPUTED_VALUE"""),"N")</f>
        <v>N</v>
      </c>
      <c r="F930" s="98" t="str">
        <f>IFERROR(__xludf.DUMMYFUNCTION("""COMPUTED_VALUE"""),"Kanro Enterprises")</f>
        <v>Kanro Enterprises</v>
      </c>
      <c r="G930" s="98" t="str">
        <f>IFERROR(__xludf.DUMMYFUNCTION("""COMPUTED_VALUE"""),"BE056181")</f>
        <v>BE056181</v>
      </c>
      <c r="H930" s="98" t="str">
        <f>IFERROR(__xludf.DUMMYFUNCTION("""COMPUTED_VALUE"""),"English Call")</f>
        <v>English Call</v>
      </c>
      <c r="I930" s="98" t="str">
        <f>IFERROR(__xludf.DUMMYFUNCTION("""COMPUTED_VALUE"""),"Polonnaruwa")</f>
        <v>Polonnaruwa</v>
      </c>
      <c r="J930" s="98" t="str">
        <f>IFERROR(__xludf.DUMMYFUNCTION("""COMPUTED_VALUE"""),"Returned To Branch Rescheduled")</f>
        <v>Returned To Branch Rescheduled</v>
      </c>
      <c r="K930" s="98" t="str">
        <f>IFERROR(__xludf.DUMMYFUNCTION("""COMPUTED_VALUE"""),"Branch Operations")</f>
        <v>Branch Operations</v>
      </c>
      <c r="L930" s="98" t="str">
        <f>IFERROR(__xludf.DUMMYFUNCTION("""COMPUTED_VALUE"""),"Done")</f>
        <v>Done</v>
      </c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>
      <c r="A931" s="82"/>
      <c r="B931" s="106" t="str">
        <f>IFERROR(__xludf.DUMMYFUNCTION("""COMPUTED_VALUE"""),"1207")</f>
        <v>1207</v>
      </c>
      <c r="C931" s="106" t="str">
        <f>IFERROR(__xludf.DUMMYFUNCTION("""COMPUTED_VALUE"""),"Jeni")</f>
        <v>Jeni</v>
      </c>
      <c r="D931" s="106" t="str">
        <f>IFERROR(__xludf.DUMMYFUNCTION("""COMPUTED_VALUE"""),"770536323")</f>
        <v>770536323</v>
      </c>
      <c r="E931" s="106" t="str">
        <f>IFERROR(__xludf.DUMMYFUNCTION("""COMPUTED_VALUE"""),"N")</f>
        <v>N</v>
      </c>
      <c r="F931" s="106" t="str">
        <f>IFERROR(__xludf.DUMMYFUNCTION("""COMPUTED_VALUE"""),"Sency Kids")</f>
        <v>Sency Kids</v>
      </c>
      <c r="G931" s="106" t="str">
        <f>IFERROR(__xludf.DUMMYFUNCTION("""COMPUTED_VALUE"""),"BE083066")</f>
        <v>BE083066</v>
      </c>
      <c r="H931" s="106" t="str">
        <f>IFERROR(__xludf.DUMMYFUNCTION("""COMPUTED_VALUE"""),"Re Deliver")</f>
        <v>Re Deliver</v>
      </c>
      <c r="I931" s="106" t="str">
        <f>IFERROR(__xludf.DUMMYFUNCTION("""COMPUTED_VALUE"""),"Embilipitiya")</f>
        <v>Embilipitiya</v>
      </c>
      <c r="J931" s="106" t="str">
        <f>IFERROR(__xludf.DUMMYFUNCTION("""COMPUTED_VALUE"""),"Returned To Branch Failed To Deliver")</f>
        <v>Returned To Branch Failed To Deliver</v>
      </c>
      <c r="K931" s="106" t="str">
        <f>IFERROR(__xludf.DUMMYFUNCTION("""COMPUTED_VALUE"""),"Customer Care")</f>
        <v>Customer Care</v>
      </c>
      <c r="L931" s="106" t="str">
        <f>IFERROR(__xludf.DUMMYFUNCTION("""COMPUTED_VALUE"""),"Informed Cline")</f>
        <v>Informed Cline</v>
      </c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>
      <c r="A932" s="82"/>
      <c r="B932" s="98" t="str">
        <f>IFERROR(__xludf.DUMMYFUNCTION("""COMPUTED_VALUE"""),"1208")</f>
        <v>1208</v>
      </c>
      <c r="C932" s="98" t="str">
        <f>IFERROR(__xludf.DUMMYFUNCTION("""COMPUTED_VALUE"""),"Mandari")</f>
        <v>Mandari</v>
      </c>
      <c r="D932" s="98" t="str">
        <f>IFERROR(__xludf.DUMMYFUNCTION("""COMPUTED_VALUE"""),"770536323")</f>
        <v>770536323</v>
      </c>
      <c r="E932" s="98" t="str">
        <f>IFERROR(__xludf.DUMMYFUNCTION("""COMPUTED_VALUE"""),"Y")</f>
        <v>Y</v>
      </c>
      <c r="F932" s="98" t="str">
        <f>IFERROR(__xludf.DUMMYFUNCTION("""COMPUTED_VALUE"""),"Pallet One")</f>
        <v>Pallet One</v>
      </c>
      <c r="G932" s="98" t="str">
        <f>IFERROR(__xludf.DUMMYFUNCTION("""COMPUTED_VALUE"""),"BE131495")</f>
        <v>BE131495</v>
      </c>
      <c r="H932" s="98" t="str">
        <f>IFERROR(__xludf.DUMMYFUNCTION("""COMPUTED_VALUE"""),"Top Urgent Today")</f>
        <v>Top Urgent Today</v>
      </c>
      <c r="I932" s="98" t="str">
        <f>IFERROR(__xludf.DUMMYFUNCTION("""COMPUTED_VALUE"""),"Embilipitiya")</f>
        <v>Embilipitiya</v>
      </c>
      <c r="J932" s="98" t="str">
        <f>IFERROR(__xludf.DUMMYFUNCTION("""COMPUTED_VALUE"""),"Dispatched To Destination")</f>
        <v>Dispatched To Destination</v>
      </c>
      <c r="K932" s="98" t="str">
        <f>IFERROR(__xludf.DUMMYFUNCTION("""COMPUTED_VALUE"""),"Branch Operations")</f>
        <v>Branch Operations</v>
      </c>
      <c r="L932" s="98" t="str">
        <f>IFERROR(__xludf.DUMMYFUNCTION("""COMPUTED_VALUE"""),"Informed Malik")</f>
        <v>Informed Malik</v>
      </c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>
      <c r="A933" s="82"/>
      <c r="B933" s="106" t="str">
        <f>IFERROR(__xludf.DUMMYFUNCTION("""COMPUTED_VALUE"""),"1209")</f>
        <v>1209</v>
      </c>
      <c r="C933" s="106" t="str">
        <f>IFERROR(__xludf.DUMMYFUNCTION("""COMPUTED_VALUE"""),"Jeni")</f>
        <v>Jeni</v>
      </c>
      <c r="D933" s="106" t="str">
        <f>IFERROR(__xludf.DUMMYFUNCTION("""COMPUTED_VALUE"""),"705130700")</f>
        <v>705130700</v>
      </c>
      <c r="E933" s="106" t="str">
        <f>IFERROR(__xludf.DUMMYFUNCTION("""COMPUTED_VALUE"""),"N")</f>
        <v>N</v>
      </c>
      <c r="F933" s="106" t="str">
        <f>IFERROR(__xludf.DUMMYFUNCTION("""COMPUTED_VALUE"""),"Uvi Cosmetics By Iresha")</f>
        <v>Uvi Cosmetics By Iresha</v>
      </c>
      <c r="G933" s="106" t="str">
        <f>IFERROR(__xludf.DUMMYFUNCTION("""COMPUTED_VALUE"""),"BD935969")</f>
        <v>BD935969</v>
      </c>
      <c r="H933" s="106" t="str">
        <f>IFERROR(__xludf.DUMMYFUNCTION("""COMPUTED_VALUE"""),"Arrange To Deliver Tomorrow / Top Urgant")</f>
        <v>Arrange To Deliver Tomorrow / Top Urgant</v>
      </c>
      <c r="I933" s="106" t="str">
        <f>IFERROR(__xludf.DUMMYFUNCTION("""COMPUTED_VALUE"""),"Colombo Metro")</f>
        <v>Colombo Metro</v>
      </c>
      <c r="J933" s="106" t="str">
        <f>IFERROR(__xludf.DUMMYFUNCTION("""COMPUTED_VALUE"""),"Returned To Client")</f>
        <v>Returned To Client</v>
      </c>
      <c r="K933" s="106" t="str">
        <f>IFERROR(__xludf.DUMMYFUNCTION("""COMPUTED_VALUE"""),"Branch Operations")</f>
        <v>Branch Operations</v>
      </c>
      <c r="L933" s="106" t="str">
        <f>IFERROR(__xludf.DUMMYFUNCTION("""COMPUTED_VALUE"""),"Call Transfer Jeni")</f>
        <v>Call Transfer Jeni</v>
      </c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>
      <c r="A934" s="82"/>
      <c r="B934" s="98" t="str">
        <f>IFERROR(__xludf.DUMMYFUNCTION("""COMPUTED_VALUE"""),"1210")</f>
        <v>1210</v>
      </c>
      <c r="C934" s="98" t="str">
        <f>IFERROR(__xludf.DUMMYFUNCTION("""COMPUTED_VALUE"""),"Umesha")</f>
        <v>Umesha</v>
      </c>
      <c r="D934" s="98" t="str">
        <f>IFERROR(__xludf.DUMMYFUNCTION("""COMPUTED_VALUE"""),"762064417")</f>
        <v>762064417</v>
      </c>
      <c r="E934" s="98" t="str">
        <f>IFERROR(__xludf.DUMMYFUNCTION("""COMPUTED_VALUE"""),"N")</f>
        <v>N</v>
      </c>
      <c r="F934" s="98" t="str">
        <f>IFERROR(__xludf.DUMMYFUNCTION("""COMPUTED_VALUE"""),"Faith Store")</f>
        <v>Faith Store</v>
      </c>
      <c r="G934" s="98" t="str">
        <f>IFERROR(__xludf.DUMMYFUNCTION("""COMPUTED_VALUE"""),"BE025902")</f>
        <v>BE025902</v>
      </c>
      <c r="H934" s="98" t="str">
        <f>IFERROR(__xludf.DUMMYFUNCTION("""COMPUTED_VALUE"""),"Urgent Today")</f>
        <v>Urgent Today</v>
      </c>
      <c r="I934" s="98" t="str">
        <f>IFERROR(__xludf.DUMMYFUNCTION("""COMPUTED_VALUE"""),"Wattala")</f>
        <v>Wattala</v>
      </c>
      <c r="J934" s="98" t="str">
        <f>IFERROR(__xludf.DUMMYFUNCTION("""COMPUTED_VALUE"""),"Delivered")</f>
        <v>Delivered</v>
      </c>
      <c r="K934" s="98" t="str">
        <f>IFERROR(__xludf.DUMMYFUNCTION("""COMPUTED_VALUE"""),"Customer Care")</f>
        <v>Customer Care</v>
      </c>
      <c r="L934" s="98" t="str">
        <f>IFERROR(__xludf.DUMMYFUNCTION("""COMPUTED_VALUE"""),"Informed")</f>
        <v>Informed</v>
      </c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>
      <c r="A935" s="82"/>
      <c r="B935" s="106" t="str">
        <f>IFERROR(__xludf.DUMMYFUNCTION("""COMPUTED_VALUE"""),"1211")</f>
        <v>1211</v>
      </c>
      <c r="C935" s="106" t="str">
        <f>IFERROR(__xludf.DUMMYFUNCTION("""COMPUTED_VALUE"""),"Mandari")</f>
        <v>Mandari</v>
      </c>
      <c r="D935" s="106" t="str">
        <f>IFERROR(__xludf.DUMMYFUNCTION("""COMPUTED_VALUE"""),"778101147")</f>
        <v>778101147</v>
      </c>
      <c r="E935" s="106" t="str">
        <f>IFERROR(__xludf.DUMMYFUNCTION("""COMPUTED_VALUE"""),"N")</f>
        <v>N</v>
      </c>
      <c r="F935" s="106" t="str">
        <f>IFERROR(__xludf.DUMMYFUNCTION("""COMPUTED_VALUE"""),"Kanro Enterprises")</f>
        <v>Kanro Enterprises</v>
      </c>
      <c r="G935" s="106" t="str">
        <f>IFERROR(__xludf.DUMMYFUNCTION("""COMPUTED_VALUE"""),"BE007011 ")</f>
        <v>BE007011 </v>
      </c>
      <c r="H935" s="106" t="str">
        <f>IFERROR(__xludf.DUMMYFUNCTION("""COMPUTED_VALUE"""),"Re Deliver")</f>
        <v>Re Deliver</v>
      </c>
      <c r="I935" s="106" t="str">
        <f>IFERROR(__xludf.DUMMYFUNCTION("""COMPUTED_VALUE"""),"Kuliyapitiya")</f>
        <v>Kuliyapitiya</v>
      </c>
      <c r="J935" s="106" t="str">
        <f>IFERROR(__xludf.DUMMYFUNCTION("""COMPUTED_VALUE"""),"Received At Destination")</f>
        <v>Received At Destination</v>
      </c>
      <c r="K935" s="106" t="str">
        <f>IFERROR(__xludf.DUMMYFUNCTION("""COMPUTED_VALUE"""),"Customer Care")</f>
        <v>Customer Care</v>
      </c>
      <c r="L935" s="106" t="str">
        <f>IFERROR(__xludf.DUMMYFUNCTION("""COMPUTED_VALUE"""),"Informed Deepika Genzo")</f>
        <v>Informed Deepika Genzo</v>
      </c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>
      <c r="A936" s="82"/>
      <c r="B936" s="98" t="str">
        <f>IFERROR(__xludf.DUMMYFUNCTION("""COMPUTED_VALUE"""),"1212")</f>
        <v>1212</v>
      </c>
      <c r="C936" s="98" t="str">
        <f>IFERROR(__xludf.DUMMYFUNCTION("""COMPUTED_VALUE"""),"Jeni")</f>
        <v>Jeni</v>
      </c>
      <c r="D936" s="98" t="str">
        <f>IFERROR(__xludf.DUMMYFUNCTION("""COMPUTED_VALUE"""),"797469998")</f>
        <v>797469998</v>
      </c>
      <c r="E936" s="98" t="str">
        <f>IFERROR(__xludf.DUMMYFUNCTION("""COMPUTED_VALUE"""),"N")</f>
        <v>N</v>
      </c>
      <c r="F936" s="98" t="str">
        <f>IFERROR(__xludf.DUMMYFUNCTION("""COMPUTED_VALUE"""),"Neth Fashion Clothing")</f>
        <v>Neth Fashion Clothing</v>
      </c>
      <c r="G936" s="98" t="str">
        <f>IFERROR(__xludf.DUMMYFUNCTION("""COMPUTED_VALUE"""),"BE081097")</f>
        <v>BE081097</v>
      </c>
      <c r="H936" s="98" t="str">
        <f>IFERROR(__xludf.DUMMYFUNCTION("""COMPUTED_VALUE"""),"Arrange To Deliver Today / Top Urgant")</f>
        <v>Arrange To Deliver Today / Top Urgant</v>
      </c>
      <c r="I936" s="98" t="str">
        <f>IFERROR(__xludf.DUMMYFUNCTION("""COMPUTED_VALUE"""),"Rajagiriya")</f>
        <v>Rajagiriya</v>
      </c>
      <c r="J936" s="98" t="str">
        <f>IFERROR(__xludf.DUMMYFUNCTION("""COMPUTED_VALUE"""),"Dispatched To Destination")</f>
        <v>Dispatched To Destination</v>
      </c>
      <c r="K936" s="98" t="str">
        <f>IFERROR(__xludf.DUMMYFUNCTION("""COMPUTED_VALUE"""),"Customer Care")</f>
        <v>Customer Care</v>
      </c>
      <c r="L936" s="98" t="str">
        <f>IFERROR(__xludf.DUMMYFUNCTION("""COMPUTED_VALUE"""),"Details Given")</f>
        <v>Details Given</v>
      </c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>
      <c r="A937" s="82"/>
      <c r="B937" s="106" t="str">
        <f>IFERROR(__xludf.DUMMYFUNCTION("""COMPUTED_VALUE"""),"1213")</f>
        <v>1213</v>
      </c>
      <c r="C937" s="106" t="str">
        <f>IFERROR(__xludf.DUMMYFUNCTION("""COMPUTED_VALUE"""),"Jeni")</f>
        <v>Jeni</v>
      </c>
      <c r="D937" s="106" t="str">
        <f>IFERROR(__xludf.DUMMYFUNCTION("""COMPUTED_VALUE"""),"776059873")</f>
        <v>776059873</v>
      </c>
      <c r="E937" s="106" t="str">
        <f>IFERROR(__xludf.DUMMYFUNCTION("""COMPUTED_VALUE"""),"N")</f>
        <v>N</v>
      </c>
      <c r="F937" s="106" t="str">
        <f>IFERROR(__xludf.DUMMYFUNCTION("""COMPUTED_VALUE"""),"Faith Store")</f>
        <v>Faith Store</v>
      </c>
      <c r="G937" s="106" t="str">
        <f>IFERROR(__xludf.DUMMYFUNCTION("""COMPUTED_VALUE"""),"BE083066")</f>
        <v>BE083066</v>
      </c>
      <c r="H937" s="106" t="str">
        <f>IFERROR(__xludf.DUMMYFUNCTION("""COMPUTED_VALUE"""),"Req Tamil Agent")</f>
        <v>Req Tamil Agent</v>
      </c>
      <c r="I937" s="106" t="str">
        <f>IFERROR(__xludf.DUMMYFUNCTION("""COMPUTED_VALUE"""),"Dambulla")</f>
        <v>Dambulla</v>
      </c>
      <c r="J937" s="106" t="str">
        <f>IFERROR(__xludf.DUMMYFUNCTION("""COMPUTED_VALUE"""),"Returned To Branch Rescheduled")</f>
        <v>Returned To Branch Rescheduled</v>
      </c>
      <c r="K937" s="106" t="str">
        <f>IFERROR(__xludf.DUMMYFUNCTION("""COMPUTED_VALUE"""),"Branch Operations")</f>
        <v>Branch Operations</v>
      </c>
      <c r="L937" s="106" t="str">
        <f>IFERROR(__xludf.DUMMYFUNCTION("""COMPUTED_VALUE"""),"Number Busy")</f>
        <v>Number Busy</v>
      </c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>
      <c r="A938" s="82"/>
      <c r="B938" s="98" t="str">
        <f>IFERROR(__xludf.DUMMYFUNCTION("""COMPUTED_VALUE"""),"1214")</f>
        <v>1214</v>
      </c>
      <c r="C938" s="98" t="str">
        <f>IFERROR(__xludf.DUMMYFUNCTION("""COMPUTED_VALUE"""),"Lakshani")</f>
        <v>Lakshani</v>
      </c>
      <c r="D938" s="98" t="str">
        <f>IFERROR(__xludf.DUMMYFUNCTION("""COMPUTED_VALUE"""),"765462824")</f>
        <v>765462824</v>
      </c>
      <c r="E938" s="98" t="str">
        <f>IFERROR(__xludf.DUMMYFUNCTION("""COMPUTED_VALUE"""),"N")</f>
        <v>N</v>
      </c>
      <c r="F938" s="108" t="str">
        <f>IFERROR(__xludf.DUMMYFUNCTION("""COMPUTED_VALUE"""),"Dominion.Lk")</f>
        <v>Dominion.Lk</v>
      </c>
      <c r="G938" s="98" t="str">
        <f>IFERROR(__xludf.DUMMYFUNCTION("""COMPUTED_VALUE"""),"90060089")</f>
        <v>90060089</v>
      </c>
      <c r="H938" s="98" t="str">
        <f>IFERROR(__xludf.DUMMYFUNCTION("""COMPUTED_VALUE"""),"Customer Receivede Empty Package")</f>
        <v>Customer Receivede Empty Package</v>
      </c>
      <c r="I938" s="98" t="str">
        <f>IFERROR(__xludf.DUMMYFUNCTION("""COMPUTED_VALUE"""),"Monaragala")</f>
        <v>Monaragala</v>
      </c>
      <c r="J938" s="98" t="str">
        <f>IFERROR(__xludf.DUMMYFUNCTION("""COMPUTED_VALUE"""),"Returned To Branch Rescheduled")</f>
        <v>Returned To Branch Rescheduled</v>
      </c>
      <c r="K938" s="98" t="str">
        <f>IFERROR(__xludf.DUMMYFUNCTION("""COMPUTED_VALUE"""),"Customer Care")</f>
        <v>Customer Care</v>
      </c>
      <c r="L938" s="98" t="str">
        <f>IFERROR(__xludf.DUMMYFUNCTION("""COMPUTED_VALUE"""),"Informed Domestic Department")</f>
        <v>Informed Domestic Department</v>
      </c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>
      <c r="A939" s="82"/>
      <c r="B939" s="106" t="str">
        <f>IFERROR(__xludf.DUMMYFUNCTION("""COMPUTED_VALUE"""),"1215")</f>
        <v>1215</v>
      </c>
      <c r="C939" s="106" t="str">
        <f>IFERROR(__xludf.DUMMYFUNCTION("""COMPUTED_VALUE"""),"Mandari")</f>
        <v>Mandari</v>
      </c>
      <c r="D939" s="106" t="str">
        <f>IFERROR(__xludf.DUMMYFUNCTION("""COMPUTED_VALUE"""),"770896992")</f>
        <v>770896992</v>
      </c>
      <c r="E939" s="106" t="str">
        <f>IFERROR(__xludf.DUMMYFUNCTION("""COMPUTED_VALUE"""),"N")</f>
        <v>N</v>
      </c>
      <c r="F939" s="106" t="str">
        <f>IFERROR(__xludf.DUMMYFUNCTION("""COMPUTED_VALUE"""),"Saku Fashion")</f>
        <v>Saku Fashion</v>
      </c>
      <c r="G939" s="106" t="str">
        <f>IFERROR(__xludf.DUMMYFUNCTION("""COMPUTED_VALUE"""),"A4432497")</f>
        <v>A4432497</v>
      </c>
      <c r="H939" s="106" t="str">
        <f>IFERROR(__xludf.DUMMYFUNCTION("""COMPUTED_VALUE"""),"Cod Amount Is 0.00")</f>
        <v>Cod Amount Is 0.00</v>
      </c>
      <c r="I939" s="106" t="str">
        <f>IFERROR(__xludf.DUMMYFUNCTION("""COMPUTED_VALUE"""),"Negombo")</f>
        <v>Negombo</v>
      </c>
      <c r="J939" s="106" t="str">
        <f>IFERROR(__xludf.DUMMYFUNCTION("""COMPUTED_VALUE"""),"Out For Delivery")</f>
        <v>Out For Delivery</v>
      </c>
      <c r="K939" s="106" t="str">
        <f>IFERROR(__xludf.DUMMYFUNCTION("""COMPUTED_VALUE"""),"Customer Care")</f>
        <v>Customer Care</v>
      </c>
      <c r="L939" s="106" t="str">
        <f>IFERROR(__xludf.DUMMYFUNCTION("""COMPUTED_VALUE"""),"Return Item")</f>
        <v>Return Item</v>
      </c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>
      <c r="A940" s="82"/>
      <c r="B940" s="98" t="str">
        <f>IFERROR(__xludf.DUMMYFUNCTION("""COMPUTED_VALUE"""),"1216")</f>
        <v>1216</v>
      </c>
      <c r="C940" s="98" t="str">
        <f>IFERROR(__xludf.DUMMYFUNCTION("""COMPUTED_VALUE"""),"Jeni")</f>
        <v>Jeni</v>
      </c>
      <c r="D940" s="98" t="str">
        <f>IFERROR(__xludf.DUMMYFUNCTION("""COMPUTED_VALUE"""),"784647837")</f>
        <v>784647837</v>
      </c>
      <c r="E940" s="98" t="str">
        <f>IFERROR(__xludf.DUMMYFUNCTION("""COMPUTED_VALUE"""),"N")</f>
        <v>N</v>
      </c>
      <c r="F940" s="98" t="str">
        <f>IFERROR(__xludf.DUMMYFUNCTION("""COMPUTED_VALUE"""),"Kw Holdings")</f>
        <v>Kw Holdings</v>
      </c>
      <c r="G940" s="98" t="str">
        <f>IFERROR(__xludf.DUMMYFUNCTION("""COMPUTED_VALUE"""),"A4702119")</f>
        <v>A4702119</v>
      </c>
      <c r="H940" s="98" t="str">
        <f>IFERROR(__xludf.DUMMYFUNCTION("""COMPUTED_VALUE"""),"Customer Want Return This Package")</f>
        <v>Customer Want Return This Package</v>
      </c>
      <c r="I940" s="98" t="str">
        <f>IFERROR(__xludf.DUMMYFUNCTION("""COMPUTED_VALUE"""),"Wennappuwa")</f>
        <v>Wennappuwa</v>
      </c>
      <c r="J940" s="98" t="str">
        <f>IFERROR(__xludf.DUMMYFUNCTION("""COMPUTED_VALUE"""),"Returned To Branch Rescheduled")</f>
        <v>Returned To Branch Rescheduled</v>
      </c>
      <c r="K940" s="98" t="str">
        <f>IFERROR(__xludf.DUMMYFUNCTION("""COMPUTED_VALUE"""),"Branch Operations")</f>
        <v>Branch Operations</v>
      </c>
      <c r="L940" s="98" t="str">
        <f>IFERROR(__xludf.DUMMYFUNCTION("""COMPUTED_VALUE"""),"Informed Branch")</f>
        <v>Informed Branch</v>
      </c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>
      <c r="A941" s="82"/>
      <c r="B941" s="106" t="str">
        <f>IFERROR(__xludf.DUMMYFUNCTION("""COMPUTED_VALUE"""),"1217")</f>
        <v>1217</v>
      </c>
      <c r="C941" s="106" t="str">
        <f>IFERROR(__xludf.DUMMYFUNCTION("""COMPUTED_VALUE"""),"Jeni")</f>
        <v>Jeni</v>
      </c>
      <c r="D941" s="106" t="str">
        <f>IFERROR(__xludf.DUMMYFUNCTION("""COMPUTED_VALUE"""),"759686432")</f>
        <v>759686432</v>
      </c>
      <c r="E941" s="106" t="str">
        <f>IFERROR(__xludf.DUMMYFUNCTION("""COMPUTED_VALUE"""),"N")</f>
        <v>N</v>
      </c>
      <c r="F941" s="106" t="str">
        <f>IFERROR(__xludf.DUMMYFUNCTION("""COMPUTED_VALUE"""),"Zeena")</f>
        <v>Zeena</v>
      </c>
      <c r="G941" s="106" t="str">
        <f>IFERROR(__xludf.DUMMYFUNCTION("""COMPUTED_VALUE"""),"A4309144")</f>
        <v>A4309144</v>
      </c>
      <c r="H941" s="106" t="str">
        <f>IFERROR(__xludf.DUMMYFUNCTION("""COMPUTED_VALUE"""),"Re Deliver")</f>
        <v>Re Deliver</v>
      </c>
      <c r="I941" s="106" t="str">
        <f>IFERROR(__xludf.DUMMYFUNCTION("""COMPUTED_VALUE"""),"Ratnapura")</f>
        <v>Ratnapura</v>
      </c>
      <c r="J941" s="106" t="str">
        <f>IFERROR(__xludf.DUMMYFUNCTION("""COMPUTED_VALUE"""),"Out For Delivery")</f>
        <v>Out For Delivery</v>
      </c>
      <c r="K941" s="106" t="str">
        <f>IFERROR(__xludf.DUMMYFUNCTION("""COMPUTED_VALUE"""),"Customer Care")</f>
        <v>Customer Care</v>
      </c>
      <c r="L941" s="106" t="str">
        <f>IFERROR(__xludf.DUMMYFUNCTION("""COMPUTED_VALUE"""),"Informed Client")</f>
        <v>Informed Client</v>
      </c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>
      <c r="A942" s="82"/>
      <c r="B942" s="98" t="str">
        <f>IFERROR(__xludf.DUMMYFUNCTION("""COMPUTED_VALUE"""),"1218")</f>
        <v>1218</v>
      </c>
      <c r="C942" s="98" t="str">
        <f>IFERROR(__xludf.DUMMYFUNCTION("""COMPUTED_VALUE"""),"Jeni")</f>
        <v>Jeni</v>
      </c>
      <c r="D942" s="98" t="str">
        <f>IFERROR(__xludf.DUMMYFUNCTION("""COMPUTED_VALUE"""),"750576743")</f>
        <v>750576743</v>
      </c>
      <c r="E942" s="98" t="str">
        <f>IFERROR(__xludf.DUMMYFUNCTION("""COMPUTED_VALUE"""),"N")</f>
        <v>N</v>
      </c>
      <c r="F942" s="108" t="str">
        <f>IFERROR(__xludf.DUMMYFUNCTION("""COMPUTED_VALUE"""),"Saleway.Lk")</f>
        <v>Saleway.Lk</v>
      </c>
      <c r="G942" s="98" t="str">
        <f>IFERROR(__xludf.DUMMYFUNCTION("""COMPUTED_VALUE"""),"BE072786")</f>
        <v>BE072786</v>
      </c>
      <c r="H942" s="98" t="str">
        <f>IFERROR(__xludf.DUMMYFUNCTION("""COMPUTED_VALUE"""),"Arrange To Deliver Today / Top Urgant")</f>
        <v>Arrange To Deliver Today / Top Urgant</v>
      </c>
      <c r="I942" s="98" t="str">
        <f>IFERROR(__xludf.DUMMYFUNCTION("""COMPUTED_VALUE"""),"Pilimathlawa")</f>
        <v>Pilimathlawa</v>
      </c>
      <c r="J942" s="98" t="str">
        <f>IFERROR(__xludf.DUMMYFUNCTION("""COMPUTED_VALUE"""),"Returned To Branch Rescheduled")</f>
        <v>Returned To Branch Rescheduled</v>
      </c>
      <c r="K942" s="98" t="str">
        <f>IFERROR(__xludf.DUMMYFUNCTION("""COMPUTED_VALUE"""),"Branch Operations")</f>
        <v>Branch Operations</v>
      </c>
      <c r="L942" s="98" t="str">
        <f>IFERROR(__xludf.DUMMYFUNCTION("""COMPUTED_VALUE"""),"Informed Branch")</f>
        <v>Informed Branch</v>
      </c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>
      <c r="A943" s="82"/>
      <c r="B943" s="106" t="str">
        <f>IFERROR(__xludf.DUMMYFUNCTION("""COMPUTED_VALUE"""),"1219")</f>
        <v>1219</v>
      </c>
      <c r="C943" s="106" t="str">
        <f>IFERROR(__xludf.DUMMYFUNCTION("""COMPUTED_VALUE"""),"Lakshani")</f>
        <v>Lakshani</v>
      </c>
      <c r="D943" s="106" t="str">
        <f>IFERROR(__xludf.DUMMYFUNCTION("""COMPUTED_VALUE"""),"727494566")</f>
        <v>727494566</v>
      </c>
      <c r="E943" s="106" t="str">
        <f>IFERROR(__xludf.DUMMYFUNCTION("""COMPUTED_VALUE"""),"N")</f>
        <v>N</v>
      </c>
      <c r="F943" s="106" t="str">
        <f>IFERROR(__xludf.DUMMYFUNCTION("""COMPUTED_VALUE"""),"Ceylon Ayura")</f>
        <v>Ceylon Ayura</v>
      </c>
      <c r="G943" s="106" t="str">
        <f>IFERROR(__xludf.DUMMYFUNCTION("""COMPUTED_VALUE"""),"A1106495")</f>
        <v>A1106495</v>
      </c>
      <c r="H943" s="106" t="str">
        <f>IFERROR(__xludf.DUMMYFUNCTION("""COMPUTED_VALUE"""),"Order Status")</f>
        <v>Order Status</v>
      </c>
      <c r="I943" s="106" t="str">
        <f>IFERROR(__xludf.DUMMYFUNCTION("""COMPUTED_VALUE"""),"Kegalle")</f>
        <v>Kegalle</v>
      </c>
      <c r="J943" s="106" t="str">
        <f>IFERROR(__xludf.DUMMYFUNCTION("""COMPUTED_VALUE"""),"Returned To Branch Failed To Deliver")</f>
        <v>Returned To Branch Failed To Deliver</v>
      </c>
      <c r="K943" s="106" t="str">
        <f>IFERROR(__xludf.DUMMYFUNCTION("""COMPUTED_VALUE"""),"Branch Operations")</f>
        <v>Branch Operations</v>
      </c>
      <c r="L943" s="106" t="str">
        <f>IFERROR(__xludf.DUMMYFUNCTION("""COMPUTED_VALUE"""),"Tranfer Cll")</f>
        <v>Tranfer Cll</v>
      </c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>
      <c r="A944" s="82"/>
      <c r="B944" s="98" t="str">
        <f>IFERROR(__xludf.DUMMYFUNCTION("""COMPUTED_VALUE"""),"1220")</f>
        <v>1220</v>
      </c>
      <c r="C944" s="98" t="str">
        <f>IFERROR(__xludf.DUMMYFUNCTION("""COMPUTED_VALUE"""),"Umesha")</f>
        <v>Umesha</v>
      </c>
      <c r="D944" s="98" t="str">
        <f>IFERROR(__xludf.DUMMYFUNCTION("""COMPUTED_VALUE"""),"750850157")</f>
        <v>750850157</v>
      </c>
      <c r="E944" s="98" t="str">
        <f>IFERROR(__xludf.DUMMYFUNCTION("""COMPUTED_VALUE"""),"Y")</f>
        <v>Y</v>
      </c>
      <c r="F944" s="108" t="str">
        <f>IFERROR(__xludf.DUMMYFUNCTION("""COMPUTED_VALUE"""),"Primex.Lk")</f>
        <v>Primex.Lk</v>
      </c>
      <c r="G944" s="98" t="str">
        <f>IFERROR(__xludf.DUMMYFUNCTION("""COMPUTED_VALUE"""),"A3698540")</f>
        <v>A3698540</v>
      </c>
      <c r="H944" s="98" t="str">
        <f>IFERROR(__xludf.DUMMYFUNCTION("""COMPUTED_VALUE"""),"New Register")</f>
        <v>New Register</v>
      </c>
      <c r="I944" s="98" t="str">
        <f>IFERROR(__xludf.DUMMYFUNCTION("""COMPUTED_VALUE"""),"Negombo")</f>
        <v>Negombo</v>
      </c>
      <c r="J944" s="98" t="str">
        <f>IFERROR(__xludf.DUMMYFUNCTION("""COMPUTED_VALUE"""),"Out For Delivery")</f>
        <v>Out For Delivery</v>
      </c>
      <c r="K944" s="98" t="str">
        <f>IFERROR(__xludf.DUMMYFUNCTION("""COMPUTED_VALUE"""),"Customer Care")</f>
        <v>Customer Care</v>
      </c>
      <c r="L944" s="98" t="str">
        <f>IFERROR(__xludf.DUMMYFUNCTION("""COMPUTED_VALUE"""),"Informed Genzo Team")</f>
        <v>Informed Genzo Team</v>
      </c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>
      <c r="A945" s="82"/>
      <c r="B945" s="106" t="str">
        <f>IFERROR(__xludf.DUMMYFUNCTION("""COMPUTED_VALUE"""),"1221")</f>
        <v>1221</v>
      </c>
      <c r="C945" s="106" t="str">
        <f>IFERROR(__xludf.DUMMYFUNCTION("""COMPUTED_VALUE"""),"Jeni")</f>
        <v>Jeni</v>
      </c>
      <c r="D945" s="106" t="str">
        <f>IFERROR(__xludf.DUMMYFUNCTION("""COMPUTED_VALUE"""),"710757047")</f>
        <v>710757047</v>
      </c>
      <c r="E945" s="106" t="str">
        <f>IFERROR(__xludf.DUMMYFUNCTION("""COMPUTED_VALUE"""),"Y")</f>
        <v>Y</v>
      </c>
      <c r="F945" s="106" t="str">
        <f>IFERROR(__xludf.DUMMYFUNCTION("""COMPUTED_VALUE"""),"Dona Shireen")</f>
        <v>Dona Shireen</v>
      </c>
      <c r="G945" s="106" t="str">
        <f>IFERROR(__xludf.DUMMYFUNCTION("""COMPUTED_VALUE"""),"BA766368")</f>
        <v>BA766368</v>
      </c>
      <c r="H945" s="106" t="str">
        <f>IFERROR(__xludf.DUMMYFUNCTION("""COMPUTED_VALUE"""),"Arrange The Package")</f>
        <v>Arrange The Package</v>
      </c>
      <c r="I945" s="106" t="str">
        <f>IFERROR(__xludf.DUMMYFUNCTION("""COMPUTED_VALUE"""),"Nuwara Eliya")</f>
        <v>Nuwara Eliya</v>
      </c>
      <c r="J945" s="106" t="str">
        <f>IFERROR(__xludf.DUMMYFUNCTION("""COMPUTED_VALUE"""),"Returned To Branch Failed To Deliver")</f>
        <v>Returned To Branch Failed To Deliver</v>
      </c>
      <c r="K945" s="106" t="str">
        <f>IFERROR(__xludf.DUMMYFUNCTION("""COMPUTED_VALUE"""),"Branch Operations")</f>
        <v>Branch Operations</v>
      </c>
      <c r="L945" s="106" t="str">
        <f>IFERROR(__xludf.DUMMYFUNCTION("""COMPUTED_VALUE"""),"Informed Branch")</f>
        <v>Informed Branch</v>
      </c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>
      <c r="A946" s="82"/>
      <c r="B946" s="98" t="str">
        <f>IFERROR(__xludf.DUMMYFUNCTION("""COMPUTED_VALUE"""),"1222")</f>
        <v>1222</v>
      </c>
      <c r="C946" s="98" t="str">
        <f>IFERROR(__xludf.DUMMYFUNCTION("""COMPUTED_VALUE"""),"Umesha")</f>
        <v>Umesha</v>
      </c>
      <c r="D946" s="98" t="str">
        <f>IFERROR(__xludf.DUMMYFUNCTION("""COMPUTED_VALUE"""),"777610615")</f>
        <v>777610615</v>
      </c>
      <c r="E946" s="98" t="str">
        <f>IFERROR(__xludf.DUMMYFUNCTION("""COMPUTED_VALUE"""),"Y")</f>
        <v>Y</v>
      </c>
      <c r="F946" s="98" t="str">
        <f>IFERROR(__xludf.DUMMYFUNCTION("""COMPUTED_VALUE"""),"Kw Holdings")</f>
        <v>Kw Holdings</v>
      </c>
      <c r="G946" s="98" t="str">
        <f>IFERROR(__xludf.DUMMYFUNCTION("""COMPUTED_VALUE"""),"BE131495")</f>
        <v>BE131495</v>
      </c>
      <c r="H946" s="98" t="str">
        <f>IFERROR(__xludf.DUMMYFUNCTION("""COMPUTED_VALUE"""),"Arrange To Deliver Today /Top Urgent")</f>
        <v>Arrange To Deliver Today /Top Urgent</v>
      </c>
      <c r="I946" s="98" t="str">
        <f>IFERROR(__xludf.DUMMYFUNCTION("""COMPUTED_VALUE"""),"Ambalangoda")</f>
        <v>Ambalangoda</v>
      </c>
      <c r="J946" s="98" t="str">
        <f>IFERROR(__xludf.DUMMYFUNCTION("""COMPUTED_VALUE"""),"Returned To Branch Failed To Deliver")</f>
        <v>Returned To Branch Failed To Deliver</v>
      </c>
      <c r="K946" s="98" t="str">
        <f>IFERROR(__xludf.DUMMYFUNCTION("""COMPUTED_VALUE"""),"Customer Care")</f>
        <v>Customer Care</v>
      </c>
      <c r="L946" s="98" t="str">
        <f>IFERROR(__xludf.DUMMYFUNCTION("""COMPUTED_VALUE"""),"Marketing Department Number Given")</f>
        <v>Marketing Department Number Given</v>
      </c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>
      <c r="A947" s="82"/>
      <c r="B947" s="106" t="str">
        <f>IFERROR(__xludf.DUMMYFUNCTION("""COMPUTED_VALUE"""),"1223")</f>
        <v>1223</v>
      </c>
      <c r="C947" s="106" t="str">
        <f>IFERROR(__xludf.DUMMYFUNCTION("""COMPUTED_VALUE"""),"Mandari")</f>
        <v>Mandari</v>
      </c>
      <c r="D947" s="106" t="str">
        <f>IFERROR(__xludf.DUMMYFUNCTION("""COMPUTED_VALUE"""),"761106948")</f>
        <v>761106948</v>
      </c>
      <c r="E947" s="106" t="str">
        <f>IFERROR(__xludf.DUMMYFUNCTION("""COMPUTED_VALUE"""),"N")</f>
        <v>N</v>
      </c>
      <c r="F947" s="106" t="str">
        <f>IFERROR(__xludf.DUMMYFUNCTION("""COMPUTED_VALUE"""),"Aurex Core")</f>
        <v>Aurex Core</v>
      </c>
      <c r="G947" s="106" t="str">
        <f>IFERROR(__xludf.DUMMYFUNCTION("""COMPUTED_VALUE"""),"A1124299")</f>
        <v>A1124299</v>
      </c>
      <c r="H947" s="106" t="str">
        <f>IFERROR(__xludf.DUMMYFUNCTION("""COMPUTED_VALUE"""),"Didn'T Know The Tracking Number")</f>
        <v>Didn'T Know The Tracking Number</v>
      </c>
      <c r="I947" s="106" t="str">
        <f>IFERROR(__xludf.DUMMYFUNCTION("""COMPUTED_VALUE"""),"Rajagiriya")</f>
        <v>Rajagiriya</v>
      </c>
      <c r="J947" s="106" t="str">
        <f>IFERROR(__xludf.DUMMYFUNCTION("""COMPUTED_VALUE"""),"Returned To Branch Rescheduled")</f>
        <v>Returned To Branch Rescheduled</v>
      </c>
      <c r="K947" s="106" t="str">
        <f>IFERROR(__xludf.DUMMYFUNCTION("""COMPUTED_VALUE"""),"Domestic")</f>
        <v>Domestic</v>
      </c>
      <c r="L947" s="106" t="str">
        <f>IFERROR(__xludf.DUMMYFUNCTION("""COMPUTED_VALUE"""),"Return Item")</f>
        <v>Return Item</v>
      </c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>
      <c r="A948" s="82"/>
      <c r="B948" s="98" t="str">
        <f>IFERROR(__xludf.DUMMYFUNCTION("""COMPUTED_VALUE"""),"1224")</f>
        <v>1224</v>
      </c>
      <c r="C948" s="98" t="str">
        <f>IFERROR(__xludf.DUMMYFUNCTION("""COMPUTED_VALUE"""),"Lakshani")</f>
        <v>Lakshani</v>
      </c>
      <c r="D948" s="98" t="str">
        <f>IFERROR(__xludf.DUMMYFUNCTION("""COMPUTED_VALUE"""),"725541243")</f>
        <v>725541243</v>
      </c>
      <c r="E948" s="98" t="str">
        <f>IFERROR(__xludf.DUMMYFUNCTION("""COMPUTED_VALUE"""),"N")</f>
        <v>N</v>
      </c>
      <c r="F948" s="98" t="str">
        <f>IFERROR(__xludf.DUMMYFUNCTION("""COMPUTED_VALUE"""),"Veerasundara")</f>
        <v>Veerasundara</v>
      </c>
      <c r="G948" s="98" t="str">
        <f>IFERROR(__xludf.DUMMYFUNCTION("""COMPUTED_VALUE"""),"BE083066")</f>
        <v>BE083066</v>
      </c>
      <c r="H948" s="98" t="str">
        <f>IFERROR(__xludf.DUMMYFUNCTION("""COMPUTED_VALUE"""),"Some Details / Delivery")</f>
        <v>Some Details / Delivery</v>
      </c>
      <c r="I948" s="98" t="str">
        <f>IFERROR(__xludf.DUMMYFUNCTION("""COMPUTED_VALUE"""),"Mahiyanganaya")</f>
        <v>Mahiyanganaya</v>
      </c>
      <c r="J948" s="98" t="str">
        <f>IFERROR(__xludf.DUMMYFUNCTION("""COMPUTED_VALUE"""),"Returned To Branch Rescheduled")</f>
        <v>Returned To Branch Rescheduled</v>
      </c>
      <c r="K948" s="98" t="str">
        <f>IFERROR(__xludf.DUMMYFUNCTION("""COMPUTED_VALUE"""),"Branch Operations")</f>
        <v>Branch Operations</v>
      </c>
      <c r="L948" s="98" t="str">
        <f>IFERROR(__xludf.DUMMYFUNCTION("""COMPUTED_VALUE"""),"Return Item")</f>
        <v>Return Item</v>
      </c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>
      <c r="A949" s="82"/>
      <c r="B949" s="106" t="str">
        <f>IFERROR(__xludf.DUMMYFUNCTION("""COMPUTED_VALUE"""),"1225")</f>
        <v>1225</v>
      </c>
      <c r="C949" s="106" t="str">
        <f>IFERROR(__xludf.DUMMYFUNCTION("""COMPUTED_VALUE"""),"Umesha")</f>
        <v>Umesha</v>
      </c>
      <c r="D949" s="106" t="str">
        <f>IFERROR(__xludf.DUMMYFUNCTION("""COMPUTED_VALUE"""),"701900577")</f>
        <v>701900577</v>
      </c>
      <c r="E949" s="106" t="str">
        <f>IFERROR(__xludf.DUMMYFUNCTION("""COMPUTED_VALUE"""),"Y")</f>
        <v>Y</v>
      </c>
      <c r="F949" s="106" t="str">
        <f>IFERROR(__xludf.DUMMYFUNCTION("""COMPUTED_VALUE"""),"Kw Holdings")</f>
        <v>Kw Holdings</v>
      </c>
      <c r="G949" s="106" t="str">
        <f>IFERROR(__xludf.DUMMYFUNCTION("""COMPUTED_VALUE"""),"A4584065")</f>
        <v>A4584065</v>
      </c>
      <c r="H949" s="106" t="str">
        <f>IFERROR(__xludf.DUMMYFUNCTION("""COMPUTED_VALUE"""),"Arrange To Deliver Today / Top Urgant")</f>
        <v>Arrange To Deliver Today / Top Urgant</v>
      </c>
      <c r="I949" s="106" t="str">
        <f>IFERROR(__xludf.DUMMYFUNCTION("""COMPUTED_VALUE"""),"Colombo Metro")</f>
        <v>Colombo Metro</v>
      </c>
      <c r="J949" s="106" t="str">
        <f>IFERROR(__xludf.DUMMYFUNCTION("""COMPUTED_VALUE"""),"Returned To Branch Rescheduled")</f>
        <v>Returned To Branch Rescheduled</v>
      </c>
      <c r="K949" s="106" t="str">
        <f>IFERROR(__xludf.DUMMYFUNCTION("""COMPUTED_VALUE"""),"Branch Operations")</f>
        <v>Branch Operations</v>
      </c>
      <c r="L949" s="106" t="str">
        <f>IFERROR(__xludf.DUMMYFUNCTION("""COMPUTED_VALUE"""),"Check And Call Back")</f>
        <v>Check And Call Back</v>
      </c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>
      <c r="A950" s="82"/>
      <c r="B950" s="98" t="str">
        <f>IFERROR(__xludf.DUMMYFUNCTION("""COMPUTED_VALUE"""),"1226")</f>
        <v>1226</v>
      </c>
      <c r="C950" s="98" t="str">
        <f>IFERROR(__xludf.DUMMYFUNCTION("""COMPUTED_VALUE"""),"Mandari")</f>
        <v>Mandari</v>
      </c>
      <c r="D950" s="98" t="str">
        <f>IFERROR(__xludf.DUMMYFUNCTION("""COMPUTED_VALUE"""),"768046805")</f>
        <v>768046805</v>
      </c>
      <c r="E950" s="98" t="str">
        <f>IFERROR(__xludf.DUMMYFUNCTION("""COMPUTED_VALUE"""),"Y")</f>
        <v>Y</v>
      </c>
      <c r="F950" s="98" t="str">
        <f>IFERROR(__xludf.DUMMYFUNCTION("""COMPUTED_VALUE"""),"Winpro Holdings")</f>
        <v>Winpro Holdings</v>
      </c>
      <c r="G950" s="98" t="str">
        <f>IFERROR(__xludf.DUMMYFUNCTION("""COMPUTED_VALUE"""),"BE056181")</f>
        <v>BE056181</v>
      </c>
      <c r="H950" s="98" t="str">
        <f>IFERROR(__xludf.DUMMYFUNCTION("""COMPUTED_VALUE"""),"Arrange To Deliver Today / Top Urgant")</f>
        <v>Arrange To Deliver Today / Top Urgant</v>
      </c>
      <c r="I950" s="98" t="str">
        <f>IFERROR(__xludf.DUMMYFUNCTION("""COMPUTED_VALUE"""),"Negombo")</f>
        <v>Negombo</v>
      </c>
      <c r="J950" s="98" t="str">
        <f>IFERROR(__xludf.DUMMYFUNCTION("""COMPUTED_VALUE"""),"Received At Destination")</f>
        <v>Received At Destination</v>
      </c>
      <c r="K950" s="98" t="str">
        <f>IFERROR(__xludf.DUMMYFUNCTION("""COMPUTED_VALUE"""),"Customer Care")</f>
        <v>Customer Care</v>
      </c>
      <c r="L950" s="98" t="str">
        <f>IFERROR(__xludf.DUMMYFUNCTION("""COMPUTED_VALUE"""),"Informed Branch")</f>
        <v>Informed Branch</v>
      </c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>
      <c r="A951" s="82"/>
      <c r="B951" s="106" t="str">
        <f>IFERROR(__xludf.DUMMYFUNCTION("""COMPUTED_VALUE"""),"1227")</f>
        <v>1227</v>
      </c>
      <c r="C951" s="106" t="str">
        <f>IFERROR(__xludf.DUMMYFUNCTION("""COMPUTED_VALUE"""),"Umesha")</f>
        <v>Umesha</v>
      </c>
      <c r="D951" s="106" t="str">
        <f>IFERROR(__xludf.DUMMYFUNCTION("""COMPUTED_VALUE"""),"768804852")</f>
        <v>768804852</v>
      </c>
      <c r="E951" s="106" t="str">
        <f>IFERROR(__xludf.DUMMYFUNCTION("""COMPUTED_VALUE"""),"Y")</f>
        <v>Y</v>
      </c>
      <c r="F951" s="106" t="str">
        <f>IFERROR(__xludf.DUMMYFUNCTION("""COMPUTED_VALUE"""),"72 244 8617")</f>
        <v>72 244 8617</v>
      </c>
      <c r="G951" s="106" t="str">
        <f>IFERROR(__xludf.DUMMYFUNCTION("""COMPUTED_VALUE"""),"BE100437")</f>
        <v>BE100437</v>
      </c>
      <c r="H951" s="106" t="str">
        <f>IFERROR(__xludf.DUMMYFUNCTION("""COMPUTED_VALUE"""),"Re Delivery")</f>
        <v>Re Delivery</v>
      </c>
      <c r="I951" s="106" t="str">
        <f>IFERROR(__xludf.DUMMYFUNCTION("""COMPUTED_VALUE"""),"Kalutara")</f>
        <v>Kalutara</v>
      </c>
      <c r="J951" s="106" t="str">
        <f>IFERROR(__xludf.DUMMYFUNCTION("""COMPUTED_VALUE"""),"Returned To Branch Rescheduled")</f>
        <v>Returned To Branch Rescheduled</v>
      </c>
      <c r="K951" s="106" t="str">
        <f>IFERROR(__xludf.DUMMYFUNCTION("""COMPUTED_VALUE"""),"Branch Operations")</f>
        <v>Branch Operations</v>
      </c>
      <c r="L951" s="106" t="str">
        <f>IFERROR(__xludf.DUMMYFUNCTION("""COMPUTED_VALUE"""),"Already Returned Order")</f>
        <v>Already Returned Order</v>
      </c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>
      <c r="A952" s="82"/>
      <c r="B952" s="98" t="str">
        <f>IFERROR(__xludf.DUMMYFUNCTION("""COMPUTED_VALUE"""),"1228")</f>
        <v>1228</v>
      </c>
      <c r="C952" s="98" t="str">
        <f>IFERROR(__xludf.DUMMYFUNCTION("""COMPUTED_VALUE"""),"Mandari")</f>
        <v>Mandari</v>
      </c>
      <c r="D952" s="98" t="str">
        <f>IFERROR(__xludf.DUMMYFUNCTION("""COMPUTED_VALUE"""),"762584307")</f>
        <v>762584307</v>
      </c>
      <c r="E952" s="98" t="str">
        <f>IFERROR(__xludf.DUMMYFUNCTION("""COMPUTED_VALUE"""),"N")</f>
        <v>N</v>
      </c>
      <c r="F952" s="98" t="str">
        <f>IFERROR(__xludf.DUMMYFUNCTION("""COMPUTED_VALUE"""),"Senik Cushion Works")</f>
        <v>Senik Cushion Works</v>
      </c>
      <c r="G952" s="98" t="str">
        <f>IFERROR(__xludf.DUMMYFUNCTION("""COMPUTED_VALUE"""),"BD902615")</f>
        <v>BD902615</v>
      </c>
      <c r="H952" s="98" t="str">
        <f>IFERROR(__xludf.DUMMYFUNCTION("""COMPUTED_VALUE"""),"Tamil Call")</f>
        <v>Tamil Call</v>
      </c>
      <c r="I952" s="98" t="str">
        <f>IFERROR(__xludf.DUMMYFUNCTION("""COMPUTED_VALUE"""),"Wattala")</f>
        <v>Wattala</v>
      </c>
      <c r="J952" s="98" t="str">
        <f>IFERROR(__xludf.DUMMYFUNCTION("""COMPUTED_VALUE"""),"Received At Destination")</f>
        <v>Received At Destination</v>
      </c>
      <c r="K952" s="98" t="str">
        <f>IFERROR(__xludf.DUMMYFUNCTION("""COMPUTED_VALUE"""),"Branch Operations")</f>
        <v>Branch Operations</v>
      </c>
      <c r="L952" s="98" t="str">
        <f>IFERROR(__xludf.DUMMYFUNCTION("""COMPUTED_VALUE"""),"Informed Branch")</f>
        <v>Informed Branch</v>
      </c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>
      <c r="A953" s="82"/>
      <c r="B953" s="106" t="str">
        <f>IFERROR(__xludf.DUMMYFUNCTION("""COMPUTED_VALUE"""),"1229")</f>
        <v>1229</v>
      </c>
      <c r="C953" s="106" t="str">
        <f>IFERROR(__xludf.DUMMYFUNCTION("""COMPUTED_VALUE"""),"Lakshani")</f>
        <v>Lakshani</v>
      </c>
      <c r="D953" s="106" t="str">
        <f>IFERROR(__xludf.DUMMYFUNCTION("""COMPUTED_VALUE"""),"774306540")</f>
        <v>774306540</v>
      </c>
      <c r="E953" s="106" t="str">
        <f>IFERROR(__xludf.DUMMYFUNCTION("""COMPUTED_VALUE"""),"N")</f>
        <v>N</v>
      </c>
      <c r="F953" s="106" t="str">
        <f>IFERROR(__xludf.DUMMYFUNCTION("""COMPUTED_VALUE"""),"P &amp; S Help Investment Pvt(Ltd)")</f>
        <v>P &amp; S Help Investment Pvt(Ltd)</v>
      </c>
      <c r="G953" s="106" t="str">
        <f>IFERROR(__xludf.DUMMYFUNCTION("""COMPUTED_VALUE"""),"A4202033")</f>
        <v>A4202033</v>
      </c>
      <c r="H953" s="106" t="str">
        <f>IFERROR(__xludf.DUMMYFUNCTION("""COMPUTED_VALUE"""),"Arrange To Deliver Today")</f>
        <v>Arrange To Deliver Today</v>
      </c>
      <c r="I953" s="106" t="str">
        <f>IFERROR(__xludf.DUMMYFUNCTION("""COMPUTED_VALUE"""),"Dambulla")</f>
        <v>Dambulla</v>
      </c>
      <c r="J953" s="106" t="str">
        <f>IFERROR(__xludf.DUMMYFUNCTION("""COMPUTED_VALUE"""),"Delivered")</f>
        <v>Delivered</v>
      </c>
      <c r="K953" s="106" t="str">
        <f>IFERROR(__xludf.DUMMYFUNCTION("""COMPUTED_VALUE"""),"Branch Operations")</f>
        <v>Branch Operations</v>
      </c>
      <c r="L953" s="106" t="str">
        <f>IFERROR(__xludf.DUMMYFUNCTION("""COMPUTED_VALUE"""),"Informed Malik")</f>
        <v>Informed Malik</v>
      </c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>
      <c r="A954" s="82"/>
      <c r="B954" s="98" t="str">
        <f>IFERROR(__xludf.DUMMYFUNCTION("""COMPUTED_VALUE"""),"1230")</f>
        <v>1230</v>
      </c>
      <c r="C954" s="98" t="str">
        <f>IFERROR(__xludf.DUMMYFUNCTION("""COMPUTED_VALUE"""),"Jeni")</f>
        <v>Jeni</v>
      </c>
      <c r="D954" s="98" t="str">
        <f>IFERROR(__xludf.DUMMYFUNCTION("""COMPUTED_VALUE"""),"776059873")</f>
        <v>776059873</v>
      </c>
      <c r="E954" s="98" t="str">
        <f>IFERROR(__xludf.DUMMYFUNCTION("""COMPUTED_VALUE"""),"N")</f>
        <v>N</v>
      </c>
      <c r="F954" s="98" t="str">
        <f>IFERROR(__xludf.DUMMYFUNCTION("""COMPUTED_VALUE"""),"Wasana Nishpadana")</f>
        <v>Wasana Nishpadana</v>
      </c>
      <c r="G954" s="98" t="str">
        <f>IFERROR(__xludf.DUMMYFUNCTION("""COMPUTED_VALUE"""),"BE072786")</f>
        <v>BE072786</v>
      </c>
      <c r="H954" s="98" t="str">
        <f>IFERROR(__xludf.DUMMYFUNCTION("""COMPUTED_VALUE"""),"Order Status")</f>
        <v>Order Status</v>
      </c>
      <c r="I954" s="98" t="str">
        <f>IFERROR(__xludf.DUMMYFUNCTION("""COMPUTED_VALUE"""),"Kuliyapitiya")</f>
        <v>Kuliyapitiya</v>
      </c>
      <c r="J954" s="98" t="str">
        <f>IFERROR(__xludf.DUMMYFUNCTION("""COMPUTED_VALUE"""),"Returned To Branch Rescheduled")</f>
        <v>Returned To Branch Rescheduled</v>
      </c>
      <c r="K954" s="98" t="str">
        <f>IFERROR(__xludf.DUMMYFUNCTION("""COMPUTED_VALUE"""),"Customer Care")</f>
        <v>Customer Care</v>
      </c>
      <c r="L954" s="98" t="str">
        <f>IFERROR(__xludf.DUMMYFUNCTION("""COMPUTED_VALUE"""),"Disconected The Line")</f>
        <v>Disconected The Line</v>
      </c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>
      <c r="A955" s="82"/>
      <c r="B955" s="106" t="str">
        <f>IFERROR(__xludf.DUMMYFUNCTION("""COMPUTED_VALUE"""),"1231")</f>
        <v>1231</v>
      </c>
      <c r="C955" s="106" t="str">
        <f>IFERROR(__xludf.DUMMYFUNCTION("""COMPUTED_VALUE"""),"Jeni")</f>
        <v>Jeni</v>
      </c>
      <c r="D955" s="106" t="str">
        <f>IFERROR(__xludf.DUMMYFUNCTION("""COMPUTED_VALUE"""),"723861538")</f>
        <v>723861538</v>
      </c>
      <c r="E955" s="106" t="str">
        <f>IFERROR(__xludf.DUMMYFUNCTION("""COMPUTED_VALUE"""),"Y")</f>
        <v>Y</v>
      </c>
      <c r="F955" s="106" t="str">
        <f>IFERROR(__xludf.DUMMYFUNCTION("""COMPUTED_VALUE"""),"Mona'S Closet")</f>
        <v>Mona'S Closet</v>
      </c>
      <c r="G955" s="106" t="str">
        <f>IFERROR(__xludf.DUMMYFUNCTION("""COMPUTED_VALUE"""),"A4702119")</f>
        <v>A4702119</v>
      </c>
      <c r="H955" s="106" t="str">
        <f>IFERROR(__xludf.DUMMYFUNCTION("""COMPUTED_VALUE"""),"Customer Want Return This Order")</f>
        <v>Customer Want Return This Order</v>
      </c>
      <c r="I955" s="106" t="str">
        <f>IFERROR(__xludf.DUMMYFUNCTION("""COMPUTED_VALUE"""),"Kurunegala")</f>
        <v>Kurunegala</v>
      </c>
      <c r="J955" s="106" t="str">
        <f>IFERROR(__xludf.DUMMYFUNCTION("""COMPUTED_VALUE"""),"Returned To Branch Failed To Deliver")</f>
        <v>Returned To Branch Failed To Deliver</v>
      </c>
      <c r="K955" s="106" t="str">
        <f>IFERROR(__xludf.DUMMYFUNCTION("""COMPUTED_VALUE"""),"Branch Operations")</f>
        <v>Branch Operations</v>
      </c>
      <c r="L955" s="106" t="str">
        <f>IFERROR(__xludf.DUMMYFUNCTION("""COMPUTED_VALUE"""),"Done")</f>
        <v>Done</v>
      </c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>
      <c r="A956" s="82"/>
      <c r="B956" s="98" t="str">
        <f>IFERROR(__xludf.DUMMYFUNCTION("""COMPUTED_VALUE"""),"1232")</f>
        <v>1232</v>
      </c>
      <c r="C956" s="98" t="str">
        <f>IFERROR(__xludf.DUMMYFUNCTION("""COMPUTED_VALUE"""),"Umesha")</f>
        <v>Umesha</v>
      </c>
      <c r="D956" s="98" t="str">
        <f>IFERROR(__xludf.DUMMYFUNCTION("""COMPUTED_VALUE"""),"720108485")</f>
        <v>720108485</v>
      </c>
      <c r="E956" s="98" t="str">
        <f>IFERROR(__xludf.DUMMYFUNCTION("""COMPUTED_VALUE"""),"N")</f>
        <v>N</v>
      </c>
      <c r="F956" s="98" t="str">
        <f>IFERROR(__xludf.DUMMYFUNCTION("""COMPUTED_VALUE"""),"Azac Hub")</f>
        <v>Azac Hub</v>
      </c>
      <c r="G956" s="98" t="str">
        <f>IFERROR(__xludf.DUMMYFUNCTION("""COMPUTED_VALUE"""),"BE083066")</f>
        <v>BE083066</v>
      </c>
      <c r="H956" s="98" t="str">
        <f>IFERROR(__xludf.DUMMYFUNCTION("""COMPUTED_VALUE"""),"Answered")</f>
        <v>Answered</v>
      </c>
      <c r="I956" s="98" t="str">
        <f>IFERROR(__xludf.DUMMYFUNCTION("""COMPUTED_VALUE"""),"Padukka")</f>
        <v>Padukka</v>
      </c>
      <c r="J956" s="98" t="str">
        <f>IFERROR(__xludf.DUMMYFUNCTION("""COMPUTED_VALUE"""),"Returned To Ho")</f>
        <v>Returned To Ho</v>
      </c>
      <c r="K956" s="98" t="str">
        <f>IFERROR(__xludf.DUMMYFUNCTION("""COMPUTED_VALUE"""),"Customer Care")</f>
        <v>Customer Care</v>
      </c>
      <c r="L956" s="98" t="str">
        <f>IFERROR(__xludf.DUMMYFUNCTION("""COMPUTED_VALUE"""),"Done")</f>
        <v>Done</v>
      </c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>
      <c r="A957" s="82"/>
      <c r="B957" s="106" t="str">
        <f>IFERROR(__xludf.DUMMYFUNCTION("""COMPUTED_VALUE"""),"1233")</f>
        <v>1233</v>
      </c>
      <c r="C957" s="106" t="str">
        <f>IFERROR(__xludf.DUMMYFUNCTION("""COMPUTED_VALUE"""),"Malik")</f>
        <v>Malik</v>
      </c>
      <c r="D957" s="106" t="str">
        <f>IFERROR(__xludf.DUMMYFUNCTION("""COMPUTED_VALUE"""),"789538510")</f>
        <v>789538510</v>
      </c>
      <c r="E957" s="106" t="str">
        <f>IFERROR(__xludf.DUMMYFUNCTION("""COMPUTED_VALUE"""),"N")</f>
        <v>N</v>
      </c>
      <c r="F957" s="106" t="str">
        <f>IFERROR(__xludf.DUMMYFUNCTION("""COMPUTED_VALUE"""),"D Mine Shop")</f>
        <v>D Mine Shop</v>
      </c>
      <c r="G957" s="106" t="str">
        <f>IFERROR(__xludf.DUMMYFUNCTION("""COMPUTED_VALUE"""),"A4170424")</f>
        <v>A4170424</v>
      </c>
      <c r="H957" s="106"/>
      <c r="I957" s="106" t="str">
        <f>IFERROR(__xludf.DUMMYFUNCTION("""COMPUTED_VALUE"""),"Mirigama")</f>
        <v>Mirigama</v>
      </c>
      <c r="J957" s="106" t="str">
        <f>IFERROR(__xludf.DUMMYFUNCTION("""COMPUTED_VALUE"""),"Returned To Branch Rescheduled")</f>
        <v>Returned To Branch Rescheduled</v>
      </c>
      <c r="K957" s="106" t="str">
        <f>IFERROR(__xludf.DUMMYFUNCTION("""COMPUTED_VALUE"""),"Customer Care")</f>
        <v>Customer Care</v>
      </c>
      <c r="L957" s="106" t="str">
        <f>IFERROR(__xludf.DUMMYFUNCTION("""COMPUTED_VALUE"""),"Informed Branch")</f>
        <v>Informed Branch</v>
      </c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>
      <c r="A958" s="82"/>
      <c r="B958" s="98" t="str">
        <f>IFERROR(__xludf.DUMMYFUNCTION("""COMPUTED_VALUE"""),"1234")</f>
        <v>1234</v>
      </c>
      <c r="C958" s="98" t="str">
        <f>IFERROR(__xludf.DUMMYFUNCTION("""COMPUTED_VALUE"""),"Umesha")</f>
        <v>Umesha</v>
      </c>
      <c r="D958" s="98" t="str">
        <f>IFERROR(__xludf.DUMMYFUNCTION("""COMPUTED_VALUE"""),"784147718")</f>
        <v>784147718</v>
      </c>
      <c r="E958" s="98" t="str">
        <f>IFERROR(__xludf.DUMMYFUNCTION("""COMPUTED_VALUE"""),"Y")</f>
        <v>Y</v>
      </c>
      <c r="F958" s="98" t="str">
        <f>IFERROR(__xludf.DUMMYFUNCTION("""COMPUTED_VALUE"""),"Memorybox")</f>
        <v>Memorybox</v>
      </c>
      <c r="G958" s="98" t="str">
        <f>IFERROR(__xludf.DUMMYFUNCTION("""COMPUTED_VALUE"""),"BE100080")</f>
        <v>BE100080</v>
      </c>
      <c r="H958" s="98" t="str">
        <f>IFERROR(__xludf.DUMMYFUNCTION("""COMPUTED_VALUE"""),"Req Tamil Agent")</f>
        <v>Req Tamil Agent</v>
      </c>
      <c r="I958" s="98" t="str">
        <f>IFERROR(__xludf.DUMMYFUNCTION("""COMPUTED_VALUE"""),"Ja-Ela")</f>
        <v>Ja-Ela</v>
      </c>
      <c r="J958" s="98" t="str">
        <f>IFERROR(__xludf.DUMMYFUNCTION("""COMPUTED_VALUE"""),"Returned To Branch Failed To Deliver")</f>
        <v>Returned To Branch Failed To Deliver</v>
      </c>
      <c r="K958" s="98" t="str">
        <f>IFERROR(__xludf.DUMMYFUNCTION("""COMPUTED_VALUE"""),"Branch Operations")</f>
        <v>Branch Operations</v>
      </c>
      <c r="L958" s="98" t="str">
        <f>IFERROR(__xludf.DUMMYFUNCTION("""COMPUTED_VALUE"""),"Informed Branch")</f>
        <v>Informed Branch</v>
      </c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>
      <c r="A959" s="82"/>
      <c r="B959" s="106" t="str">
        <f>IFERROR(__xludf.DUMMYFUNCTION("""COMPUTED_VALUE"""),"1235")</f>
        <v>1235</v>
      </c>
      <c r="C959" s="106" t="str">
        <f>IFERROR(__xludf.DUMMYFUNCTION("""COMPUTED_VALUE"""),"Jeni")</f>
        <v>Jeni</v>
      </c>
      <c r="D959" s="106" t="str">
        <f>IFERROR(__xludf.DUMMYFUNCTION("""COMPUTED_VALUE"""),"765462824")</f>
        <v>765462824</v>
      </c>
      <c r="E959" s="106" t="str">
        <f>IFERROR(__xludf.DUMMYFUNCTION("""COMPUTED_VALUE"""),"N")</f>
        <v>N</v>
      </c>
      <c r="F959" s="106" t="str">
        <f>IFERROR(__xludf.DUMMYFUNCTION("""COMPUTED_VALUE"""),"Hemadema Aduwata.Lk")</f>
        <v>Hemadema Aduwata.Lk</v>
      </c>
      <c r="G959" s="106" t="str">
        <f>IFERROR(__xludf.DUMMYFUNCTION("""COMPUTED_VALUE"""),"A4309144")</f>
        <v>A4309144</v>
      </c>
      <c r="H959" s="106" t="str">
        <f>IFERROR(__xludf.DUMMYFUNCTION("""COMPUTED_VALUE"""),"Check &amp; Call Back")</f>
        <v>Check &amp; Call Back</v>
      </c>
      <c r="I959" s="106" t="str">
        <f>IFERROR(__xludf.DUMMYFUNCTION("""COMPUTED_VALUE"""),"Jaffna")</f>
        <v>Jaffna</v>
      </c>
      <c r="J959" s="106" t="str">
        <f>IFERROR(__xludf.DUMMYFUNCTION("""COMPUTED_VALUE"""),"Out For Delivery")</f>
        <v>Out For Delivery</v>
      </c>
      <c r="K959" s="106" t="str">
        <f>IFERROR(__xludf.DUMMYFUNCTION("""COMPUTED_VALUE"""),"Sales")</f>
        <v>Sales</v>
      </c>
      <c r="L959" s="106" t="str">
        <f>IFERROR(__xludf.DUMMYFUNCTION("""COMPUTED_VALUE"""),"Informed Genzo Team")</f>
        <v>Informed Genzo Team</v>
      </c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>
      <c r="A960" s="82"/>
      <c r="B960" s="98" t="str">
        <f>IFERROR(__xludf.DUMMYFUNCTION("""COMPUTED_VALUE"""),"1236")</f>
        <v>1236</v>
      </c>
      <c r="C960" s="98" t="str">
        <f>IFERROR(__xludf.DUMMYFUNCTION("""COMPUTED_VALUE"""),"Mandari")</f>
        <v>Mandari</v>
      </c>
      <c r="D960" s="98" t="str">
        <f>IFERROR(__xludf.DUMMYFUNCTION("""COMPUTED_VALUE"""),"765779370")</f>
        <v>765779370</v>
      </c>
      <c r="E960" s="98" t="str">
        <f>IFERROR(__xludf.DUMMYFUNCTION("""COMPUTED_VALUE"""),"N")</f>
        <v>N</v>
      </c>
      <c r="F960" s="98" t="str">
        <f>IFERROR(__xludf.DUMMYFUNCTION("""COMPUTED_VALUE"""),"D Mine Shop")</f>
        <v>D Mine Shop</v>
      </c>
      <c r="G960" s="98" t="str">
        <f>IFERROR(__xludf.DUMMYFUNCTION("""COMPUTED_VALUE"""),"A3698540")</f>
        <v>A3698540</v>
      </c>
      <c r="H960" s="98" t="str">
        <f>IFERROR(__xludf.DUMMYFUNCTION("""COMPUTED_VALUE"""),"Customer Wants To Return The Parcel")</f>
        <v>Customer Wants To Return The Parcel</v>
      </c>
      <c r="I960" s="98" t="str">
        <f>IFERROR(__xludf.DUMMYFUNCTION("""COMPUTED_VALUE"""),"Kandy")</f>
        <v>Kandy</v>
      </c>
      <c r="J960" s="98" t="str">
        <f>IFERROR(__xludf.DUMMYFUNCTION("""COMPUTED_VALUE"""),"Dispatched To Destination")</f>
        <v>Dispatched To Destination</v>
      </c>
      <c r="K960" s="98" t="str">
        <f>IFERROR(__xludf.DUMMYFUNCTION("""COMPUTED_VALUE"""),"Customer Care")</f>
        <v>Customer Care</v>
      </c>
      <c r="L960" s="98" t="str">
        <f>IFERROR(__xludf.DUMMYFUNCTION("""COMPUTED_VALUE"""),"Call Hold")</f>
        <v>Call Hold</v>
      </c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>
      <c r="A961" s="82"/>
      <c r="B961" s="106" t="str">
        <f>IFERROR(__xludf.DUMMYFUNCTION("""COMPUTED_VALUE"""),"1237")</f>
        <v>1237</v>
      </c>
      <c r="C961" s="106" t="str">
        <f>IFERROR(__xludf.DUMMYFUNCTION("""COMPUTED_VALUE"""),"Umesha")</f>
        <v>Umesha</v>
      </c>
      <c r="D961" s="106" t="str">
        <f>IFERROR(__xludf.DUMMYFUNCTION("""COMPUTED_VALUE"""),"758616740")</f>
        <v>758616740</v>
      </c>
      <c r="E961" s="106" t="str">
        <f>IFERROR(__xludf.DUMMYFUNCTION("""COMPUTED_VALUE"""),"N")</f>
        <v>N</v>
      </c>
      <c r="F961" s="106" t="str">
        <f>IFERROR(__xludf.DUMMYFUNCTION("""COMPUTED_VALUE"""),"Future Home Electronics")</f>
        <v>Future Home Electronics</v>
      </c>
      <c r="G961" s="106" t="str">
        <f>IFERROR(__xludf.DUMMYFUNCTION("""COMPUTED_VALUE"""),"A3698571")</f>
        <v>A3698571</v>
      </c>
      <c r="H961" s="106" t="str">
        <f>IFERROR(__xludf.DUMMYFUNCTION("""COMPUTED_VALUE"""),"Customer Want Return The Package")</f>
        <v>Customer Want Return The Package</v>
      </c>
      <c r="I961" s="106" t="str">
        <f>IFERROR(__xludf.DUMMYFUNCTION("""COMPUTED_VALUE"""),"Homagama")</f>
        <v>Homagama</v>
      </c>
      <c r="J961" s="106" t="str">
        <f>IFERROR(__xludf.DUMMYFUNCTION("""COMPUTED_VALUE"""),"Returned To Branch Failed To Deliver")</f>
        <v>Returned To Branch Failed To Deliver</v>
      </c>
      <c r="K961" s="106" t="str">
        <f>IFERROR(__xludf.DUMMYFUNCTION("""COMPUTED_VALUE"""),"Branch Operations")</f>
        <v>Branch Operations</v>
      </c>
      <c r="L961" s="106" t="str">
        <f>IFERROR(__xludf.DUMMYFUNCTION("""COMPUTED_VALUE"""),"Call Wrapped")</f>
        <v>Call Wrapped</v>
      </c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>
      <c r="A962" s="82"/>
      <c r="B962" s="98" t="str">
        <f>IFERROR(__xludf.DUMMYFUNCTION("""COMPUTED_VALUE"""),"1238")</f>
        <v>1238</v>
      </c>
      <c r="C962" s="98" t="str">
        <f>IFERROR(__xludf.DUMMYFUNCTION("""COMPUTED_VALUE"""),"Mandari")</f>
        <v>Mandari</v>
      </c>
      <c r="D962" s="98" t="str">
        <f>IFERROR(__xludf.DUMMYFUNCTION("""COMPUTED_VALUE"""),"759192007")</f>
        <v>759192007</v>
      </c>
      <c r="E962" s="98" t="str">
        <f>IFERROR(__xludf.DUMMYFUNCTION("""COMPUTED_VALUE"""),"N")</f>
        <v>N</v>
      </c>
      <c r="F962" s="98" t="str">
        <f>IFERROR(__xludf.DUMMYFUNCTION("""COMPUTED_VALUE"""),"D Mine Shop")</f>
        <v>D Mine Shop</v>
      </c>
      <c r="G962" s="98" t="str">
        <f>IFERROR(__xludf.DUMMYFUNCTION("""COMPUTED_VALUE"""),"A4470093")</f>
        <v>A4470093</v>
      </c>
      <c r="H962" s="98" t="str">
        <f>IFERROR(__xludf.DUMMYFUNCTION("""COMPUTED_VALUE"""),"Cant Find Tracking No")</f>
        <v>Cant Find Tracking No</v>
      </c>
      <c r="I962" s="98" t="str">
        <f>IFERROR(__xludf.DUMMYFUNCTION("""COMPUTED_VALUE"""),"Dambulla")</f>
        <v>Dambulla</v>
      </c>
      <c r="J962" s="98" t="str">
        <f>IFERROR(__xludf.DUMMYFUNCTION("""COMPUTED_VALUE"""),"Received At Destination")</f>
        <v>Received At Destination</v>
      </c>
      <c r="K962" s="98" t="str">
        <f>IFERROR(__xludf.DUMMYFUNCTION("""COMPUTED_VALUE"""),"Branch Operations")</f>
        <v>Branch Operations</v>
      </c>
      <c r="L962" s="98" t="str">
        <f>IFERROR(__xludf.DUMMYFUNCTION("""COMPUTED_VALUE"""),"Disconected The Line")</f>
        <v>Disconected The Line</v>
      </c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>
      <c r="A963" s="82"/>
      <c r="B963" s="106" t="str">
        <f>IFERROR(__xludf.DUMMYFUNCTION("""COMPUTED_VALUE"""),"1239")</f>
        <v>1239</v>
      </c>
      <c r="C963" s="106" t="str">
        <f>IFERROR(__xludf.DUMMYFUNCTION("""COMPUTED_VALUE"""),"Lakshani")</f>
        <v>Lakshani</v>
      </c>
      <c r="D963" s="106" t="str">
        <f>IFERROR(__xludf.DUMMYFUNCTION("""COMPUTED_VALUE"""),"741693627")</f>
        <v>741693627</v>
      </c>
      <c r="E963" s="106" t="str">
        <f>IFERROR(__xludf.DUMMYFUNCTION("""COMPUTED_VALUE"""),"N")</f>
        <v>N</v>
      </c>
      <c r="F963" s="106" t="str">
        <f>IFERROR(__xludf.DUMMYFUNCTION("""COMPUTED_VALUE"""),"Baloreena")</f>
        <v>Baloreena</v>
      </c>
      <c r="G963" s="106" t="str">
        <f>IFERROR(__xludf.DUMMYFUNCTION("""COMPUTED_VALUE"""),"A4086806")</f>
        <v>A4086806</v>
      </c>
      <c r="H963" s="106" t="str">
        <f>IFERROR(__xludf.DUMMYFUNCTION("""COMPUTED_VALUE"""),"Order Status")</f>
        <v>Order Status</v>
      </c>
      <c r="I963" s="106" t="str">
        <f>IFERROR(__xludf.DUMMYFUNCTION("""COMPUTED_VALUE"""),"Thalawathugoda")</f>
        <v>Thalawathugoda</v>
      </c>
      <c r="J963" s="106" t="str">
        <f>IFERROR(__xludf.DUMMYFUNCTION("""COMPUTED_VALUE"""),"Returned To Branch Failed To Deliver")</f>
        <v>Returned To Branch Failed To Deliver</v>
      </c>
      <c r="K963" s="106" t="str">
        <f>IFERROR(__xludf.DUMMYFUNCTION("""COMPUTED_VALUE"""),"Customer Care")</f>
        <v>Customer Care</v>
      </c>
      <c r="L963" s="106" t="str">
        <f>IFERROR(__xludf.DUMMYFUNCTION("""COMPUTED_VALUE"""),"Details Given")</f>
        <v>Details Given</v>
      </c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>
      <c r="A964" s="82"/>
      <c r="B964" s="98" t="str">
        <f>IFERROR(__xludf.DUMMYFUNCTION("""COMPUTED_VALUE"""),"1240")</f>
        <v>1240</v>
      </c>
      <c r="C964" s="98" t="str">
        <f>IFERROR(__xludf.DUMMYFUNCTION("""COMPUTED_VALUE"""),"Malik")</f>
        <v>Malik</v>
      </c>
      <c r="D964" s="98" t="str">
        <f>IFERROR(__xludf.DUMMYFUNCTION("""COMPUTED_VALUE"""),"728389232")</f>
        <v>728389232</v>
      </c>
      <c r="E964" s="98" t="str">
        <f>IFERROR(__xludf.DUMMYFUNCTION("""COMPUTED_VALUE"""),"N")</f>
        <v>N</v>
      </c>
      <c r="F964" s="98" t="str">
        <f>IFERROR(__xludf.DUMMYFUNCTION("""COMPUTED_VALUE"""),"Thiyora Boutique")</f>
        <v>Thiyora Boutique</v>
      </c>
      <c r="G964" s="98" t="str">
        <f>IFERROR(__xludf.DUMMYFUNCTION("""COMPUTED_VALUE"""),"A4715695")</f>
        <v>A4715695</v>
      </c>
      <c r="H964" s="98" t="str">
        <f>IFERROR(__xludf.DUMMYFUNCTION("""COMPUTED_VALUE"""),"Customer Already Recived The Package")</f>
        <v>Customer Already Recived The Package</v>
      </c>
      <c r="I964" s="98" t="str">
        <f>IFERROR(__xludf.DUMMYFUNCTION("""COMPUTED_VALUE"""),"Negombo")</f>
        <v>Negombo</v>
      </c>
      <c r="J964" s="98" t="str">
        <f>IFERROR(__xludf.DUMMYFUNCTION("""COMPUTED_VALUE"""),"Dispatched To Destination")</f>
        <v>Dispatched To Destination</v>
      </c>
      <c r="K964" s="98" t="str">
        <f>IFERROR(__xludf.DUMMYFUNCTION("""COMPUTED_VALUE"""),"Return")</f>
        <v>Return</v>
      </c>
      <c r="L964" s="98" t="str">
        <f>IFERROR(__xludf.DUMMYFUNCTION("""COMPUTED_VALUE"""),"Still Not Received Branch")</f>
        <v>Still Not Received Branch</v>
      </c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>
      <c r="A965" s="82"/>
      <c r="B965" s="106" t="str">
        <f>IFERROR(__xludf.DUMMYFUNCTION("""COMPUTED_VALUE"""),"1241")</f>
        <v>1241</v>
      </c>
      <c r="C965" s="106" t="str">
        <f>IFERROR(__xludf.DUMMYFUNCTION("""COMPUTED_VALUE"""),"Jeni")</f>
        <v>Jeni</v>
      </c>
      <c r="D965" s="106" t="str">
        <f>IFERROR(__xludf.DUMMYFUNCTION("""COMPUTED_VALUE"""),"712311134")</f>
        <v>712311134</v>
      </c>
      <c r="E965" s="106" t="str">
        <f>IFERROR(__xludf.DUMMYFUNCTION("""COMPUTED_VALUE"""),"N")</f>
        <v>N</v>
      </c>
      <c r="F965" s="107" t="str">
        <f>IFERROR(__xludf.DUMMYFUNCTION("""COMPUTED_VALUE"""),"Crown.Lk")</f>
        <v>Crown.Lk</v>
      </c>
      <c r="G965" s="106" t="str">
        <f>IFERROR(__xludf.DUMMYFUNCTION("""COMPUTED_VALUE"""),"A4715695")</f>
        <v>A4715695</v>
      </c>
      <c r="H965" s="106" t="str">
        <f>IFERROR(__xludf.DUMMYFUNCTION("""COMPUTED_VALUE"""),"Re Deliver")</f>
        <v>Re Deliver</v>
      </c>
      <c r="I965" s="106" t="str">
        <f>IFERROR(__xludf.DUMMYFUNCTION("""COMPUTED_VALUE"""),"Piliyandala")</f>
        <v>Piliyandala</v>
      </c>
      <c r="J965" s="106" t="str">
        <f>IFERROR(__xludf.DUMMYFUNCTION("""COMPUTED_VALUE"""),"Delivered")</f>
        <v>Delivered</v>
      </c>
      <c r="K965" s="106" t="str">
        <f>IFERROR(__xludf.DUMMYFUNCTION("""COMPUTED_VALUE"""),"Customer Care")</f>
        <v>Customer Care</v>
      </c>
      <c r="L965" s="106" t="str">
        <f>IFERROR(__xludf.DUMMYFUNCTION("""COMPUTED_VALUE"""),"Informed Branch")</f>
        <v>Informed Branch</v>
      </c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>
      <c r="A966" s="82"/>
      <c r="B966" s="98" t="str">
        <f>IFERROR(__xludf.DUMMYFUNCTION("""COMPUTED_VALUE"""),"1242")</f>
        <v>1242</v>
      </c>
      <c r="C966" s="98" t="str">
        <f>IFERROR(__xludf.DUMMYFUNCTION("""COMPUTED_VALUE"""),"Umesha")</f>
        <v>Umesha</v>
      </c>
      <c r="D966" s="98" t="str">
        <f>IFERROR(__xludf.DUMMYFUNCTION("""COMPUTED_VALUE"""),"766823287")</f>
        <v>766823287</v>
      </c>
      <c r="E966" s="98" t="str">
        <f>IFERROR(__xludf.DUMMYFUNCTION("""COMPUTED_VALUE"""),"Y")</f>
        <v>Y</v>
      </c>
      <c r="F966" s="98" t="str">
        <f>IFERROR(__xludf.DUMMYFUNCTION("""COMPUTED_VALUE"""),"Lansa Express")</f>
        <v>Lansa Express</v>
      </c>
      <c r="G966" s="98" t="str">
        <f>IFERROR(__xludf.DUMMYFUNCTION("""COMPUTED_VALUE"""),"A4621005")</f>
        <v>A4621005</v>
      </c>
      <c r="H966" s="98" t="str">
        <f>IFERROR(__xludf.DUMMYFUNCTION("""COMPUTED_VALUE"""),"Exchange Parcel")</f>
        <v>Exchange Parcel</v>
      </c>
      <c r="I966" s="98" t="str">
        <f>IFERROR(__xludf.DUMMYFUNCTION("""COMPUTED_VALUE"""),"Kandy")</f>
        <v>Kandy</v>
      </c>
      <c r="J966" s="98" t="str">
        <f>IFERROR(__xludf.DUMMYFUNCTION("""COMPUTED_VALUE"""),"Delivered")</f>
        <v>Delivered</v>
      </c>
      <c r="K966" s="98" t="str">
        <f>IFERROR(__xludf.DUMMYFUNCTION("""COMPUTED_VALUE"""),"Branch Operations")</f>
        <v>Branch Operations</v>
      </c>
      <c r="L966" s="98" t="str">
        <f>IFERROR(__xludf.DUMMYFUNCTION("""COMPUTED_VALUE"""),"Done")</f>
        <v>Done</v>
      </c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>
      <c r="A967" s="82"/>
      <c r="B967" s="106" t="str">
        <f>IFERROR(__xludf.DUMMYFUNCTION("""COMPUTED_VALUE"""),"1243")</f>
        <v>1243</v>
      </c>
      <c r="C967" s="106" t="str">
        <f>IFERROR(__xludf.DUMMYFUNCTION("""COMPUTED_VALUE"""),"Umesha")</f>
        <v>Umesha</v>
      </c>
      <c r="D967" s="106" t="str">
        <f>IFERROR(__xludf.DUMMYFUNCTION("""COMPUTED_VALUE"""),"764300731")</f>
        <v>764300731</v>
      </c>
      <c r="E967" s="106" t="str">
        <f>IFERROR(__xludf.DUMMYFUNCTION("""COMPUTED_VALUE"""),"Y")</f>
        <v>Y</v>
      </c>
      <c r="F967" s="106" t="str">
        <f>IFERROR(__xludf.DUMMYFUNCTION("""COMPUTED_VALUE"""),"Mr. Vitamin Online Store")</f>
        <v>Mr. Vitamin Online Store</v>
      </c>
      <c r="G967" s="106" t="str">
        <f>IFERROR(__xludf.DUMMYFUNCTION("""COMPUTED_VALUE"""),"A4533300")</f>
        <v>A4533300</v>
      </c>
      <c r="H967" s="106" t="str">
        <f>IFERROR(__xludf.DUMMYFUNCTION("""COMPUTED_VALUE"""),"Rea Tamil Agent")</f>
        <v>Rea Tamil Agent</v>
      </c>
      <c r="I967" s="106" t="str">
        <f>IFERROR(__xludf.DUMMYFUNCTION("""COMPUTED_VALUE"""),"Baddagama")</f>
        <v>Baddagama</v>
      </c>
      <c r="J967" s="106" t="str">
        <f>IFERROR(__xludf.DUMMYFUNCTION("""COMPUTED_VALUE"""),"Returned To Branch Failed To Deliver")</f>
        <v>Returned To Branch Failed To Deliver</v>
      </c>
      <c r="K967" s="106" t="str">
        <f>IFERROR(__xludf.DUMMYFUNCTION("""COMPUTED_VALUE"""),"Customer Care")</f>
        <v>Customer Care</v>
      </c>
      <c r="L967" s="106" t="str">
        <f>IFERROR(__xludf.DUMMYFUNCTION("""COMPUTED_VALUE"""),"Given Details")</f>
        <v>Given Details</v>
      </c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>
      <c r="A968" s="82"/>
      <c r="B968" s="98" t="str">
        <f>IFERROR(__xludf.DUMMYFUNCTION("""COMPUTED_VALUE"""),"1244")</f>
        <v>1244</v>
      </c>
      <c r="C968" s="98" t="str">
        <f>IFERROR(__xludf.DUMMYFUNCTION("""COMPUTED_VALUE"""),"Mandari")</f>
        <v>Mandari</v>
      </c>
      <c r="D968" s="98" t="str">
        <f>IFERROR(__xludf.DUMMYFUNCTION("""COMPUTED_VALUE"""),"772853693")</f>
        <v>772853693</v>
      </c>
      <c r="E968" s="98" t="str">
        <f>IFERROR(__xludf.DUMMYFUNCTION("""COMPUTED_VALUE"""),"Y")</f>
        <v>Y</v>
      </c>
      <c r="F968" s="98" t="str">
        <f>IFERROR(__xludf.DUMMYFUNCTION("""COMPUTED_VALUE"""),"Faith Store")</f>
        <v>Faith Store</v>
      </c>
      <c r="G968" s="98" t="str">
        <f>IFERROR(__xludf.DUMMYFUNCTION("""COMPUTED_VALUE"""),"BA766368")</f>
        <v>BA766368</v>
      </c>
      <c r="H968" s="98" t="str">
        <f>IFERROR(__xludf.DUMMYFUNCTION("""COMPUTED_VALUE"""),"Bussiness Name Change")</f>
        <v>Bussiness Name Change</v>
      </c>
      <c r="I968" s="98" t="str">
        <f>IFERROR(__xludf.DUMMYFUNCTION("""COMPUTED_VALUE"""),"Rajagiriya")</f>
        <v>Rajagiriya</v>
      </c>
      <c r="J968" s="98" t="str">
        <f>IFERROR(__xludf.DUMMYFUNCTION("""COMPUTED_VALUE"""),"Delivered")</f>
        <v>Delivered</v>
      </c>
      <c r="K968" s="98" t="str">
        <f>IFERROR(__xludf.DUMMYFUNCTION("""COMPUTED_VALUE"""),"Branch Operations")</f>
        <v>Branch Operations</v>
      </c>
      <c r="L968" s="98" t="str">
        <f>IFERROR(__xludf.DUMMYFUNCTION("""COMPUTED_VALUE"""),"Details Given")</f>
        <v>Details Given</v>
      </c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>
      <c r="A969" s="82"/>
      <c r="B969" s="106" t="str">
        <f>IFERROR(__xludf.DUMMYFUNCTION("""COMPUTED_VALUE"""),"1245")</f>
        <v>1245</v>
      </c>
      <c r="C969" s="106" t="str">
        <f>IFERROR(__xludf.DUMMYFUNCTION("""COMPUTED_VALUE"""),"Malik")</f>
        <v>Malik</v>
      </c>
      <c r="D969" s="106" t="str">
        <f>IFERROR(__xludf.DUMMYFUNCTION("""COMPUTED_VALUE"""),"757715579")</f>
        <v>757715579</v>
      </c>
      <c r="E969" s="106" t="str">
        <f>IFERROR(__xludf.DUMMYFUNCTION("""COMPUTED_VALUE"""),"N")</f>
        <v>N</v>
      </c>
      <c r="F969" s="106" t="str">
        <f>IFERROR(__xludf.DUMMYFUNCTION("""COMPUTED_VALUE"""),"Happyfly")</f>
        <v>Happyfly</v>
      </c>
      <c r="G969" s="106" t="str">
        <f>IFERROR(__xludf.DUMMYFUNCTION("""COMPUTED_VALUE"""),"BE081708")</f>
        <v>BE081708</v>
      </c>
      <c r="H969" s="106" t="str">
        <f>IFERROR(__xludf.DUMMYFUNCTION("""COMPUTED_VALUE"""),"Customer Want Return This Order")</f>
        <v>Customer Want Return This Order</v>
      </c>
      <c r="I969" s="106" t="str">
        <f>IFERROR(__xludf.DUMMYFUNCTION("""COMPUTED_VALUE"""),"Rajagiriya")</f>
        <v>Rajagiriya</v>
      </c>
      <c r="J969" s="106" t="str">
        <f>IFERROR(__xludf.DUMMYFUNCTION("""COMPUTED_VALUE"""),"Delivered")</f>
        <v>Delivered</v>
      </c>
      <c r="K969" s="106" t="str">
        <f>IFERROR(__xludf.DUMMYFUNCTION("""COMPUTED_VALUE"""),"Customer Care")</f>
        <v>Customer Care</v>
      </c>
      <c r="L969" s="106" t="str">
        <f>IFERROR(__xludf.DUMMYFUNCTION("""COMPUTED_VALUE"""),"Informed Branch Number Via A Whatsapp")</f>
        <v>Informed Branch Number Via A Whatsapp</v>
      </c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>
      <c r="A970" s="82"/>
      <c r="B970" s="98" t="str">
        <f>IFERROR(__xludf.DUMMYFUNCTION("""COMPUTED_VALUE"""),"1246")</f>
        <v>1246</v>
      </c>
      <c r="C970" s="98" t="str">
        <f>IFERROR(__xludf.DUMMYFUNCTION("""COMPUTED_VALUE"""),"Mandari")</f>
        <v>Mandari</v>
      </c>
      <c r="D970" s="98" t="str">
        <f>IFERROR(__xludf.DUMMYFUNCTION("""COMPUTED_VALUE"""),"770369310")</f>
        <v>770369310</v>
      </c>
      <c r="E970" s="98" t="str">
        <f>IFERROR(__xludf.DUMMYFUNCTION("""COMPUTED_VALUE"""),"N")</f>
        <v>N</v>
      </c>
      <c r="F970" s="108" t="str">
        <f>IFERROR(__xludf.DUMMYFUNCTION("""COMPUTED_VALUE"""),"Shopq.Lk")</f>
        <v>Shopq.Lk</v>
      </c>
      <c r="G970" s="98" t="str">
        <f>IFERROR(__xludf.DUMMYFUNCTION("""COMPUTED_VALUE"""),"BE108807")</f>
        <v>BE108807</v>
      </c>
      <c r="H970" s="98" t="str">
        <f>IFERROR(__xludf.DUMMYFUNCTION("""COMPUTED_VALUE"""),"Answered")</f>
        <v>Answered</v>
      </c>
      <c r="I970" s="98" t="str">
        <f>IFERROR(__xludf.DUMMYFUNCTION("""COMPUTED_VALUE"""),"Wennappuwa")</f>
        <v>Wennappuwa</v>
      </c>
      <c r="J970" s="98" t="str">
        <f>IFERROR(__xludf.DUMMYFUNCTION("""COMPUTED_VALUE"""),"Returned To Branch Rescheduled")</f>
        <v>Returned To Branch Rescheduled</v>
      </c>
      <c r="K970" s="98" t="str">
        <f>IFERROR(__xludf.DUMMYFUNCTION("""COMPUTED_VALUE"""),"Branch Operations")</f>
        <v>Branch Operations</v>
      </c>
      <c r="L970" s="98" t="str">
        <f>IFERROR(__xludf.DUMMYFUNCTION("""COMPUTED_VALUE"""),"Informed Deepika Genzo")</f>
        <v>Informed Deepika Genzo</v>
      </c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>
      <c r="A971" s="82"/>
      <c r="B971" s="106" t="str">
        <f>IFERROR(__xludf.DUMMYFUNCTION("""COMPUTED_VALUE"""),"1247")</f>
        <v>1247</v>
      </c>
      <c r="C971" s="106" t="str">
        <f>IFERROR(__xludf.DUMMYFUNCTION("""COMPUTED_VALUE"""),"Umesha")</f>
        <v>Umesha</v>
      </c>
      <c r="D971" s="106" t="str">
        <f>IFERROR(__xludf.DUMMYFUNCTION("""COMPUTED_VALUE"""),"754916035")</f>
        <v>754916035</v>
      </c>
      <c r="E971" s="106" t="str">
        <f>IFERROR(__xludf.DUMMYFUNCTION("""COMPUTED_VALUE"""),"Y")</f>
        <v>Y</v>
      </c>
      <c r="F971" s="106" t="str">
        <f>IFERROR(__xludf.DUMMYFUNCTION("""COMPUTED_VALUE"""),"Flexi Store")</f>
        <v>Flexi Store</v>
      </c>
      <c r="G971" s="106" t="str">
        <f>IFERROR(__xludf.DUMMYFUNCTION("""COMPUTED_VALUE"""),"A3794234")</f>
        <v>A3794234</v>
      </c>
      <c r="H971" s="106" t="str">
        <f>IFERROR(__xludf.DUMMYFUNCTION("""COMPUTED_VALUE"""),"Re Deliver")</f>
        <v>Re Deliver</v>
      </c>
      <c r="I971" s="106" t="str">
        <f>IFERROR(__xludf.DUMMYFUNCTION("""COMPUTED_VALUE"""),"Ja-Ela")</f>
        <v>Ja-Ela</v>
      </c>
      <c r="J971" s="106" t="str">
        <f>IFERROR(__xludf.DUMMYFUNCTION("""COMPUTED_VALUE"""),"Delivered")</f>
        <v>Delivered</v>
      </c>
      <c r="K971" s="106" t="str">
        <f>IFERROR(__xludf.DUMMYFUNCTION("""COMPUTED_VALUE"""),"Customer Care")</f>
        <v>Customer Care</v>
      </c>
      <c r="L971" s="106" t="str">
        <f>IFERROR(__xludf.DUMMYFUNCTION("""COMPUTED_VALUE"""),"Call Transfer Sales Department")</f>
        <v>Call Transfer Sales Department</v>
      </c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>
      <c r="A972" s="82"/>
      <c r="B972" s="98" t="str">
        <f>IFERROR(__xludf.DUMMYFUNCTION("""COMPUTED_VALUE"""),"1248")</f>
        <v>1248</v>
      </c>
      <c r="C972" s="98" t="str">
        <f>IFERROR(__xludf.DUMMYFUNCTION("""COMPUTED_VALUE"""),"Mandari")</f>
        <v>Mandari</v>
      </c>
      <c r="D972" s="98" t="str">
        <f>IFERROR(__xludf.DUMMYFUNCTION("""COMPUTED_VALUE"""),"712311134")</f>
        <v>712311134</v>
      </c>
      <c r="E972" s="98" t="str">
        <f>IFERROR(__xludf.DUMMYFUNCTION("""COMPUTED_VALUE"""),"N")</f>
        <v>N</v>
      </c>
      <c r="F972" s="98" t="str">
        <f>IFERROR(__xludf.DUMMYFUNCTION("""COMPUTED_VALUE"""),"Sr Center")</f>
        <v>Sr Center</v>
      </c>
      <c r="G972" s="98" t="str">
        <f>IFERROR(__xludf.DUMMYFUNCTION("""COMPUTED_VALUE"""),"A3821395")</f>
        <v>A3821395</v>
      </c>
      <c r="H972" s="98" t="str">
        <f>IFERROR(__xludf.DUMMYFUNCTION("""COMPUTED_VALUE"""),"Call Wrapped")</f>
        <v>Call Wrapped</v>
      </c>
      <c r="I972" s="98" t="str">
        <f>IFERROR(__xludf.DUMMYFUNCTION("""COMPUTED_VALUE"""),"Panadura")</f>
        <v>Panadura</v>
      </c>
      <c r="J972" s="98" t="str">
        <f>IFERROR(__xludf.DUMMYFUNCTION("""COMPUTED_VALUE"""),"Received At Destination")</f>
        <v>Received At Destination</v>
      </c>
      <c r="K972" s="98" t="str">
        <f>IFERROR(__xludf.DUMMYFUNCTION("""COMPUTED_VALUE"""),"Branch Operations")</f>
        <v>Branch Operations</v>
      </c>
      <c r="L972" s="98" t="str">
        <f>IFERROR(__xludf.DUMMYFUNCTION("""COMPUTED_VALUE"""),"Disconnected")</f>
        <v>Disconnected</v>
      </c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>
      <c r="A973" s="82"/>
      <c r="B973" s="106" t="str">
        <f>IFERROR(__xludf.DUMMYFUNCTION("""COMPUTED_VALUE"""),"1249")</f>
        <v>1249</v>
      </c>
      <c r="C973" s="106" t="str">
        <f>IFERROR(__xludf.DUMMYFUNCTION("""COMPUTED_VALUE"""),"Mandari")</f>
        <v>Mandari</v>
      </c>
      <c r="D973" s="106" t="str">
        <f>IFERROR(__xludf.DUMMYFUNCTION("""COMPUTED_VALUE"""),"772994325")</f>
        <v>772994325</v>
      </c>
      <c r="E973" s="106" t="str">
        <f>IFERROR(__xludf.DUMMYFUNCTION("""COMPUTED_VALUE"""),"Y")</f>
        <v>Y</v>
      </c>
      <c r="F973" s="107" t="str">
        <f>IFERROR(__xludf.DUMMYFUNCTION("""COMPUTED_VALUE"""),"Netwave.Lk")</f>
        <v>Netwave.Lk</v>
      </c>
      <c r="G973" s="106" t="str">
        <f>IFERROR(__xludf.DUMMYFUNCTION("""COMPUTED_VALUE"""),"BE031429")</f>
        <v>BE031429</v>
      </c>
      <c r="H973" s="106" t="str">
        <f>IFERROR(__xludf.DUMMYFUNCTION("""COMPUTED_VALUE"""),"Re Deliver")</f>
        <v>Re Deliver</v>
      </c>
      <c r="I973" s="106" t="str">
        <f>IFERROR(__xludf.DUMMYFUNCTION("""COMPUTED_VALUE"""),"Galle")</f>
        <v>Galle</v>
      </c>
      <c r="J973" s="106" t="str">
        <f>IFERROR(__xludf.DUMMYFUNCTION("""COMPUTED_VALUE"""),"Returned To Client")</f>
        <v>Returned To Client</v>
      </c>
      <c r="K973" s="106" t="str">
        <f>IFERROR(__xludf.DUMMYFUNCTION("""COMPUTED_VALUE"""),"Branch Operations")</f>
        <v>Branch Operations</v>
      </c>
      <c r="L973" s="106" t="str">
        <f>IFERROR(__xludf.DUMMYFUNCTION("""COMPUTED_VALUE"""),"Informed Branch")</f>
        <v>Informed Branch</v>
      </c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>
      <c r="A974" s="82"/>
      <c r="B974" s="98" t="str">
        <f>IFERROR(__xludf.DUMMYFUNCTION("""COMPUTED_VALUE"""),"1250")</f>
        <v>1250</v>
      </c>
      <c r="C974" s="98" t="str">
        <f>IFERROR(__xludf.DUMMYFUNCTION("""COMPUTED_VALUE"""),"Malik")</f>
        <v>Malik</v>
      </c>
      <c r="D974" s="98" t="str">
        <f>IFERROR(__xludf.DUMMYFUNCTION("""COMPUTED_VALUE"""),"778101147")</f>
        <v>778101147</v>
      </c>
      <c r="E974" s="98" t="str">
        <f>IFERROR(__xludf.DUMMYFUNCTION("""COMPUTED_VALUE"""),"N")</f>
        <v>N</v>
      </c>
      <c r="F974" s="108" t="str">
        <f>IFERROR(__xludf.DUMMYFUNCTION("""COMPUTED_VALUE"""),"Plusmart.Lk")</f>
        <v>Plusmart.Lk</v>
      </c>
      <c r="G974" s="98" t="str">
        <f>IFERROR(__xludf.DUMMYFUNCTION("""COMPUTED_VALUE"""),"BE067050")</f>
        <v>BE067050</v>
      </c>
      <c r="H974" s="98" t="str">
        <f>IFERROR(__xludf.DUMMYFUNCTION("""COMPUTED_VALUE"""),"Gampola Branch No")</f>
        <v>Gampola Branch No</v>
      </c>
      <c r="I974" s="98" t="str">
        <f>IFERROR(__xludf.DUMMYFUNCTION("""COMPUTED_VALUE"""),"Colombo Metro")</f>
        <v>Colombo Metro</v>
      </c>
      <c r="J974" s="98" t="str">
        <f>IFERROR(__xludf.DUMMYFUNCTION("""COMPUTED_VALUE"""),"Out For Delivery")</f>
        <v>Out For Delivery</v>
      </c>
      <c r="K974" s="98" t="str">
        <f>IFERROR(__xludf.DUMMYFUNCTION("""COMPUTED_VALUE"""),"Customer Care")</f>
        <v>Customer Care</v>
      </c>
      <c r="L974" s="98" t="str">
        <f>IFERROR(__xludf.DUMMYFUNCTION("""COMPUTED_VALUE"""),"Location Send")</f>
        <v>Location Send</v>
      </c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>
      <c r="A975" s="82"/>
      <c r="B975" s="106" t="str">
        <f>IFERROR(__xludf.DUMMYFUNCTION("""COMPUTED_VALUE"""),"1251")</f>
        <v>1251</v>
      </c>
      <c r="C975" s="106" t="str">
        <f>IFERROR(__xludf.DUMMYFUNCTION("""COMPUTED_VALUE"""),"Umesha")</f>
        <v>Umesha</v>
      </c>
      <c r="D975" s="106" t="str">
        <f>IFERROR(__xludf.DUMMYFUNCTION("""COMPUTED_VALUE"""),"782588396")</f>
        <v>782588396</v>
      </c>
      <c r="E975" s="106" t="str">
        <f>IFERROR(__xludf.DUMMYFUNCTION("""COMPUTED_VALUE"""),"N")</f>
        <v>N</v>
      </c>
      <c r="F975" s="107" t="str">
        <f>IFERROR(__xludf.DUMMYFUNCTION("""COMPUTED_VALUE"""),"Crown.Lk")</f>
        <v>Crown.Lk</v>
      </c>
      <c r="G975" s="106" t="str">
        <f>IFERROR(__xludf.DUMMYFUNCTION("""COMPUTED_VALUE"""),"BE085145")</f>
        <v>BE085145</v>
      </c>
      <c r="H975" s="106" t="str">
        <f>IFERROR(__xludf.DUMMYFUNCTION("""COMPUTED_VALUE"""),"Re Deliver")</f>
        <v>Re Deliver</v>
      </c>
      <c r="I975" s="106" t="str">
        <f>IFERROR(__xludf.DUMMYFUNCTION("""COMPUTED_VALUE"""),"Kaduwela")</f>
        <v>Kaduwela</v>
      </c>
      <c r="J975" s="106" t="str">
        <f>IFERROR(__xludf.DUMMYFUNCTION("""COMPUTED_VALUE"""),"Delivered")</f>
        <v>Delivered</v>
      </c>
      <c r="K975" s="106" t="str">
        <f>IFERROR(__xludf.DUMMYFUNCTION("""COMPUTED_VALUE"""),"Customer Care")</f>
        <v>Customer Care</v>
      </c>
      <c r="L975" s="106" t="str">
        <f>IFERROR(__xludf.DUMMYFUNCTION("""COMPUTED_VALUE"""),"Call Transfer Domestic Department")</f>
        <v>Call Transfer Domestic Department</v>
      </c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>
      <c r="A976" s="82"/>
      <c r="B976" s="98" t="str">
        <f>IFERROR(__xludf.DUMMYFUNCTION("""COMPUTED_VALUE"""),"1252")</f>
        <v>1252</v>
      </c>
      <c r="C976" s="98" t="str">
        <f>IFERROR(__xludf.DUMMYFUNCTION("""COMPUTED_VALUE"""),"Umesha")</f>
        <v>Umesha</v>
      </c>
      <c r="D976" s="98" t="str">
        <f>IFERROR(__xludf.DUMMYFUNCTION("""COMPUTED_VALUE"""),"710607191")</f>
        <v>710607191</v>
      </c>
      <c r="E976" s="98" t="str">
        <f>IFERROR(__xludf.DUMMYFUNCTION("""COMPUTED_VALUE"""),"Y")</f>
        <v>Y</v>
      </c>
      <c r="F976" s="98" t="str">
        <f>IFERROR(__xludf.DUMMYFUNCTION("""COMPUTED_VALUE"""),"Lesa Fashion")</f>
        <v>Lesa Fashion</v>
      </c>
      <c r="G976" s="98" t="str">
        <f>IFERROR(__xludf.DUMMYFUNCTION("""COMPUTED_VALUE"""),"A1109105")</f>
        <v>A1109105</v>
      </c>
      <c r="H976" s="98" t="str">
        <f>IFERROR(__xludf.DUMMYFUNCTION("""COMPUTED_VALUE"""),"Arrange To Deliver Today")</f>
        <v>Arrange To Deliver Today</v>
      </c>
      <c r="I976" s="98" t="str">
        <f>IFERROR(__xludf.DUMMYFUNCTION("""COMPUTED_VALUE"""),"Ambalangoda")</f>
        <v>Ambalangoda</v>
      </c>
      <c r="J976" s="98" t="str">
        <f>IFERROR(__xludf.DUMMYFUNCTION("""COMPUTED_VALUE"""),"Out For Delivery")</f>
        <v>Out For Delivery</v>
      </c>
      <c r="K976" s="98" t="str">
        <f>IFERROR(__xludf.DUMMYFUNCTION("""COMPUTED_VALUE"""),"Customer Care")</f>
        <v>Customer Care</v>
      </c>
      <c r="L976" s="98" t="str">
        <f>IFERROR(__xludf.DUMMYFUNCTION("""COMPUTED_VALUE"""),"Informed Branch")</f>
        <v>Informed Branch</v>
      </c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>
      <c r="A977" s="82"/>
      <c r="B977" s="106" t="str">
        <f>IFERROR(__xludf.DUMMYFUNCTION("""COMPUTED_VALUE"""),"1253")</f>
        <v>1253</v>
      </c>
      <c r="C977" s="106" t="str">
        <f>IFERROR(__xludf.DUMMYFUNCTION("""COMPUTED_VALUE"""),"Umesha")</f>
        <v>Umesha</v>
      </c>
      <c r="D977" s="106" t="str">
        <f>IFERROR(__xludf.DUMMYFUNCTION("""COMPUTED_VALUE"""),"778694249")</f>
        <v>778694249</v>
      </c>
      <c r="E977" s="106" t="str">
        <f>IFERROR(__xludf.DUMMYFUNCTION("""COMPUTED_VALUE"""),"Y")</f>
        <v>Y</v>
      </c>
      <c r="F977" s="106" t="str">
        <f>IFERROR(__xludf.DUMMYFUNCTION("""COMPUTED_VALUE"""),"Azac Hub")</f>
        <v>Azac Hub</v>
      </c>
      <c r="G977" s="106" t="str">
        <f>IFERROR(__xludf.DUMMYFUNCTION("""COMPUTED_VALUE"""),"BE083483")</f>
        <v>BE083483</v>
      </c>
      <c r="H977" s="106" t="str">
        <f>IFERROR(__xludf.DUMMYFUNCTION("""COMPUTED_VALUE"""),"Cod Registration")</f>
        <v>Cod Registration</v>
      </c>
      <c r="I977" s="106" t="str">
        <f>IFERROR(__xludf.DUMMYFUNCTION("""COMPUTED_VALUE"""),"Thalawathugoda")</f>
        <v>Thalawathugoda</v>
      </c>
      <c r="J977" s="106" t="str">
        <f>IFERROR(__xludf.DUMMYFUNCTION("""COMPUTED_VALUE"""),"Received At Destination")</f>
        <v>Received At Destination</v>
      </c>
      <c r="K977" s="106" t="str">
        <f>IFERROR(__xludf.DUMMYFUNCTION("""COMPUTED_VALUE"""),"Customer Care")</f>
        <v>Customer Care</v>
      </c>
      <c r="L977" s="106" t="str">
        <f>IFERROR(__xludf.DUMMYFUNCTION("""COMPUTED_VALUE"""),"Client Said Already Contact About Return Departmnet They Will Said Re Arrange This Order")</f>
        <v>Client Said Already Contact About Return Departmnet They Will Said Re Arrange This Order</v>
      </c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>
      <c r="A978" s="82"/>
      <c r="B978" s="98" t="str">
        <f>IFERROR(__xludf.DUMMYFUNCTION("""COMPUTED_VALUE"""),"1254")</f>
        <v>1254</v>
      </c>
      <c r="C978" s="98" t="str">
        <f>IFERROR(__xludf.DUMMYFUNCTION("""COMPUTED_VALUE"""),"Malik")</f>
        <v>Malik</v>
      </c>
      <c r="D978" s="98" t="str">
        <f>IFERROR(__xludf.DUMMYFUNCTION("""COMPUTED_VALUE"""),"775294978")</f>
        <v>775294978</v>
      </c>
      <c r="E978" s="98" t="str">
        <f>IFERROR(__xludf.DUMMYFUNCTION("""COMPUTED_VALUE"""),"N")</f>
        <v>N</v>
      </c>
      <c r="F978" s="108" t="str">
        <f>IFERROR(__xludf.DUMMYFUNCTION("""COMPUTED_VALUE"""),"Saleway.Lk")</f>
        <v>Saleway.Lk</v>
      </c>
      <c r="G978" s="98" t="str">
        <f>IFERROR(__xludf.DUMMYFUNCTION("""COMPUTED_VALUE"""),"BE075435")</f>
        <v>BE075435</v>
      </c>
      <c r="H978" s="98" t="str">
        <f>IFERROR(__xludf.DUMMYFUNCTION("""COMPUTED_VALUE"""),"Payment Issue")</f>
        <v>Payment Issue</v>
      </c>
      <c r="I978" s="98" t="str">
        <f>IFERROR(__xludf.DUMMYFUNCTION("""COMPUTED_VALUE"""),"Kadawatha")</f>
        <v>Kadawatha</v>
      </c>
      <c r="J978" s="98" t="str">
        <f>IFERROR(__xludf.DUMMYFUNCTION("""COMPUTED_VALUE"""),"Delivered")</f>
        <v>Delivered</v>
      </c>
      <c r="K978" s="98" t="str">
        <f>IFERROR(__xludf.DUMMYFUNCTION("""COMPUTED_VALUE"""),"Return")</f>
        <v>Return</v>
      </c>
      <c r="L978" s="98" t="str">
        <f>IFERROR(__xludf.DUMMYFUNCTION("""COMPUTED_VALUE"""),"Informed Genzo Amanthi")</f>
        <v>Informed Genzo Amanthi</v>
      </c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>
      <c r="A979" s="82"/>
      <c r="B979" s="106" t="str">
        <f>IFERROR(__xludf.DUMMYFUNCTION("""COMPUTED_VALUE"""),"1255")</f>
        <v>1255</v>
      </c>
      <c r="C979" s="106" t="str">
        <f>IFERROR(__xludf.DUMMYFUNCTION("""COMPUTED_VALUE"""),"Lakshani")</f>
        <v>Lakshani</v>
      </c>
      <c r="D979" s="106" t="str">
        <f>IFERROR(__xludf.DUMMYFUNCTION("""COMPUTED_VALUE"""),"760189186")</f>
        <v>760189186</v>
      </c>
      <c r="E979" s="106" t="str">
        <f>IFERROR(__xludf.DUMMYFUNCTION("""COMPUTED_VALUE"""),"Y")</f>
        <v>Y</v>
      </c>
      <c r="F979" s="107" t="str">
        <f>IFERROR(__xludf.DUMMYFUNCTION("""COMPUTED_VALUE"""),"Helloherb.Lk")</f>
        <v>Helloherb.Lk</v>
      </c>
      <c r="G979" s="106" t="str">
        <f>IFERROR(__xludf.DUMMYFUNCTION("""COMPUTED_VALUE"""),"A4157598")</f>
        <v>A4157598</v>
      </c>
      <c r="H979" s="106" t="str">
        <f>IFERROR(__xludf.DUMMYFUNCTION("""COMPUTED_VALUE"""),"763770209 -Customer Requested Re-Delivery. Please Arrange It For Tomorrow.")</f>
        <v>763770209 -Customer Requested Re-Delivery. Please Arrange It For Tomorrow.</v>
      </c>
      <c r="I979" s="106" t="str">
        <f>IFERROR(__xludf.DUMMYFUNCTION("""COMPUTED_VALUE"""),"Nuwara Eliya")</f>
        <v>Nuwara Eliya</v>
      </c>
      <c r="J979" s="106" t="str">
        <f>IFERROR(__xludf.DUMMYFUNCTION("""COMPUTED_VALUE"""),"Returned To Branch Rescheduled")</f>
        <v>Returned To Branch Rescheduled</v>
      </c>
      <c r="K979" s="106" t="str">
        <f>IFERROR(__xludf.DUMMYFUNCTION("""COMPUTED_VALUE"""),"Customer Care")</f>
        <v>Customer Care</v>
      </c>
      <c r="L979" s="106" t="str">
        <f>IFERROR(__xludf.DUMMYFUNCTION("""COMPUTED_VALUE"""),"Details Given")</f>
        <v>Details Given</v>
      </c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>
      <c r="A980" s="82"/>
      <c r="B980" s="98" t="str">
        <f>IFERROR(__xludf.DUMMYFUNCTION("""COMPUTED_VALUE"""),"1256")</f>
        <v>1256</v>
      </c>
      <c r="C980" s="98" t="str">
        <f>IFERROR(__xludf.DUMMYFUNCTION("""COMPUTED_VALUE"""),"Jeni")</f>
        <v>Jeni</v>
      </c>
      <c r="D980" s="98" t="str">
        <f>IFERROR(__xludf.DUMMYFUNCTION("""COMPUTED_VALUE"""),"767785517")</f>
        <v>767785517</v>
      </c>
      <c r="E980" s="98" t="str">
        <f>IFERROR(__xludf.DUMMYFUNCTION("""COMPUTED_VALUE"""),"N")</f>
        <v>N</v>
      </c>
      <c r="F980" s="98" t="str">
        <f>IFERROR(__xludf.DUMMYFUNCTION("""COMPUTED_VALUE"""),"Dream Skin")</f>
        <v>Dream Skin</v>
      </c>
      <c r="G980" s="98" t="str">
        <f>IFERROR(__xludf.DUMMYFUNCTION("""COMPUTED_VALUE"""),"A4364264")</f>
        <v>A4364264</v>
      </c>
      <c r="H980" s="98" t="str">
        <f>IFERROR(__xludf.DUMMYFUNCTION("""COMPUTED_VALUE"""),"Call Wrapped")</f>
        <v>Call Wrapped</v>
      </c>
      <c r="I980" s="98" t="str">
        <f>IFERROR(__xludf.DUMMYFUNCTION("""COMPUTED_VALUE"""),"Akuressa")</f>
        <v>Akuressa</v>
      </c>
      <c r="J980" s="98" t="str">
        <f>IFERROR(__xludf.DUMMYFUNCTION("""COMPUTED_VALUE"""),"Dispatched To Destination")</f>
        <v>Dispatched To Destination</v>
      </c>
      <c r="K980" s="98" t="str">
        <f>IFERROR(__xludf.DUMMYFUNCTION("""COMPUTED_VALUE"""),"Customer Care")</f>
        <v>Customer Care</v>
      </c>
      <c r="L980" s="98" t="str">
        <f>IFERROR(__xludf.DUMMYFUNCTION("""COMPUTED_VALUE"""),"Done")</f>
        <v>Done</v>
      </c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>
      <c r="A981" s="82"/>
      <c r="B981" s="106" t="str">
        <f>IFERROR(__xludf.DUMMYFUNCTION("""COMPUTED_VALUE"""),"1257")</f>
        <v>1257</v>
      </c>
      <c r="C981" s="106" t="str">
        <f>IFERROR(__xludf.DUMMYFUNCTION("""COMPUTED_VALUE"""),"Jeni")</f>
        <v>Jeni</v>
      </c>
      <c r="D981" s="106" t="str">
        <f>IFERROR(__xludf.DUMMYFUNCTION("""COMPUTED_VALUE"""),"730008228")</f>
        <v>730008228</v>
      </c>
      <c r="E981" s="106" t="str">
        <f>IFERROR(__xludf.DUMMYFUNCTION("""COMPUTED_VALUE"""),"Y")</f>
        <v>Y</v>
      </c>
      <c r="F981" s="106" t="str">
        <f>IFERROR(__xludf.DUMMYFUNCTION("""COMPUTED_VALUE"""),"Mahaovita Hela Osu")</f>
        <v>Mahaovita Hela Osu</v>
      </c>
      <c r="G981" s="106" t="str">
        <f>IFERROR(__xludf.DUMMYFUNCTION("""COMPUTED_VALUE"""),"A4470093")</f>
        <v>A4470093</v>
      </c>
      <c r="H981" s="106" t="str">
        <f>IFERROR(__xludf.DUMMYFUNCTION("""COMPUTED_VALUE"""),"Re Deliver")</f>
        <v>Re Deliver</v>
      </c>
      <c r="I981" s="106" t="str">
        <f>IFERROR(__xludf.DUMMYFUNCTION("""COMPUTED_VALUE"""),"Thalawathugoda")</f>
        <v>Thalawathugoda</v>
      </c>
      <c r="J981" s="106" t="str">
        <f>IFERROR(__xludf.DUMMYFUNCTION("""COMPUTED_VALUE"""),"Received At Destination")</f>
        <v>Received At Destination</v>
      </c>
      <c r="K981" s="106" t="str">
        <f>IFERROR(__xludf.DUMMYFUNCTION("""COMPUTED_VALUE"""),"Branch Operations")</f>
        <v>Branch Operations</v>
      </c>
      <c r="L981" s="106" t="str">
        <f>IFERROR(__xludf.DUMMYFUNCTION("""COMPUTED_VALUE"""),"Informed Deepika Genzo")</f>
        <v>Informed Deepika Genzo</v>
      </c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>
      <c r="A982" s="82"/>
      <c r="B982" s="98" t="str">
        <f>IFERROR(__xludf.DUMMYFUNCTION("""COMPUTED_VALUE"""),"1258")</f>
        <v>1258</v>
      </c>
      <c r="C982" s="98" t="str">
        <f>IFERROR(__xludf.DUMMYFUNCTION("""COMPUTED_VALUE"""),"Lakshani")</f>
        <v>Lakshani</v>
      </c>
      <c r="D982" s="98" t="str">
        <f>IFERROR(__xludf.DUMMYFUNCTION("""COMPUTED_VALUE"""),"731452125")</f>
        <v>731452125</v>
      </c>
      <c r="E982" s="98" t="str">
        <f>IFERROR(__xludf.DUMMYFUNCTION("""COMPUTED_VALUE"""),"Y")</f>
        <v>Y</v>
      </c>
      <c r="F982" s="98" t="str">
        <f>IFERROR(__xludf.DUMMYFUNCTION("""COMPUTED_VALUE"""),"Win Lanka")</f>
        <v>Win Lanka</v>
      </c>
      <c r="G982" s="98" t="str">
        <f>IFERROR(__xludf.DUMMYFUNCTION("""COMPUTED_VALUE"""),"BA783928")</f>
        <v>BA783928</v>
      </c>
      <c r="H982" s="98" t="str">
        <f>IFERROR(__xludf.DUMMYFUNCTION("""COMPUTED_VALUE"""),"Order Status")</f>
        <v>Order Status</v>
      </c>
      <c r="I982" s="98" t="str">
        <f>IFERROR(__xludf.DUMMYFUNCTION("""COMPUTED_VALUE"""),"Padukka")</f>
        <v>Padukka</v>
      </c>
      <c r="J982" s="98" t="str">
        <f>IFERROR(__xludf.DUMMYFUNCTION("""COMPUTED_VALUE"""),"Dispatched To Destination")</f>
        <v>Dispatched To Destination</v>
      </c>
      <c r="K982" s="98" t="str">
        <f>IFERROR(__xludf.DUMMYFUNCTION("""COMPUTED_VALUE"""),"Customer Care")</f>
        <v>Customer Care</v>
      </c>
      <c r="L982" s="98" t="str">
        <f>IFERROR(__xludf.DUMMYFUNCTION("""COMPUTED_VALUE"""),"Given Details")</f>
        <v>Given Details</v>
      </c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>
      <c r="A983" s="82"/>
      <c r="B983" s="106" t="str">
        <f>IFERROR(__xludf.DUMMYFUNCTION("""COMPUTED_VALUE"""),"1259")</f>
        <v>1259</v>
      </c>
      <c r="C983" s="106"/>
      <c r="D983" s="106" t="str">
        <f>IFERROR(__xludf.DUMMYFUNCTION("""COMPUTED_VALUE"""),"760486453")</f>
        <v>760486453</v>
      </c>
      <c r="E983" s="106" t="str">
        <f>IFERROR(__xludf.DUMMYFUNCTION("""COMPUTED_VALUE"""),"Y")</f>
        <v>Y</v>
      </c>
      <c r="F983" s="106" t="str">
        <f>IFERROR(__xludf.DUMMYFUNCTION("""COMPUTED_VALUE"""),"Camera Lanka.Lk")</f>
        <v>Camera Lanka.Lk</v>
      </c>
      <c r="G983" s="106" t="str">
        <f>IFERROR(__xludf.DUMMYFUNCTION("""COMPUTED_VALUE"""),"79564297")</f>
        <v>79564297</v>
      </c>
      <c r="H983" s="106" t="str">
        <f>IFERROR(__xludf.DUMMYFUNCTION("""COMPUTED_VALUE"""),"Not Responded")</f>
        <v>Not Responded</v>
      </c>
      <c r="I983" s="106" t="str">
        <f>IFERROR(__xludf.DUMMYFUNCTION("""COMPUTED_VALUE"""),"Kahawatta")</f>
        <v>Kahawatta</v>
      </c>
      <c r="J983" s="106" t="str">
        <f>IFERROR(__xludf.DUMMYFUNCTION("""COMPUTED_VALUE"""),"Returned To Branch Failed To Deliver")</f>
        <v>Returned To Branch Failed To Deliver</v>
      </c>
      <c r="K983" s="106" t="str">
        <f>IFERROR(__xludf.DUMMYFUNCTION("""COMPUTED_VALUE"""),"Customer Care")</f>
        <v>Customer Care</v>
      </c>
      <c r="L983" s="106" t="str">
        <f>IFERROR(__xludf.DUMMYFUNCTION("""COMPUTED_VALUE"""),"On Route")</f>
        <v>On Route</v>
      </c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>
      <c r="A984" s="82"/>
      <c r="B984" s="98" t="str">
        <f>IFERROR(__xludf.DUMMYFUNCTION("""COMPUTED_VALUE"""),"1260")</f>
        <v>1260</v>
      </c>
      <c r="C984" s="98" t="str">
        <f>IFERROR(__xludf.DUMMYFUNCTION("""COMPUTED_VALUE"""),"Jeni")</f>
        <v>Jeni</v>
      </c>
      <c r="D984" s="98" t="str">
        <f>IFERROR(__xludf.DUMMYFUNCTION("""COMPUTED_VALUE"""),"711966347")</f>
        <v>711966347</v>
      </c>
      <c r="E984" s="98" t="str">
        <f>IFERROR(__xludf.DUMMYFUNCTION("""COMPUTED_VALUE"""),"N")</f>
        <v>N</v>
      </c>
      <c r="F984" s="98" t="str">
        <f>IFERROR(__xludf.DUMMYFUNCTION("""COMPUTED_VALUE"""),"Alpha.Com(Pvt)Ltd")</f>
        <v>Alpha.Com(Pvt)Ltd</v>
      </c>
      <c r="G984" s="98" t="str">
        <f>IFERROR(__xludf.DUMMYFUNCTION("""COMPUTED_VALUE"""),"WD346416")</f>
        <v>WD346416</v>
      </c>
      <c r="H984" s="98" t="str">
        <f>IFERROR(__xludf.DUMMYFUNCTION("""COMPUTED_VALUE"""),"Customer Want Return This Order")</f>
        <v>Customer Want Return This Order</v>
      </c>
      <c r="I984" s="98" t="str">
        <f>IFERROR(__xludf.DUMMYFUNCTION("""COMPUTED_VALUE"""),"Ja-Ela")</f>
        <v>Ja-Ela</v>
      </c>
      <c r="J984" s="98" t="str">
        <f>IFERROR(__xludf.DUMMYFUNCTION("""COMPUTED_VALUE"""),"Processing")</f>
        <v>Processing</v>
      </c>
      <c r="K984" s="98" t="str">
        <f>IFERROR(__xludf.DUMMYFUNCTION("""COMPUTED_VALUE"""),"Customer Care")</f>
        <v>Customer Care</v>
      </c>
      <c r="L984" s="98" t="str">
        <f>IFERROR(__xludf.DUMMYFUNCTION("""COMPUTED_VALUE"""),"Informed Branch Incharge Via A Whatsapp")</f>
        <v>Informed Branch Incharge Via A Whatsapp</v>
      </c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>
      <c r="A985" s="82"/>
      <c r="B985" s="106" t="str">
        <f>IFERROR(__xludf.DUMMYFUNCTION("""COMPUTED_VALUE"""),"1261")</f>
        <v>1261</v>
      </c>
      <c r="C985" s="106" t="str">
        <f>IFERROR(__xludf.DUMMYFUNCTION("""COMPUTED_VALUE"""),"Jeni")</f>
        <v>Jeni</v>
      </c>
      <c r="D985" s="106" t="str">
        <f>IFERROR(__xludf.DUMMYFUNCTION("""COMPUTED_VALUE"""),"751681330")</f>
        <v>751681330</v>
      </c>
      <c r="E985" s="106" t="str">
        <f>IFERROR(__xludf.DUMMYFUNCTION("""COMPUTED_VALUE"""),"Y")</f>
        <v>Y</v>
      </c>
      <c r="F985" s="106" t="str">
        <f>IFERROR(__xludf.DUMMYFUNCTION("""COMPUTED_VALUE"""),"Winpro Holdings")</f>
        <v>Winpro Holdings</v>
      </c>
      <c r="G985" s="106" t="str">
        <f>IFERROR(__xludf.DUMMYFUNCTION("""COMPUTED_VALUE"""),"BD568906")</f>
        <v>BD568906</v>
      </c>
      <c r="H985" s="106" t="str">
        <f>IFERROR(__xludf.DUMMYFUNCTION("""COMPUTED_VALUE"""),"Re Deliver")</f>
        <v>Re Deliver</v>
      </c>
      <c r="I985" s="106" t="str">
        <f>IFERROR(__xludf.DUMMYFUNCTION("""COMPUTED_VALUE"""),"Ja-Ela")</f>
        <v>Ja-Ela</v>
      </c>
      <c r="J985" s="106" t="str">
        <f>IFERROR(__xludf.DUMMYFUNCTION("""COMPUTED_VALUE"""),"Returned To Branch Rescheduled")</f>
        <v>Returned To Branch Rescheduled</v>
      </c>
      <c r="K985" s="106" t="str">
        <f>IFERROR(__xludf.DUMMYFUNCTION("""COMPUTED_VALUE"""),"Return")</f>
        <v>Return</v>
      </c>
      <c r="L985" s="106" t="str">
        <f>IFERROR(__xludf.DUMMYFUNCTION("""COMPUTED_VALUE"""),"Informed Branch")</f>
        <v>Informed Branch</v>
      </c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>
      <c r="A986" s="82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>
      <c r="A987" s="82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>
      <c r="A988" s="82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>
      <c r="A989" s="82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>
      <c r="A990" s="82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>
      <c r="A991" s="82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>
      <c r="A992" s="82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>
      <c r="A993" s="82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>
      <c r="A994" s="82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>
      <c r="A995" s="82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>
      <c r="A996" s="82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>
      <c r="A997" s="82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>
      <c r="A998" s="82"/>
      <c r="B998" s="98"/>
      <c r="C998" s="98"/>
      <c r="D998" s="98"/>
      <c r="E998" s="98"/>
      <c r="F998" s="98"/>
      <c r="G998" s="98"/>
      <c r="H998" s="98"/>
      <c r="I998" s="98"/>
      <c r="J998" s="98"/>
      <c r="K998" s="98"/>
      <c r="L998" s="98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>
      <c r="A999" s="82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>
      <c r="A1000" s="82"/>
      <c r="B1000" s="98"/>
      <c r="C1000" s="98"/>
      <c r="D1000" s="98"/>
      <c r="E1000" s="98"/>
      <c r="F1000" s="98"/>
      <c r="G1000" s="98"/>
      <c r="H1000" s="98"/>
      <c r="I1000" s="98"/>
      <c r="J1000" s="98"/>
      <c r="K1000" s="98"/>
      <c r="L1000" s="98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</sheetData>
  <autoFilter ref="$B$43:$L$1000"/>
  <mergeCells count="1">
    <mergeCell ref="B2:O3"/>
  </mergeCells>
  <hyperlinks>
    <hyperlink r:id="rId1" ref="F45"/>
    <hyperlink r:id="rId2" ref="F49"/>
    <hyperlink r:id="rId3" ref="F52"/>
    <hyperlink r:id="rId4" ref="F53"/>
    <hyperlink r:id="rId5" ref="F58"/>
    <hyperlink r:id="rId6" ref="F59"/>
    <hyperlink r:id="rId7" ref="F63"/>
    <hyperlink r:id="rId8" ref="F78"/>
    <hyperlink r:id="rId9" ref="F94"/>
    <hyperlink r:id="rId10" ref="F95"/>
    <hyperlink r:id="rId11" ref="F97"/>
    <hyperlink r:id="rId12" ref="F132"/>
    <hyperlink r:id="rId13" ref="F157"/>
    <hyperlink r:id="rId14" ref="F158"/>
    <hyperlink r:id="rId15" ref="F208"/>
    <hyperlink r:id="rId16" ref="F212"/>
    <hyperlink r:id="rId17" ref="F220"/>
    <hyperlink r:id="rId18" ref="F237"/>
    <hyperlink r:id="rId19" ref="F285"/>
    <hyperlink r:id="rId20" ref="F292"/>
    <hyperlink r:id="rId21" ref="F301"/>
    <hyperlink r:id="rId22" ref="F302"/>
    <hyperlink r:id="rId23" ref="F304"/>
    <hyperlink r:id="rId24" ref="F305"/>
    <hyperlink r:id="rId25" ref="F306"/>
    <hyperlink r:id="rId26" ref="F311"/>
    <hyperlink r:id="rId27" ref="F322"/>
    <hyperlink r:id="rId28" ref="F324"/>
    <hyperlink r:id="rId29" ref="F335"/>
    <hyperlink r:id="rId30" ref="F336"/>
    <hyperlink r:id="rId31" ref="F337"/>
    <hyperlink r:id="rId32" ref="F347"/>
    <hyperlink r:id="rId33" ref="F391"/>
    <hyperlink r:id="rId34" ref="F392"/>
    <hyperlink r:id="rId35" ref="F408"/>
    <hyperlink r:id="rId36" ref="F409"/>
    <hyperlink r:id="rId37" ref="F418"/>
    <hyperlink r:id="rId38" ref="F419"/>
    <hyperlink r:id="rId39" ref="F431"/>
    <hyperlink r:id="rId40" ref="F444"/>
    <hyperlink r:id="rId41" ref="F445"/>
    <hyperlink r:id="rId42" ref="F446"/>
    <hyperlink r:id="rId43" ref="F463"/>
    <hyperlink r:id="rId44" ref="F464"/>
    <hyperlink r:id="rId45" ref="F466"/>
    <hyperlink r:id="rId46" ref="F468"/>
    <hyperlink r:id="rId47" ref="F474"/>
    <hyperlink r:id="rId48" ref="F478"/>
    <hyperlink r:id="rId49" ref="F493"/>
    <hyperlink r:id="rId50" ref="F494"/>
    <hyperlink r:id="rId51" ref="F502"/>
    <hyperlink r:id="rId52" ref="F510"/>
    <hyperlink r:id="rId53" ref="F522"/>
    <hyperlink r:id="rId54" ref="F527"/>
    <hyperlink r:id="rId55" ref="F531"/>
    <hyperlink r:id="rId56" ref="F534"/>
    <hyperlink r:id="rId57" ref="F545"/>
    <hyperlink r:id="rId58" ref="F551"/>
    <hyperlink r:id="rId59" ref="F557"/>
    <hyperlink r:id="rId60" ref="F562"/>
    <hyperlink r:id="rId61" ref="F565"/>
    <hyperlink r:id="rId62" ref="F581"/>
    <hyperlink r:id="rId63" ref="F586"/>
    <hyperlink r:id="rId64" ref="F594"/>
    <hyperlink r:id="rId65" ref="F615"/>
    <hyperlink r:id="rId66" ref="F626"/>
    <hyperlink r:id="rId67" ref="F641"/>
    <hyperlink r:id="rId68" ref="F642"/>
    <hyperlink r:id="rId69" ref="F643"/>
    <hyperlink r:id="rId70" ref="F681"/>
    <hyperlink r:id="rId71" ref="F682"/>
    <hyperlink r:id="rId72" ref="F686"/>
    <hyperlink r:id="rId73" ref="F693"/>
    <hyperlink r:id="rId74" ref="F696"/>
    <hyperlink r:id="rId75" ref="F701"/>
    <hyperlink r:id="rId76" ref="F704"/>
    <hyperlink r:id="rId77" ref="F724"/>
    <hyperlink r:id="rId78" ref="F737"/>
    <hyperlink r:id="rId79" ref="F751"/>
    <hyperlink r:id="rId80" ref="F752"/>
    <hyperlink r:id="rId81" ref="F768"/>
    <hyperlink r:id="rId82" ref="F786"/>
    <hyperlink r:id="rId83" ref="F793"/>
    <hyperlink r:id="rId84" ref="F795"/>
    <hyperlink r:id="rId85" ref="F796"/>
    <hyperlink r:id="rId86" ref="F801"/>
    <hyperlink r:id="rId87" ref="F805"/>
    <hyperlink r:id="rId88" ref="F831"/>
    <hyperlink r:id="rId89" ref="F843"/>
    <hyperlink r:id="rId90" ref="F856"/>
    <hyperlink r:id="rId91" ref="F857"/>
    <hyperlink r:id="rId92" ref="F859"/>
    <hyperlink r:id="rId93" ref="F866"/>
    <hyperlink r:id="rId94" ref="F877"/>
    <hyperlink r:id="rId95" ref="F886"/>
    <hyperlink r:id="rId96" ref="F889"/>
    <hyperlink r:id="rId97" ref="F904"/>
    <hyperlink r:id="rId98" ref="F906"/>
    <hyperlink r:id="rId99" ref="F924"/>
    <hyperlink r:id="rId100" ref="F938"/>
    <hyperlink r:id="rId101" ref="F942"/>
    <hyperlink r:id="rId102" ref="F944"/>
    <hyperlink r:id="rId103" ref="F965"/>
    <hyperlink r:id="rId104" ref="F970"/>
    <hyperlink r:id="rId105" ref="F973"/>
    <hyperlink r:id="rId106" ref="F974"/>
    <hyperlink r:id="rId107" ref="F975"/>
    <hyperlink r:id="rId108" ref="F978"/>
    <hyperlink r:id="rId109" ref="F979"/>
  </hyperlinks>
  <drawing r:id="rId1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tr">
        <f>IFERROR(__xludf.DUMMYFUNCTION("QUERY(Sheet1!G:G, ""select G, count(G) where G is not null and G != 'Complaint / Inquiry' group by G order by count(G) desc limit 10 label G 'Complaint', count(G) 'Count'"")"),"Complaint")</f>
        <v>Complaint</v>
      </c>
      <c r="B1" s="3" t="str">
        <f>IFERROR(__xludf.DUMMYFUNCTION("""COMPUTED_VALUE"""),"Count")</f>
        <v>Count</v>
      </c>
      <c r="D1" s="3" t="str">
        <f>IFERROR(__xludf.DUMMYFUNCTION("QUERY(Sheet1!I:I, ""select I, count(I) where I is not null and I != 'Status' group by I order by count(I) desc label I 'Status', count(I) 'Count'"")"),"Status")</f>
        <v>Status</v>
      </c>
      <c r="E1" s="3" t="str">
        <f>IFERROR(__xludf.DUMMYFUNCTION("""COMPUTED_VALUE"""),"Count")</f>
        <v>Count</v>
      </c>
      <c r="G1" s="3" t="str">
        <f>IFERROR(__xludf.DUMMYFUNCTION("QUERY(Sheet1!H:H, ""select H, count(H) where H is not null and H != 'Branch' group by H order by count(H) desc limit 10 label H 'Branch', count(H) 'Count'"")"),"Branch")</f>
        <v>Branch</v>
      </c>
      <c r="H1" s="3" t="str">
        <f>IFERROR(__xludf.DUMMYFUNCTION("""COMPUTED_VALUE"""),"Count")</f>
        <v>Count</v>
      </c>
      <c r="J1" s="3" t="str">
        <f>IFERROR(__xludf.DUMMYFUNCTION("QUERY(Sheet1!B:B, ""select B, count(B) where B is not null and B != 'Operator' group by B order by count(B) desc label B 'Operator', count(B) 'Count'"")"),"Operator")</f>
        <v>Operator</v>
      </c>
      <c r="K1" s="3" t="str">
        <f>IFERROR(__xludf.DUMMYFUNCTION("""COMPUTED_VALUE"""),"Count")</f>
        <v>Count</v>
      </c>
      <c r="M1" s="1" t="s">
        <v>8</v>
      </c>
      <c r="N1" s="1" t="s">
        <v>9</v>
      </c>
      <c r="O1" s="1" t="s">
        <v>10</v>
      </c>
    </row>
    <row r="2">
      <c r="A2" s="3" t="str">
        <f>IFERROR(__xludf.DUMMYFUNCTION("""COMPUTED_VALUE"""),"Re Deliver")</f>
        <v>Re Deliver</v>
      </c>
      <c r="B2" s="3">
        <f>IFERROR(__xludf.DUMMYFUNCTION("""COMPUTED_VALUE"""),160.0)</f>
        <v>160</v>
      </c>
      <c r="D2" s="3" t="str">
        <f>IFERROR(__xludf.DUMMYFUNCTION("""COMPUTED_VALUE"""),"Returned To Branch Rescheduled")</f>
        <v>Returned To Branch Rescheduled</v>
      </c>
      <c r="E2" s="3">
        <f>IFERROR(__xludf.DUMMYFUNCTION("""COMPUTED_VALUE"""),219.0)</f>
        <v>219</v>
      </c>
      <c r="G2" s="3" t="str">
        <f>IFERROR(__xludf.DUMMYFUNCTION("""COMPUTED_VALUE"""),"Colombo Metro")</f>
        <v>Colombo Metro</v>
      </c>
      <c r="H2" s="3">
        <f>IFERROR(__xludf.DUMMYFUNCTION("""COMPUTED_VALUE"""),72.0)</f>
        <v>72</v>
      </c>
      <c r="J2" s="3" t="str">
        <f>IFERROR(__xludf.DUMMYFUNCTION("""COMPUTED_VALUE"""),"Jeni")</f>
        <v>Jeni</v>
      </c>
      <c r="K2" s="3">
        <f>IFERROR(__xludf.DUMMYFUNCTION("""COMPUTED_VALUE"""),286.0)</f>
        <v>286</v>
      </c>
      <c r="M2" s="3">
        <f>COUNTA(Sheet1!A2:A1000)</f>
        <v>942</v>
      </c>
      <c r="N2" s="3">
        <f>IFERROR(__xludf.DUMMYFUNCTION("COUNTUNIQUE(Sheet1!H2:H1000)"),58.0)</f>
        <v>58</v>
      </c>
      <c r="O2" s="3">
        <f>IFERROR(__xludf.DUMMYFUNCTION("COUNTUNIQUE(Sheet1!B2:B1000)"),5.0)</f>
        <v>5</v>
      </c>
    </row>
    <row r="3">
      <c r="A3" s="3" t="str">
        <f>IFERROR(__xludf.DUMMYFUNCTION("""COMPUTED_VALUE"""),"Order Status")</f>
        <v>Order Status</v>
      </c>
      <c r="B3" s="3">
        <f>IFERROR(__xludf.DUMMYFUNCTION("""COMPUTED_VALUE"""),40.0)</f>
        <v>40</v>
      </c>
      <c r="D3" s="3" t="str">
        <f>IFERROR(__xludf.DUMMYFUNCTION("""COMPUTED_VALUE"""),"Returned To Branch Failed To Deliver")</f>
        <v>Returned To Branch Failed To Deliver</v>
      </c>
      <c r="E3" s="3">
        <f>IFERROR(__xludf.DUMMYFUNCTION("""COMPUTED_VALUE"""),157.0)</f>
        <v>157</v>
      </c>
      <c r="G3" s="3" t="str">
        <f>IFERROR(__xludf.DUMMYFUNCTION("""COMPUTED_VALUE"""),"Thalawathugoda")</f>
        <v>Thalawathugoda</v>
      </c>
      <c r="H3" s="3">
        <f>IFERROR(__xludf.DUMMYFUNCTION("""COMPUTED_VALUE"""),57.0)</f>
        <v>57</v>
      </c>
      <c r="J3" s="3" t="str">
        <f>IFERROR(__xludf.DUMMYFUNCTION("""COMPUTED_VALUE"""),"Umesha")</f>
        <v>Umesha</v>
      </c>
      <c r="K3" s="3">
        <f>IFERROR(__xludf.DUMMYFUNCTION("""COMPUTED_VALUE"""),200.0)</f>
        <v>200</v>
      </c>
    </row>
    <row r="4">
      <c r="A4" s="3" t="str">
        <f>IFERROR(__xludf.DUMMYFUNCTION("""COMPUTED_VALUE"""),"Arrange To Deliver Today / Top Urgant")</f>
        <v>Arrange To Deliver Today / Top Urgant</v>
      </c>
      <c r="B4" s="3">
        <f>IFERROR(__xludf.DUMMYFUNCTION("""COMPUTED_VALUE"""),34.0)</f>
        <v>34</v>
      </c>
      <c r="D4" s="3" t="str">
        <f>IFERROR(__xludf.DUMMYFUNCTION("""COMPUTED_VALUE"""),"Out For Delivery")</f>
        <v>Out For Delivery</v>
      </c>
      <c r="E4" s="3">
        <f>IFERROR(__xludf.DUMMYFUNCTION("""COMPUTED_VALUE"""),148.0)</f>
        <v>148</v>
      </c>
      <c r="G4" s="3" t="str">
        <f>IFERROR(__xludf.DUMMYFUNCTION("""COMPUTED_VALUE"""),"Ratmalana")</f>
        <v>Ratmalana</v>
      </c>
      <c r="H4" s="3">
        <f>IFERROR(__xludf.DUMMYFUNCTION("""COMPUTED_VALUE"""),50.0)</f>
        <v>50</v>
      </c>
      <c r="J4" s="3" t="str">
        <f>IFERROR(__xludf.DUMMYFUNCTION("""COMPUTED_VALUE"""),"Mandari")</f>
        <v>Mandari</v>
      </c>
      <c r="K4" s="3">
        <f>IFERROR(__xludf.DUMMYFUNCTION("""COMPUTED_VALUE"""),180.0)</f>
        <v>180</v>
      </c>
    </row>
    <row r="5">
      <c r="A5" s="3" t="str">
        <f>IFERROR(__xludf.DUMMYFUNCTION("""COMPUTED_VALUE"""),"Asked Some Details")</f>
        <v>Asked Some Details</v>
      </c>
      <c r="B5" s="3">
        <f>IFERROR(__xludf.DUMMYFUNCTION("""COMPUTED_VALUE"""),30.0)</f>
        <v>30</v>
      </c>
      <c r="D5" s="3" t="str">
        <f>IFERROR(__xludf.DUMMYFUNCTION("""COMPUTED_VALUE"""),"Received At Destination")</f>
        <v>Received At Destination</v>
      </c>
      <c r="E5" s="3">
        <f>IFERROR(__xludf.DUMMYFUNCTION("""COMPUTED_VALUE"""),147.0)</f>
        <v>147</v>
      </c>
      <c r="G5" s="3" t="str">
        <f>IFERROR(__xludf.DUMMYFUNCTION("""COMPUTED_VALUE"""),"Rajagiriya")</f>
        <v>Rajagiriya</v>
      </c>
      <c r="H5" s="3">
        <f>IFERROR(__xludf.DUMMYFUNCTION("""COMPUTED_VALUE"""),45.0)</f>
        <v>45</v>
      </c>
      <c r="J5" s="3" t="str">
        <f>IFERROR(__xludf.DUMMYFUNCTION("""COMPUTED_VALUE"""),"Lakshani")</f>
        <v>Lakshani</v>
      </c>
      <c r="K5" s="3">
        <f>IFERROR(__xludf.DUMMYFUNCTION("""COMPUTED_VALUE"""),140.0)</f>
        <v>140</v>
      </c>
    </row>
    <row r="6">
      <c r="A6" s="3" t="str">
        <f>IFERROR(__xludf.DUMMYFUNCTION("""COMPUTED_VALUE"""),"Customer Want Return This Package")</f>
        <v>Customer Want Return This Package</v>
      </c>
      <c r="B6" s="3">
        <f>IFERROR(__xludf.DUMMYFUNCTION("""COMPUTED_VALUE"""),27.0)</f>
        <v>27</v>
      </c>
      <c r="D6" s="3" t="str">
        <f>IFERROR(__xludf.DUMMYFUNCTION("""COMPUTED_VALUE"""),"Delivered")</f>
        <v>Delivered</v>
      </c>
      <c r="E6" s="3">
        <f>IFERROR(__xludf.DUMMYFUNCTION("""COMPUTED_VALUE"""),116.0)</f>
        <v>116</v>
      </c>
      <c r="G6" s="3" t="str">
        <f>IFERROR(__xludf.DUMMYFUNCTION("""COMPUTED_VALUE"""),"Pilimathlawa")</f>
        <v>Pilimathlawa</v>
      </c>
      <c r="H6" s="3">
        <f>IFERROR(__xludf.DUMMYFUNCTION("""COMPUTED_VALUE"""),41.0)</f>
        <v>41</v>
      </c>
      <c r="J6" s="3" t="str">
        <f>IFERROR(__xludf.DUMMYFUNCTION("""COMPUTED_VALUE"""),"Malik")</f>
        <v>Malik</v>
      </c>
      <c r="K6" s="3">
        <f>IFERROR(__xludf.DUMMYFUNCTION("""COMPUTED_VALUE"""),134.0)</f>
        <v>134</v>
      </c>
    </row>
    <row r="7">
      <c r="A7" s="3" t="str">
        <f>IFERROR(__xludf.DUMMYFUNCTION("""COMPUTED_VALUE"""),"Urgent Today")</f>
        <v>Urgent Today</v>
      </c>
      <c r="B7" s="3">
        <f>IFERROR(__xludf.DUMMYFUNCTION("""COMPUTED_VALUE"""),27.0)</f>
        <v>27</v>
      </c>
      <c r="D7" s="3" t="str">
        <f>IFERROR(__xludf.DUMMYFUNCTION("""COMPUTED_VALUE"""),"Returned To Client")</f>
        <v>Returned To Client</v>
      </c>
      <c r="E7" s="3">
        <f>IFERROR(__xludf.DUMMYFUNCTION("""COMPUTED_VALUE"""),42.0)</f>
        <v>42</v>
      </c>
      <c r="G7" s="3" t="str">
        <f>IFERROR(__xludf.DUMMYFUNCTION("""COMPUTED_VALUE"""),"Negombo")</f>
        <v>Negombo</v>
      </c>
      <c r="H7" s="3">
        <f>IFERROR(__xludf.DUMMYFUNCTION("""COMPUTED_VALUE"""),40.0)</f>
        <v>40</v>
      </c>
    </row>
    <row r="8">
      <c r="A8" s="3" t="str">
        <f>IFERROR(__xludf.DUMMYFUNCTION("""COMPUTED_VALUE"""),"Customer Want Return The Package")</f>
        <v>Customer Want Return The Package</v>
      </c>
      <c r="B8" s="3">
        <f>IFERROR(__xludf.DUMMYFUNCTION("""COMPUTED_VALUE"""),24.0)</f>
        <v>24</v>
      </c>
      <c r="D8" s="3" t="str">
        <f>IFERROR(__xludf.DUMMYFUNCTION("""COMPUTED_VALUE"""),"Dispatched To Destination")</f>
        <v>Dispatched To Destination</v>
      </c>
      <c r="E8" s="3">
        <f>IFERROR(__xludf.DUMMYFUNCTION("""COMPUTED_VALUE"""),36.0)</f>
        <v>36</v>
      </c>
      <c r="G8" s="3" t="str">
        <f>IFERROR(__xludf.DUMMYFUNCTION("""COMPUTED_VALUE"""),"Ja-Ela")</f>
        <v>Ja-Ela</v>
      </c>
      <c r="H8" s="3">
        <f>IFERROR(__xludf.DUMMYFUNCTION("""COMPUTED_VALUE"""),39.0)</f>
        <v>39</v>
      </c>
    </row>
    <row r="9">
      <c r="A9" s="3" t="str">
        <f>IFERROR(__xludf.DUMMYFUNCTION("""COMPUTED_VALUE"""),"Call Wrapped")</f>
        <v>Call Wrapped</v>
      </c>
      <c r="B9" s="3">
        <f>IFERROR(__xludf.DUMMYFUNCTION("""COMPUTED_VALUE"""),22.0)</f>
        <v>22</v>
      </c>
      <c r="D9" s="3" t="str">
        <f>IFERROR(__xludf.DUMMYFUNCTION("""COMPUTED_VALUE"""),"Processing")</f>
        <v>Processing</v>
      </c>
      <c r="E9" s="3">
        <f>IFERROR(__xludf.DUMMYFUNCTION("""COMPUTED_VALUE"""),18.0)</f>
        <v>18</v>
      </c>
      <c r="G9" s="3" t="str">
        <f>IFERROR(__xludf.DUMMYFUNCTION("""COMPUTED_VALUE"""),"Kurunegala")</f>
        <v>Kurunegala</v>
      </c>
      <c r="H9" s="3">
        <f>IFERROR(__xludf.DUMMYFUNCTION("""COMPUTED_VALUE"""),39.0)</f>
        <v>39</v>
      </c>
    </row>
    <row r="10">
      <c r="A10" s="3" t="str">
        <f>IFERROR(__xludf.DUMMYFUNCTION("""COMPUTED_VALUE"""),"Arrange To Deliver Today")</f>
        <v>Arrange To Deliver Today</v>
      </c>
      <c r="B10" s="3">
        <f>IFERROR(__xludf.DUMMYFUNCTION("""COMPUTED_VALUE"""),21.0)</f>
        <v>21</v>
      </c>
      <c r="D10" s="3" t="str">
        <f>IFERROR(__xludf.DUMMYFUNCTION("""COMPUTED_VALUE"""),"Re-Delivery")</f>
        <v>Re-Delivery</v>
      </c>
      <c r="E10" s="3">
        <f>IFERROR(__xludf.DUMMYFUNCTION("""COMPUTED_VALUE"""),18.0)</f>
        <v>18</v>
      </c>
      <c r="G10" s="3" t="str">
        <f>IFERROR(__xludf.DUMMYFUNCTION("""COMPUTED_VALUE"""),"Ambalangoda")</f>
        <v>Ambalangoda</v>
      </c>
      <c r="H10" s="3">
        <f>IFERROR(__xludf.DUMMYFUNCTION("""COMPUTED_VALUE"""),36.0)</f>
        <v>36</v>
      </c>
    </row>
    <row r="11">
      <c r="A11" s="3" t="str">
        <f>IFERROR(__xludf.DUMMYFUNCTION("""COMPUTED_VALUE"""),"Customer Want Return This Order")</f>
        <v>Customer Want Return This Order</v>
      </c>
      <c r="B11" s="3">
        <f>IFERROR(__xludf.DUMMYFUNCTION("""COMPUTED_VALUE"""),21.0)</f>
        <v>21</v>
      </c>
      <c r="D11" s="3" t="str">
        <f>IFERROR(__xludf.DUMMYFUNCTION("""COMPUTED_VALUE"""),"Received At Ho (Returned Item)")</f>
        <v>Received At Ho (Returned Item)</v>
      </c>
      <c r="E11" s="3">
        <f>IFERROR(__xludf.DUMMYFUNCTION("""COMPUTED_VALUE"""),9.0)</f>
        <v>9</v>
      </c>
      <c r="G11" s="3" t="str">
        <f>IFERROR(__xludf.DUMMYFUNCTION("""COMPUTED_VALUE"""),"Dambulla")</f>
        <v>Dambulla</v>
      </c>
      <c r="H11" s="3">
        <f>IFERROR(__xludf.DUMMYFUNCTION("""COMPUTED_VALUE"""),34.0)</f>
        <v>34</v>
      </c>
    </row>
    <row r="12">
      <c r="D12" s="3" t="str">
        <f>IFERROR(__xludf.DUMMYFUNCTION("""COMPUTED_VALUE"""),"Returned To Ho")</f>
        <v>Returned To Ho</v>
      </c>
      <c r="E12" s="3">
        <f>IFERROR(__xludf.DUMMYFUNCTION("""COMPUTED_VALUE"""),9.0)</f>
        <v>9</v>
      </c>
    </row>
    <row r="13">
      <c r="D13" s="3" t="str">
        <f>IFERROR(__xludf.DUMMYFUNCTION("""COMPUTED_VALUE"""),"Re-Assign Rider")</f>
        <v>Re-Assign Rider</v>
      </c>
      <c r="E13" s="3">
        <f>IFERROR(__xludf.DUMMYFUNCTION("""COMPUTED_VALUE"""),8.0)</f>
        <v>8</v>
      </c>
    </row>
    <row r="14">
      <c r="D14" s="3" t="str">
        <f>IFERROR(__xludf.DUMMYFUNCTION("""COMPUTED_VALUE"""),"Return To Ho (Invalid Destination)")</f>
        <v>Return To Ho (Invalid Destination)</v>
      </c>
      <c r="E14" s="3">
        <f>IFERROR(__xludf.DUMMYFUNCTION("""COMPUTED_VALUE"""),6.0)</f>
        <v>6</v>
      </c>
    </row>
    <row r="15">
      <c r="D15" s="3" t="str">
        <f>IFERROR(__xludf.DUMMYFUNCTION("""COMPUTED_VALUE"""),"Collect From Return Shuttle")</f>
        <v>Collect From Return Shuttle</v>
      </c>
      <c r="E15" s="3">
        <f>IFERROR(__xludf.DUMMYFUNCTION("""COMPUTED_VALUE"""),3.0)</f>
        <v>3</v>
      </c>
    </row>
    <row r="16">
      <c r="D16" s="3" t="str">
        <f>IFERROR(__xludf.DUMMYFUNCTION("""COMPUTED_VALUE"""),"Dispatched By Ho")</f>
        <v>Dispatched By Ho</v>
      </c>
      <c r="E16" s="3">
        <f>IFERROR(__xludf.DUMMYFUNCTION("""COMPUTED_VALUE"""),2.0)</f>
        <v>2</v>
      </c>
    </row>
    <row r="17">
      <c r="D17" s="3" t="str">
        <f>IFERROR(__xludf.DUMMYFUNCTION("""COMPUTED_VALUE"""),"Piliyandala")</f>
        <v>Piliyandala</v>
      </c>
      <c r="E17" s="3">
        <f>IFERROR(__xludf.DUMMYFUNCTION("""COMPUTED_VALUE"""),1.0)</f>
        <v>1</v>
      </c>
    </row>
  </sheetData>
  <drawing r:id="rId1"/>
</worksheet>
</file>